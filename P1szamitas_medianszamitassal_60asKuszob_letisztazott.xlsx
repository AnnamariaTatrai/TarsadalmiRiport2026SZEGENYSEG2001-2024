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anni\MasMunka\2026\TarsadalmiRiport2026\data\szja\nullasokkal\"/>
    </mc:Choice>
  </mc:AlternateContent>
  <xr:revisionPtr revIDLastSave="0" documentId="13_ncr:1_{68CB8529-79DA-448D-B271-0B82FF0FBAEA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aktivnepesseg" sheetId="16" r:id="rId1"/>
    <sheet name="medianjov_szamitas" sheetId="24" r:id="rId2"/>
    <sheet name="kuszobATTEKINTESesOrszagosRata" sheetId="26" r:id="rId3"/>
    <sheet name="P1long_allversionS" sheetId="22" r:id="rId4"/>
    <sheet name="2001_60" sheetId="25" r:id="rId5"/>
    <sheet name="2011_60" sheetId="27" r:id="rId6"/>
    <sheet name="2022_60" sheetId="21" r:id="rId7"/>
    <sheet name="2024_60" sheetId="29" r:id="rId8"/>
  </sheets>
  <definedNames>
    <definedName name="_xlnm._FilterDatabase" localSheetId="4" hidden="1">'2001_60'!$A$7:$AA$204</definedName>
    <definedName name="_xlnm._FilterDatabase" localSheetId="5" hidden="1">'2011_60'!$A$7:$Z$7</definedName>
    <definedName name="_xlnm._FilterDatabase" localSheetId="7" hidden="1">'2024_60'!$A$7:$AF$7</definedName>
    <definedName name="_xlnm._FilterDatabase" localSheetId="0" hidden="1">aktivnepesseg!$A$1:$D$793</definedName>
    <definedName name="_xlnm._FilterDatabase" localSheetId="3" hidden="1">P1long_allversionS!$A$1:$D$789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7" i="27" l="1"/>
  <c r="AC207" i="27"/>
  <c r="AB207" i="27"/>
  <c r="AE207" i="27" s="1"/>
  <c r="AA207" i="27"/>
  <c r="AF207" i="25"/>
  <c r="AE207" i="25"/>
  <c r="AD207" i="25"/>
  <c r="AC207" i="25"/>
  <c r="AB207" i="25"/>
  <c r="AG207" i="25" s="1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34" i="22"/>
  <c r="F235" i="22"/>
  <c r="F236" i="22"/>
  <c r="F237" i="22"/>
  <c r="F238" i="22"/>
  <c r="F239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252" i="22"/>
  <c r="F253" i="22"/>
  <c r="F254" i="22"/>
  <c r="F25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F291" i="22"/>
  <c r="F292" i="22"/>
  <c r="F293" i="22"/>
  <c r="F294" i="22"/>
  <c r="F295" i="22"/>
  <c r="F296" i="22"/>
  <c r="F297" i="22"/>
  <c r="F298" i="22"/>
  <c r="F299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F326" i="22"/>
  <c r="F327" i="22"/>
  <c r="F328" i="22"/>
  <c r="F329" i="22"/>
  <c r="F330" i="22"/>
  <c r="F331" i="22"/>
  <c r="F332" i="22"/>
  <c r="F333" i="22"/>
  <c r="F334" i="22"/>
  <c r="F335" i="22"/>
  <c r="F336" i="22"/>
  <c r="F337" i="22"/>
  <c r="F338" i="22"/>
  <c r="F339" i="22"/>
  <c r="F340" i="22"/>
  <c r="F341" i="22"/>
  <c r="F342" i="22"/>
  <c r="F343" i="22"/>
  <c r="F344" i="22"/>
  <c r="F345" i="22"/>
  <c r="F346" i="22"/>
  <c r="F347" i="22"/>
  <c r="F348" i="22"/>
  <c r="F349" i="22"/>
  <c r="F350" i="22"/>
  <c r="F351" i="22"/>
  <c r="F352" i="22"/>
  <c r="F353" i="22"/>
  <c r="F354" i="22"/>
  <c r="F355" i="22"/>
  <c r="F356" i="22"/>
  <c r="F357" i="22"/>
  <c r="F358" i="22"/>
  <c r="F359" i="22"/>
  <c r="F360" i="22"/>
  <c r="F361" i="22"/>
  <c r="F362" i="22"/>
  <c r="F363" i="22"/>
  <c r="F364" i="22"/>
  <c r="F365" i="22"/>
  <c r="F366" i="22"/>
  <c r="F367" i="22"/>
  <c r="F368" i="22"/>
  <c r="F369" i="22"/>
  <c r="F370" i="22"/>
  <c r="F371" i="22"/>
  <c r="F372" i="22"/>
  <c r="F373" i="22"/>
  <c r="F374" i="22"/>
  <c r="F375" i="22"/>
  <c r="F376" i="22"/>
  <c r="F377" i="22"/>
  <c r="F378" i="22"/>
  <c r="F379" i="22"/>
  <c r="F380" i="22"/>
  <c r="F381" i="22"/>
  <c r="F382" i="22"/>
  <c r="F383" i="22"/>
  <c r="F384" i="22"/>
  <c r="F385" i="22"/>
  <c r="F386" i="22"/>
  <c r="F387" i="22"/>
  <c r="F388" i="22"/>
  <c r="F389" i="22"/>
  <c r="F390" i="22"/>
  <c r="F391" i="22"/>
  <c r="F392" i="22"/>
  <c r="F393" i="22"/>
  <c r="F394" i="22"/>
  <c r="F395" i="22"/>
  <c r="F396" i="22"/>
  <c r="F397" i="22"/>
  <c r="F398" i="22"/>
  <c r="F399" i="22"/>
  <c r="F400" i="22"/>
  <c r="F401" i="22"/>
  <c r="F402" i="22"/>
  <c r="F403" i="22"/>
  <c r="F404" i="22"/>
  <c r="F405" i="22"/>
  <c r="F406" i="22"/>
  <c r="F407" i="22"/>
  <c r="F408" i="22"/>
  <c r="F409" i="22"/>
  <c r="F410" i="22"/>
  <c r="F411" i="22"/>
  <c r="F412" i="22"/>
  <c r="F413" i="22"/>
  <c r="F414" i="22"/>
  <c r="F415" i="22"/>
  <c r="F416" i="22"/>
  <c r="F417" i="22"/>
  <c r="F418" i="22"/>
  <c r="F419" i="22"/>
  <c r="F420" i="22"/>
  <c r="F421" i="22"/>
  <c r="F422" i="22"/>
  <c r="F423" i="22"/>
  <c r="F424" i="22"/>
  <c r="F425" i="22"/>
  <c r="F426" i="22"/>
  <c r="F427" i="22"/>
  <c r="F428" i="22"/>
  <c r="F429" i="22"/>
  <c r="F430" i="22"/>
  <c r="F431" i="22"/>
  <c r="F432" i="22"/>
  <c r="F433" i="22"/>
  <c r="F434" i="22"/>
  <c r="F435" i="22"/>
  <c r="F436" i="22"/>
  <c r="F437" i="22"/>
  <c r="F438" i="22"/>
  <c r="F439" i="22"/>
  <c r="F440" i="22"/>
  <c r="F441" i="22"/>
  <c r="F442" i="22"/>
  <c r="F443" i="22"/>
  <c r="F444" i="22"/>
  <c r="F445" i="22"/>
  <c r="F446" i="22"/>
  <c r="F447" i="22"/>
  <c r="F448" i="22"/>
  <c r="F449" i="22"/>
  <c r="F450" i="22"/>
  <c r="F451" i="22"/>
  <c r="F452" i="22"/>
  <c r="F453" i="22"/>
  <c r="F454" i="22"/>
  <c r="F455" i="22"/>
  <c r="F456" i="22"/>
  <c r="F457" i="22"/>
  <c r="F458" i="22"/>
  <c r="F459" i="22"/>
  <c r="F460" i="22"/>
  <c r="F461" i="22"/>
  <c r="F462" i="22"/>
  <c r="F463" i="22"/>
  <c r="F464" i="22"/>
  <c r="F465" i="22"/>
  <c r="F466" i="22"/>
  <c r="F467" i="22"/>
  <c r="F468" i="22"/>
  <c r="F469" i="22"/>
  <c r="F470" i="22"/>
  <c r="F471" i="22"/>
  <c r="F472" i="22"/>
  <c r="F473" i="22"/>
  <c r="F474" i="22"/>
  <c r="F475" i="22"/>
  <c r="F476" i="22"/>
  <c r="F477" i="22"/>
  <c r="F478" i="22"/>
  <c r="F479" i="22"/>
  <c r="F480" i="22"/>
  <c r="F481" i="22"/>
  <c r="F482" i="22"/>
  <c r="F483" i="22"/>
  <c r="F484" i="22"/>
  <c r="F485" i="22"/>
  <c r="F486" i="22"/>
  <c r="F487" i="22"/>
  <c r="F488" i="22"/>
  <c r="F489" i="22"/>
  <c r="F490" i="22"/>
  <c r="F491" i="22"/>
  <c r="F492" i="22"/>
  <c r="F493" i="22"/>
  <c r="F494" i="22"/>
  <c r="F495" i="22"/>
  <c r="F496" i="22"/>
  <c r="F497" i="22"/>
  <c r="F498" i="22"/>
  <c r="F499" i="22"/>
  <c r="F500" i="22"/>
  <c r="F501" i="22"/>
  <c r="F502" i="22"/>
  <c r="F503" i="22"/>
  <c r="F504" i="22"/>
  <c r="F505" i="22"/>
  <c r="F506" i="22"/>
  <c r="F507" i="22"/>
  <c r="F508" i="22"/>
  <c r="F509" i="22"/>
  <c r="F510" i="22"/>
  <c r="F511" i="22"/>
  <c r="F512" i="22"/>
  <c r="F513" i="22"/>
  <c r="F514" i="22"/>
  <c r="F515" i="22"/>
  <c r="F516" i="22"/>
  <c r="F517" i="22"/>
  <c r="F518" i="22"/>
  <c r="F519" i="22"/>
  <c r="F520" i="22"/>
  <c r="F521" i="22"/>
  <c r="F522" i="22"/>
  <c r="F523" i="22"/>
  <c r="F524" i="22"/>
  <c r="F525" i="22"/>
  <c r="F526" i="22"/>
  <c r="F527" i="22"/>
  <c r="F528" i="22"/>
  <c r="F529" i="22"/>
  <c r="F530" i="22"/>
  <c r="F531" i="22"/>
  <c r="F532" i="22"/>
  <c r="F533" i="22"/>
  <c r="F534" i="22"/>
  <c r="F535" i="22"/>
  <c r="F536" i="22"/>
  <c r="F537" i="22"/>
  <c r="F538" i="22"/>
  <c r="F539" i="22"/>
  <c r="F540" i="22"/>
  <c r="F541" i="22"/>
  <c r="F542" i="22"/>
  <c r="F543" i="22"/>
  <c r="F544" i="22"/>
  <c r="F545" i="22"/>
  <c r="F546" i="22"/>
  <c r="F547" i="22"/>
  <c r="F548" i="22"/>
  <c r="F549" i="22"/>
  <c r="F550" i="22"/>
  <c r="F551" i="22"/>
  <c r="F552" i="22"/>
  <c r="F553" i="22"/>
  <c r="F554" i="22"/>
  <c r="F555" i="22"/>
  <c r="F556" i="22"/>
  <c r="F557" i="22"/>
  <c r="F558" i="22"/>
  <c r="F559" i="22"/>
  <c r="F560" i="22"/>
  <c r="F561" i="22"/>
  <c r="F562" i="22"/>
  <c r="F563" i="22"/>
  <c r="F564" i="22"/>
  <c r="F565" i="22"/>
  <c r="F566" i="22"/>
  <c r="F567" i="22"/>
  <c r="F568" i="22"/>
  <c r="F569" i="22"/>
  <c r="F570" i="22"/>
  <c r="F571" i="22"/>
  <c r="F572" i="22"/>
  <c r="F573" i="22"/>
  <c r="F574" i="22"/>
  <c r="F575" i="22"/>
  <c r="F576" i="22"/>
  <c r="F577" i="22"/>
  <c r="F578" i="22"/>
  <c r="F579" i="22"/>
  <c r="F580" i="22"/>
  <c r="F581" i="22"/>
  <c r="F582" i="22"/>
  <c r="F583" i="22"/>
  <c r="F584" i="22"/>
  <c r="F585" i="22"/>
  <c r="F586" i="22"/>
  <c r="F587" i="22"/>
  <c r="F588" i="22"/>
  <c r="F589" i="22"/>
  <c r="F590" i="22"/>
  <c r="F591" i="22"/>
  <c r="F592" i="22"/>
  <c r="F593" i="22"/>
  <c r="F594" i="22"/>
  <c r="F595" i="22"/>
  <c r="F596" i="22"/>
  <c r="F597" i="22"/>
  <c r="F598" i="22"/>
  <c r="F599" i="22"/>
  <c r="F600" i="22"/>
  <c r="F601" i="22"/>
  <c r="F602" i="22"/>
  <c r="F603" i="22"/>
  <c r="F604" i="22"/>
  <c r="F605" i="22"/>
  <c r="F606" i="22"/>
  <c r="F607" i="22"/>
  <c r="F608" i="22"/>
  <c r="F609" i="22"/>
  <c r="F610" i="22"/>
  <c r="F611" i="22"/>
  <c r="F612" i="22"/>
  <c r="F613" i="22"/>
  <c r="F614" i="22"/>
  <c r="F615" i="22"/>
  <c r="F616" i="22"/>
  <c r="F617" i="22"/>
  <c r="F618" i="22"/>
  <c r="F619" i="22"/>
  <c r="F620" i="22"/>
  <c r="F621" i="22"/>
  <c r="F622" i="22"/>
  <c r="F623" i="22"/>
  <c r="F624" i="22"/>
  <c r="F625" i="22"/>
  <c r="F626" i="22"/>
  <c r="F627" i="22"/>
  <c r="F628" i="22"/>
  <c r="F629" i="22"/>
  <c r="F630" i="22"/>
  <c r="F631" i="22"/>
  <c r="F632" i="22"/>
  <c r="F633" i="22"/>
  <c r="F634" i="22"/>
  <c r="F635" i="22"/>
  <c r="F636" i="22"/>
  <c r="F637" i="22"/>
  <c r="F638" i="22"/>
  <c r="F639" i="22"/>
  <c r="F640" i="22"/>
  <c r="F641" i="22"/>
  <c r="F642" i="22"/>
  <c r="F643" i="22"/>
  <c r="F644" i="22"/>
  <c r="F645" i="22"/>
  <c r="F646" i="22"/>
  <c r="F647" i="22"/>
  <c r="F648" i="22"/>
  <c r="F649" i="22"/>
  <c r="F650" i="22"/>
  <c r="F651" i="22"/>
  <c r="F652" i="22"/>
  <c r="F653" i="22"/>
  <c r="F654" i="22"/>
  <c r="F655" i="22"/>
  <c r="F656" i="22"/>
  <c r="F657" i="22"/>
  <c r="F658" i="22"/>
  <c r="F659" i="22"/>
  <c r="F660" i="22"/>
  <c r="F661" i="22"/>
  <c r="F662" i="22"/>
  <c r="F663" i="22"/>
  <c r="F664" i="22"/>
  <c r="F665" i="22"/>
  <c r="F666" i="22"/>
  <c r="F667" i="22"/>
  <c r="F668" i="22"/>
  <c r="F669" i="22"/>
  <c r="F670" i="22"/>
  <c r="F671" i="22"/>
  <c r="F672" i="22"/>
  <c r="F673" i="22"/>
  <c r="F674" i="22"/>
  <c r="F675" i="22"/>
  <c r="F676" i="22"/>
  <c r="F677" i="22"/>
  <c r="F678" i="22"/>
  <c r="F679" i="22"/>
  <c r="F680" i="22"/>
  <c r="F681" i="22"/>
  <c r="F682" i="22"/>
  <c r="F683" i="22"/>
  <c r="F684" i="22"/>
  <c r="F685" i="22"/>
  <c r="F686" i="22"/>
  <c r="F687" i="22"/>
  <c r="F688" i="22"/>
  <c r="F689" i="22"/>
  <c r="F690" i="22"/>
  <c r="F691" i="22"/>
  <c r="F692" i="22"/>
  <c r="F693" i="22"/>
  <c r="F694" i="22"/>
  <c r="F695" i="22"/>
  <c r="F696" i="22"/>
  <c r="F697" i="22"/>
  <c r="F698" i="22"/>
  <c r="F699" i="22"/>
  <c r="F700" i="22"/>
  <c r="F701" i="22"/>
  <c r="F702" i="22"/>
  <c r="F703" i="22"/>
  <c r="F704" i="22"/>
  <c r="F705" i="22"/>
  <c r="F706" i="22"/>
  <c r="F707" i="22"/>
  <c r="F708" i="22"/>
  <c r="F709" i="22"/>
  <c r="F710" i="22"/>
  <c r="F711" i="22"/>
  <c r="F712" i="22"/>
  <c r="F713" i="22"/>
  <c r="F714" i="22"/>
  <c r="F715" i="22"/>
  <c r="F716" i="22"/>
  <c r="F717" i="22"/>
  <c r="F718" i="22"/>
  <c r="F719" i="22"/>
  <c r="F720" i="22"/>
  <c r="F721" i="22"/>
  <c r="F722" i="22"/>
  <c r="F723" i="22"/>
  <c r="F724" i="22"/>
  <c r="F725" i="22"/>
  <c r="F726" i="22"/>
  <c r="F727" i="22"/>
  <c r="F728" i="22"/>
  <c r="F729" i="22"/>
  <c r="F730" i="22"/>
  <c r="F731" i="22"/>
  <c r="F732" i="22"/>
  <c r="F733" i="22"/>
  <c r="F734" i="22"/>
  <c r="F735" i="22"/>
  <c r="F736" i="22"/>
  <c r="F737" i="22"/>
  <c r="F738" i="22"/>
  <c r="F739" i="22"/>
  <c r="F740" i="22"/>
  <c r="F741" i="22"/>
  <c r="F742" i="22"/>
  <c r="F743" i="22"/>
  <c r="F744" i="22"/>
  <c r="F745" i="22"/>
  <c r="F746" i="22"/>
  <c r="F747" i="22"/>
  <c r="F748" i="22"/>
  <c r="F749" i="22"/>
  <c r="F750" i="22"/>
  <c r="F751" i="22"/>
  <c r="F752" i="22"/>
  <c r="F753" i="22"/>
  <c r="F754" i="22"/>
  <c r="F755" i="22"/>
  <c r="F756" i="22"/>
  <c r="F757" i="22"/>
  <c r="F758" i="22"/>
  <c r="F759" i="22"/>
  <c r="F760" i="22"/>
  <c r="F761" i="22"/>
  <c r="F762" i="22"/>
  <c r="F763" i="22"/>
  <c r="F764" i="22"/>
  <c r="F765" i="22"/>
  <c r="F766" i="22"/>
  <c r="F767" i="22"/>
  <c r="F768" i="22"/>
  <c r="F769" i="22"/>
  <c r="F770" i="22"/>
  <c r="F771" i="22"/>
  <c r="F772" i="22"/>
  <c r="F773" i="22"/>
  <c r="F774" i="22"/>
  <c r="F775" i="22"/>
  <c r="F776" i="22"/>
  <c r="F777" i="22"/>
  <c r="F778" i="22"/>
  <c r="F779" i="22"/>
  <c r="F780" i="22"/>
  <c r="F781" i="22"/>
  <c r="F782" i="22"/>
  <c r="F783" i="22"/>
  <c r="F784" i="22"/>
  <c r="F785" i="22"/>
  <c r="F786" i="22"/>
  <c r="F787" i="22"/>
  <c r="F788" i="22"/>
  <c r="F789" i="22"/>
  <c r="F2" i="22"/>
  <c r="AP207" i="29"/>
  <c r="AO207" i="29"/>
  <c r="AN207" i="29"/>
  <c r="AM207" i="29"/>
  <c r="AL207" i="29"/>
  <c r="AK207" i="29"/>
  <c r="AJ207" i="29"/>
  <c r="AI207" i="29"/>
  <c r="AH207" i="29"/>
  <c r="AG207" i="29"/>
  <c r="AQ207" i="29" s="1"/>
  <c r="AG9" i="29"/>
  <c r="AH9" i="29"/>
  <c r="AI9" i="29"/>
  <c r="AJ9" i="29"/>
  <c r="AK9" i="29"/>
  <c r="AL9" i="29"/>
  <c r="AM9" i="29"/>
  <c r="AN9" i="29"/>
  <c r="AO9" i="29"/>
  <c r="AP9" i="29"/>
  <c r="AQ9" i="29"/>
  <c r="AG10" i="29"/>
  <c r="AQ10" i="29" s="1"/>
  <c r="AH10" i="29"/>
  <c r="AI10" i="29"/>
  <c r="AJ10" i="29"/>
  <c r="AK10" i="29"/>
  <c r="AL10" i="29"/>
  <c r="AM10" i="29"/>
  <c r="AN10" i="29"/>
  <c r="AO10" i="29"/>
  <c r="AP10" i="29"/>
  <c r="AG11" i="29"/>
  <c r="AQ11" i="29" s="1"/>
  <c r="AH11" i="29"/>
  <c r="AI11" i="29"/>
  <c r="AJ11" i="29"/>
  <c r="AK11" i="29"/>
  <c r="AL11" i="29"/>
  <c r="AM11" i="29"/>
  <c r="AN11" i="29"/>
  <c r="AO11" i="29"/>
  <c r="AP11" i="29"/>
  <c r="AG12" i="29"/>
  <c r="AQ12" i="29" s="1"/>
  <c r="AH12" i="29"/>
  <c r="AI12" i="29"/>
  <c r="AJ12" i="29"/>
  <c r="AK12" i="29"/>
  <c r="AL12" i="29"/>
  <c r="AM12" i="29"/>
  <c r="AN12" i="29"/>
  <c r="AO12" i="29"/>
  <c r="AP12" i="29"/>
  <c r="AG13" i="29"/>
  <c r="AQ13" i="29" s="1"/>
  <c r="AH13" i="29"/>
  <c r="AI13" i="29"/>
  <c r="AJ13" i="29"/>
  <c r="AK13" i="29"/>
  <c r="AL13" i="29"/>
  <c r="AM13" i="29"/>
  <c r="AN13" i="29"/>
  <c r="AO13" i="29"/>
  <c r="AP13" i="29"/>
  <c r="AG14" i="29"/>
  <c r="AQ14" i="29" s="1"/>
  <c r="AH14" i="29"/>
  <c r="AI14" i="29"/>
  <c r="AJ14" i="29"/>
  <c r="AK14" i="29"/>
  <c r="AL14" i="29"/>
  <c r="AM14" i="29"/>
  <c r="AN14" i="29"/>
  <c r="AO14" i="29"/>
  <c r="AP14" i="29"/>
  <c r="AG15" i="29"/>
  <c r="AQ15" i="29" s="1"/>
  <c r="AH15" i="29"/>
  <c r="AI15" i="29"/>
  <c r="AJ15" i="29"/>
  <c r="AK15" i="29"/>
  <c r="AL15" i="29"/>
  <c r="AM15" i="29"/>
  <c r="AN15" i="29"/>
  <c r="AO15" i="29"/>
  <c r="AP15" i="29"/>
  <c r="AG16" i="29"/>
  <c r="AQ16" i="29" s="1"/>
  <c r="AH16" i="29"/>
  <c r="AI16" i="29"/>
  <c r="AJ16" i="29"/>
  <c r="AK16" i="29"/>
  <c r="AL16" i="29"/>
  <c r="AM16" i="29"/>
  <c r="AN16" i="29"/>
  <c r="AO16" i="29"/>
  <c r="AP16" i="29"/>
  <c r="AG17" i="29"/>
  <c r="AQ17" i="29" s="1"/>
  <c r="AH17" i="29"/>
  <c r="AI17" i="29"/>
  <c r="AJ17" i="29"/>
  <c r="AK17" i="29"/>
  <c r="AL17" i="29"/>
  <c r="AM17" i="29"/>
  <c r="AN17" i="29"/>
  <c r="AO17" i="29"/>
  <c r="AP17" i="29"/>
  <c r="AG18" i="29"/>
  <c r="AQ18" i="29" s="1"/>
  <c r="AH18" i="29"/>
  <c r="AI18" i="29"/>
  <c r="AJ18" i="29"/>
  <c r="AK18" i="29"/>
  <c r="AL18" i="29"/>
  <c r="AM18" i="29"/>
  <c r="AN18" i="29"/>
  <c r="AO18" i="29"/>
  <c r="AP18" i="29"/>
  <c r="AG19" i="29"/>
  <c r="AQ19" i="29" s="1"/>
  <c r="AH19" i="29"/>
  <c r="AI19" i="29"/>
  <c r="AJ19" i="29"/>
  <c r="AK19" i="29"/>
  <c r="AL19" i="29"/>
  <c r="AM19" i="29"/>
  <c r="AN19" i="29"/>
  <c r="AO19" i="29"/>
  <c r="AP19" i="29"/>
  <c r="AG20" i="29"/>
  <c r="AH20" i="29"/>
  <c r="AI20" i="29"/>
  <c r="AJ20" i="29"/>
  <c r="AK20" i="29"/>
  <c r="AL20" i="29"/>
  <c r="AM20" i="29"/>
  <c r="AN20" i="29"/>
  <c r="AO20" i="29"/>
  <c r="AP20" i="29"/>
  <c r="AQ20" i="29"/>
  <c r="AG21" i="29"/>
  <c r="AH21" i="29"/>
  <c r="AI21" i="29"/>
  <c r="AJ21" i="29"/>
  <c r="AK21" i="29"/>
  <c r="AL21" i="29"/>
  <c r="AM21" i="29"/>
  <c r="AN21" i="29"/>
  <c r="AO21" i="29"/>
  <c r="AP21" i="29"/>
  <c r="AQ21" i="29"/>
  <c r="AG22" i="29"/>
  <c r="AQ22" i="29" s="1"/>
  <c r="AH22" i="29"/>
  <c r="AI22" i="29"/>
  <c r="AJ22" i="29"/>
  <c r="AK22" i="29"/>
  <c r="AL22" i="29"/>
  <c r="AM22" i="29"/>
  <c r="AN22" i="29"/>
  <c r="AO22" i="29"/>
  <c r="AP22" i="29"/>
  <c r="AG23" i="29"/>
  <c r="AQ23" i="29" s="1"/>
  <c r="AH23" i="29"/>
  <c r="AI23" i="29"/>
  <c r="AJ23" i="29"/>
  <c r="AK23" i="29"/>
  <c r="AL23" i="29"/>
  <c r="AM23" i="29"/>
  <c r="AN23" i="29"/>
  <c r="AO23" i="29"/>
  <c r="AP23" i="29"/>
  <c r="AG24" i="29"/>
  <c r="AQ24" i="29" s="1"/>
  <c r="AH24" i="29"/>
  <c r="AI24" i="29"/>
  <c r="AJ24" i="29"/>
  <c r="AK24" i="29"/>
  <c r="AL24" i="29"/>
  <c r="AM24" i="29"/>
  <c r="AN24" i="29"/>
  <c r="AO24" i="29"/>
  <c r="AP24" i="29"/>
  <c r="AG25" i="29"/>
  <c r="AQ25" i="29" s="1"/>
  <c r="AH25" i="29"/>
  <c r="AI25" i="29"/>
  <c r="AJ25" i="29"/>
  <c r="AK25" i="29"/>
  <c r="AL25" i="29"/>
  <c r="AM25" i="29"/>
  <c r="AN25" i="29"/>
  <c r="AO25" i="29"/>
  <c r="AP25" i="29"/>
  <c r="AG26" i="29"/>
  <c r="AQ26" i="29" s="1"/>
  <c r="AH26" i="29"/>
  <c r="AI26" i="29"/>
  <c r="AJ26" i="29"/>
  <c r="AK26" i="29"/>
  <c r="AL26" i="29"/>
  <c r="AM26" i="29"/>
  <c r="AN26" i="29"/>
  <c r="AO26" i="29"/>
  <c r="AP26" i="29"/>
  <c r="AG27" i="29"/>
  <c r="AQ27" i="29" s="1"/>
  <c r="AH27" i="29"/>
  <c r="AI27" i="29"/>
  <c r="AJ27" i="29"/>
  <c r="AK27" i="29"/>
  <c r="AL27" i="29"/>
  <c r="AM27" i="29"/>
  <c r="AN27" i="29"/>
  <c r="AO27" i="29"/>
  <c r="AP27" i="29"/>
  <c r="AG28" i="29"/>
  <c r="AQ28" i="29" s="1"/>
  <c r="AH28" i="29"/>
  <c r="AI28" i="29"/>
  <c r="AJ28" i="29"/>
  <c r="AK28" i="29"/>
  <c r="AL28" i="29"/>
  <c r="AM28" i="29"/>
  <c r="AN28" i="29"/>
  <c r="AO28" i="29"/>
  <c r="AP28" i="29"/>
  <c r="AG29" i="29"/>
  <c r="AQ29" i="29" s="1"/>
  <c r="AH29" i="29"/>
  <c r="AI29" i="29"/>
  <c r="AJ29" i="29"/>
  <c r="AK29" i="29"/>
  <c r="AL29" i="29"/>
  <c r="AM29" i="29"/>
  <c r="AN29" i="29"/>
  <c r="AO29" i="29"/>
  <c r="AP29" i="29"/>
  <c r="AG30" i="29"/>
  <c r="AQ30" i="29" s="1"/>
  <c r="AH30" i="29"/>
  <c r="AI30" i="29"/>
  <c r="AJ30" i="29"/>
  <c r="AK30" i="29"/>
  <c r="AL30" i="29"/>
  <c r="AM30" i="29"/>
  <c r="AN30" i="29"/>
  <c r="AO30" i="29"/>
  <c r="AP30" i="29"/>
  <c r="AG31" i="29"/>
  <c r="AQ31" i="29" s="1"/>
  <c r="AH31" i="29"/>
  <c r="AI31" i="29"/>
  <c r="AJ31" i="29"/>
  <c r="AK31" i="29"/>
  <c r="AL31" i="29"/>
  <c r="AM31" i="29"/>
  <c r="AN31" i="29"/>
  <c r="AO31" i="29"/>
  <c r="AP31" i="29"/>
  <c r="AG32" i="29"/>
  <c r="AH32" i="29"/>
  <c r="AI32" i="29"/>
  <c r="AJ32" i="29"/>
  <c r="AK32" i="29"/>
  <c r="AL32" i="29"/>
  <c r="AM32" i="29"/>
  <c r="AN32" i="29"/>
  <c r="AO32" i="29"/>
  <c r="AP32" i="29"/>
  <c r="AQ32" i="29"/>
  <c r="AG33" i="29"/>
  <c r="AH33" i="29"/>
  <c r="AI33" i="29"/>
  <c r="AJ33" i="29"/>
  <c r="AK33" i="29"/>
  <c r="AL33" i="29"/>
  <c r="AM33" i="29"/>
  <c r="AN33" i="29"/>
  <c r="AO33" i="29"/>
  <c r="AP33" i="29"/>
  <c r="AQ33" i="29"/>
  <c r="AG34" i="29"/>
  <c r="AQ34" i="29" s="1"/>
  <c r="AH34" i="29"/>
  <c r="AI34" i="29"/>
  <c r="AJ34" i="29"/>
  <c r="AK34" i="29"/>
  <c r="AL34" i="29"/>
  <c r="AM34" i="29"/>
  <c r="AN34" i="29"/>
  <c r="AO34" i="29"/>
  <c r="AP34" i="29"/>
  <c r="AG35" i="29"/>
  <c r="AQ35" i="29" s="1"/>
  <c r="AH35" i="29"/>
  <c r="AI35" i="29"/>
  <c r="AJ35" i="29"/>
  <c r="AK35" i="29"/>
  <c r="AL35" i="29"/>
  <c r="AM35" i="29"/>
  <c r="AN35" i="29"/>
  <c r="AO35" i="29"/>
  <c r="AP35" i="29"/>
  <c r="AG36" i="29"/>
  <c r="AQ36" i="29" s="1"/>
  <c r="AH36" i="29"/>
  <c r="AI36" i="29"/>
  <c r="AJ36" i="29"/>
  <c r="AK36" i="29"/>
  <c r="AL36" i="29"/>
  <c r="AM36" i="29"/>
  <c r="AN36" i="29"/>
  <c r="AO36" i="29"/>
  <c r="AP36" i="29"/>
  <c r="AG37" i="29"/>
  <c r="AQ37" i="29" s="1"/>
  <c r="AH37" i="29"/>
  <c r="AI37" i="29"/>
  <c r="AJ37" i="29"/>
  <c r="AK37" i="29"/>
  <c r="AL37" i="29"/>
  <c r="AM37" i="29"/>
  <c r="AN37" i="29"/>
  <c r="AO37" i="29"/>
  <c r="AP37" i="29"/>
  <c r="AG38" i="29"/>
  <c r="AQ38" i="29" s="1"/>
  <c r="AH38" i="29"/>
  <c r="AI38" i="29"/>
  <c r="AJ38" i="29"/>
  <c r="AK38" i="29"/>
  <c r="AL38" i="29"/>
  <c r="AM38" i="29"/>
  <c r="AN38" i="29"/>
  <c r="AO38" i="29"/>
  <c r="AP38" i="29"/>
  <c r="AG39" i="29"/>
  <c r="AQ39" i="29" s="1"/>
  <c r="AH39" i="29"/>
  <c r="AI39" i="29"/>
  <c r="AJ39" i="29"/>
  <c r="AK39" i="29"/>
  <c r="AL39" i="29"/>
  <c r="AM39" i="29"/>
  <c r="AN39" i="29"/>
  <c r="AO39" i="29"/>
  <c r="AP39" i="29"/>
  <c r="AG40" i="29"/>
  <c r="AQ40" i="29" s="1"/>
  <c r="AH40" i="29"/>
  <c r="AI40" i="29"/>
  <c r="AJ40" i="29"/>
  <c r="AK40" i="29"/>
  <c r="AL40" i="29"/>
  <c r="AM40" i="29"/>
  <c r="AN40" i="29"/>
  <c r="AO40" i="29"/>
  <c r="AP40" i="29"/>
  <c r="AG41" i="29"/>
  <c r="AQ41" i="29" s="1"/>
  <c r="AH41" i="29"/>
  <c r="AI41" i="29"/>
  <c r="AJ41" i="29"/>
  <c r="AK41" i="29"/>
  <c r="AL41" i="29"/>
  <c r="AM41" i="29"/>
  <c r="AN41" i="29"/>
  <c r="AO41" i="29"/>
  <c r="AP41" i="29"/>
  <c r="AG42" i="29"/>
  <c r="AQ42" i="29" s="1"/>
  <c r="AH42" i="29"/>
  <c r="AI42" i="29"/>
  <c r="AJ42" i="29"/>
  <c r="AK42" i="29"/>
  <c r="AL42" i="29"/>
  <c r="AM42" i="29"/>
  <c r="AN42" i="29"/>
  <c r="AO42" i="29"/>
  <c r="AP42" i="29"/>
  <c r="AG43" i="29"/>
  <c r="AH43" i="29"/>
  <c r="AQ43" i="29" s="1"/>
  <c r="AI43" i="29"/>
  <c r="AJ43" i="29"/>
  <c r="AK43" i="29"/>
  <c r="AL43" i="29"/>
  <c r="AM43" i="29"/>
  <c r="AN43" i="29"/>
  <c r="AO43" i="29"/>
  <c r="AP43" i="29"/>
  <c r="AG44" i="29"/>
  <c r="AH44" i="29"/>
  <c r="AI44" i="29"/>
  <c r="AJ44" i="29"/>
  <c r="AK44" i="29"/>
  <c r="AL44" i="29"/>
  <c r="AM44" i="29"/>
  <c r="AN44" i="29"/>
  <c r="AO44" i="29"/>
  <c r="AP44" i="29"/>
  <c r="AQ44" i="29"/>
  <c r="AG45" i="29"/>
  <c r="AH45" i="29"/>
  <c r="AI45" i="29"/>
  <c r="AJ45" i="29"/>
  <c r="AK45" i="29"/>
  <c r="AL45" i="29"/>
  <c r="AM45" i="29"/>
  <c r="AN45" i="29"/>
  <c r="AO45" i="29"/>
  <c r="AP45" i="29"/>
  <c r="AQ45" i="29"/>
  <c r="AG46" i="29"/>
  <c r="AQ46" i="29" s="1"/>
  <c r="AH46" i="29"/>
  <c r="AI46" i="29"/>
  <c r="AJ46" i="29"/>
  <c r="AK46" i="29"/>
  <c r="AL46" i="29"/>
  <c r="AM46" i="29"/>
  <c r="AN46" i="29"/>
  <c r="AO46" i="29"/>
  <c r="AP46" i="29"/>
  <c r="AG47" i="29"/>
  <c r="AQ47" i="29" s="1"/>
  <c r="AH47" i="29"/>
  <c r="AI47" i="29"/>
  <c r="AJ47" i="29"/>
  <c r="AK47" i="29"/>
  <c r="AL47" i="29"/>
  <c r="AM47" i="29"/>
  <c r="AN47" i="29"/>
  <c r="AO47" i="29"/>
  <c r="AP47" i="29"/>
  <c r="AG48" i="29"/>
  <c r="AQ48" i="29" s="1"/>
  <c r="AH48" i="29"/>
  <c r="AI48" i="29"/>
  <c r="AJ48" i="29"/>
  <c r="AK48" i="29"/>
  <c r="AL48" i="29"/>
  <c r="AM48" i="29"/>
  <c r="AN48" i="29"/>
  <c r="AO48" i="29"/>
  <c r="AP48" i="29"/>
  <c r="AG49" i="29"/>
  <c r="AQ49" i="29" s="1"/>
  <c r="AH49" i="29"/>
  <c r="AI49" i="29"/>
  <c r="AJ49" i="29"/>
  <c r="AK49" i="29"/>
  <c r="AL49" i="29"/>
  <c r="AM49" i="29"/>
  <c r="AN49" i="29"/>
  <c r="AO49" i="29"/>
  <c r="AP49" i="29"/>
  <c r="AG50" i="29"/>
  <c r="AQ50" i="29" s="1"/>
  <c r="AH50" i="29"/>
  <c r="AI50" i="29"/>
  <c r="AJ50" i="29"/>
  <c r="AK50" i="29"/>
  <c r="AL50" i="29"/>
  <c r="AM50" i="29"/>
  <c r="AN50" i="29"/>
  <c r="AO50" i="29"/>
  <c r="AP50" i="29"/>
  <c r="AG51" i="29"/>
  <c r="AQ51" i="29" s="1"/>
  <c r="AH51" i="29"/>
  <c r="AI51" i="29"/>
  <c r="AJ51" i="29"/>
  <c r="AK51" i="29"/>
  <c r="AL51" i="29"/>
  <c r="AM51" i="29"/>
  <c r="AN51" i="29"/>
  <c r="AO51" i="29"/>
  <c r="AP51" i="29"/>
  <c r="AG52" i="29"/>
  <c r="AQ52" i="29" s="1"/>
  <c r="AH52" i="29"/>
  <c r="AI52" i="29"/>
  <c r="AJ52" i="29"/>
  <c r="AK52" i="29"/>
  <c r="AL52" i="29"/>
  <c r="AM52" i="29"/>
  <c r="AN52" i="29"/>
  <c r="AO52" i="29"/>
  <c r="AP52" i="29"/>
  <c r="AG53" i="29"/>
  <c r="AQ53" i="29" s="1"/>
  <c r="AH53" i="29"/>
  <c r="AI53" i="29"/>
  <c r="AJ53" i="29"/>
  <c r="AK53" i="29"/>
  <c r="AL53" i="29"/>
  <c r="AM53" i="29"/>
  <c r="AN53" i="29"/>
  <c r="AO53" i="29"/>
  <c r="AP53" i="29"/>
  <c r="AG54" i="29"/>
  <c r="AQ54" i="29" s="1"/>
  <c r="AH54" i="29"/>
  <c r="AI54" i="29"/>
  <c r="AJ54" i="29"/>
  <c r="AK54" i="29"/>
  <c r="AL54" i="29"/>
  <c r="AM54" i="29"/>
  <c r="AN54" i="29"/>
  <c r="AO54" i="29"/>
  <c r="AP54" i="29"/>
  <c r="AG55" i="29"/>
  <c r="AQ55" i="29" s="1"/>
  <c r="AH55" i="29"/>
  <c r="AI55" i="29"/>
  <c r="AJ55" i="29"/>
  <c r="AK55" i="29"/>
  <c r="AL55" i="29"/>
  <c r="AM55" i="29"/>
  <c r="AN55" i="29"/>
  <c r="AO55" i="29"/>
  <c r="AP55" i="29"/>
  <c r="AG56" i="29"/>
  <c r="AH56" i="29"/>
  <c r="AI56" i="29"/>
  <c r="AJ56" i="29"/>
  <c r="AK56" i="29"/>
  <c r="AL56" i="29"/>
  <c r="AM56" i="29"/>
  <c r="AN56" i="29"/>
  <c r="AO56" i="29"/>
  <c r="AP56" i="29"/>
  <c r="AQ56" i="29"/>
  <c r="AG57" i="29"/>
  <c r="AH57" i="29"/>
  <c r="AI57" i="29"/>
  <c r="AJ57" i="29"/>
  <c r="AK57" i="29"/>
  <c r="AL57" i="29"/>
  <c r="AM57" i="29"/>
  <c r="AN57" i="29"/>
  <c r="AO57" i="29"/>
  <c r="AP57" i="29"/>
  <c r="AQ57" i="29"/>
  <c r="AG58" i="29"/>
  <c r="AQ58" i="29" s="1"/>
  <c r="AH58" i="29"/>
  <c r="AI58" i="29"/>
  <c r="AJ58" i="29"/>
  <c r="AK58" i="29"/>
  <c r="AL58" i="29"/>
  <c r="AM58" i="29"/>
  <c r="AN58" i="29"/>
  <c r="AO58" i="29"/>
  <c r="AP58" i="29"/>
  <c r="AG59" i="29"/>
  <c r="AQ59" i="29" s="1"/>
  <c r="AH59" i="29"/>
  <c r="AI59" i="29"/>
  <c r="AJ59" i="29"/>
  <c r="AK59" i="29"/>
  <c r="AL59" i="29"/>
  <c r="AM59" i="29"/>
  <c r="AN59" i="29"/>
  <c r="AO59" i="29"/>
  <c r="AP59" i="29"/>
  <c r="AG60" i="29"/>
  <c r="AQ60" i="29" s="1"/>
  <c r="AH60" i="29"/>
  <c r="AI60" i="29"/>
  <c r="AJ60" i="29"/>
  <c r="AK60" i="29"/>
  <c r="AL60" i="29"/>
  <c r="AM60" i="29"/>
  <c r="AN60" i="29"/>
  <c r="AO60" i="29"/>
  <c r="AP60" i="29"/>
  <c r="AG61" i="29"/>
  <c r="AQ61" i="29" s="1"/>
  <c r="AH61" i="29"/>
  <c r="AI61" i="29"/>
  <c r="AJ61" i="29"/>
  <c r="AK61" i="29"/>
  <c r="AL61" i="29"/>
  <c r="AM61" i="29"/>
  <c r="AN61" i="29"/>
  <c r="AO61" i="29"/>
  <c r="AP61" i="29"/>
  <c r="AG62" i="29"/>
  <c r="AQ62" i="29" s="1"/>
  <c r="AH62" i="29"/>
  <c r="AI62" i="29"/>
  <c r="AJ62" i="29"/>
  <c r="AK62" i="29"/>
  <c r="AL62" i="29"/>
  <c r="AM62" i="29"/>
  <c r="AN62" i="29"/>
  <c r="AO62" i="29"/>
  <c r="AP62" i="29"/>
  <c r="AG63" i="29"/>
  <c r="AQ63" i="29" s="1"/>
  <c r="AH63" i="29"/>
  <c r="AI63" i="29"/>
  <c r="AJ63" i="29"/>
  <c r="AK63" i="29"/>
  <c r="AL63" i="29"/>
  <c r="AM63" i="29"/>
  <c r="AN63" i="29"/>
  <c r="AO63" i="29"/>
  <c r="AP63" i="29"/>
  <c r="AG64" i="29"/>
  <c r="AQ64" i="29" s="1"/>
  <c r="AH64" i="29"/>
  <c r="AI64" i="29"/>
  <c r="AJ64" i="29"/>
  <c r="AK64" i="29"/>
  <c r="AL64" i="29"/>
  <c r="AM64" i="29"/>
  <c r="AN64" i="29"/>
  <c r="AO64" i="29"/>
  <c r="AP64" i="29"/>
  <c r="AG65" i="29"/>
  <c r="AQ65" i="29" s="1"/>
  <c r="AH65" i="29"/>
  <c r="AI65" i="29"/>
  <c r="AJ65" i="29"/>
  <c r="AK65" i="29"/>
  <c r="AL65" i="29"/>
  <c r="AM65" i="29"/>
  <c r="AN65" i="29"/>
  <c r="AO65" i="29"/>
  <c r="AP65" i="29"/>
  <c r="AG66" i="29"/>
  <c r="AQ66" i="29" s="1"/>
  <c r="AH66" i="29"/>
  <c r="AI66" i="29"/>
  <c r="AJ66" i="29"/>
  <c r="AK66" i="29"/>
  <c r="AL66" i="29"/>
  <c r="AM66" i="29"/>
  <c r="AN66" i="29"/>
  <c r="AO66" i="29"/>
  <c r="AP66" i="29"/>
  <c r="AG67" i="29"/>
  <c r="AH67" i="29"/>
  <c r="AQ67" i="29" s="1"/>
  <c r="AI67" i="29"/>
  <c r="AJ67" i="29"/>
  <c r="AK67" i="29"/>
  <c r="AL67" i="29"/>
  <c r="AM67" i="29"/>
  <c r="AN67" i="29"/>
  <c r="AO67" i="29"/>
  <c r="AP67" i="29"/>
  <c r="AG68" i="29"/>
  <c r="AH68" i="29"/>
  <c r="AI68" i="29"/>
  <c r="AJ68" i="29"/>
  <c r="AK68" i="29"/>
  <c r="AL68" i="29"/>
  <c r="AM68" i="29"/>
  <c r="AN68" i="29"/>
  <c r="AO68" i="29"/>
  <c r="AP68" i="29"/>
  <c r="AQ68" i="29"/>
  <c r="AG69" i="29"/>
  <c r="AH69" i="29"/>
  <c r="AI69" i="29"/>
  <c r="AJ69" i="29"/>
  <c r="AK69" i="29"/>
  <c r="AL69" i="29"/>
  <c r="AM69" i="29"/>
  <c r="AN69" i="29"/>
  <c r="AO69" i="29"/>
  <c r="AP69" i="29"/>
  <c r="AQ69" i="29"/>
  <c r="AG70" i="29"/>
  <c r="AQ70" i="29" s="1"/>
  <c r="AH70" i="29"/>
  <c r="AI70" i="29"/>
  <c r="AJ70" i="29"/>
  <c r="AK70" i="29"/>
  <c r="AL70" i="29"/>
  <c r="AM70" i="29"/>
  <c r="AN70" i="29"/>
  <c r="AO70" i="29"/>
  <c r="AP70" i="29"/>
  <c r="AG71" i="29"/>
  <c r="AQ71" i="29" s="1"/>
  <c r="AH71" i="29"/>
  <c r="AI71" i="29"/>
  <c r="AJ71" i="29"/>
  <c r="AK71" i="29"/>
  <c r="AL71" i="29"/>
  <c r="AM71" i="29"/>
  <c r="AN71" i="29"/>
  <c r="AO71" i="29"/>
  <c r="AP71" i="29"/>
  <c r="AG72" i="29"/>
  <c r="AQ72" i="29" s="1"/>
  <c r="AH72" i="29"/>
  <c r="AI72" i="29"/>
  <c r="AJ72" i="29"/>
  <c r="AK72" i="29"/>
  <c r="AL72" i="29"/>
  <c r="AM72" i="29"/>
  <c r="AN72" i="29"/>
  <c r="AO72" i="29"/>
  <c r="AP72" i="29"/>
  <c r="AG73" i="29"/>
  <c r="AQ73" i="29" s="1"/>
  <c r="AH73" i="29"/>
  <c r="AI73" i="29"/>
  <c r="AJ73" i="29"/>
  <c r="AK73" i="29"/>
  <c r="AL73" i="29"/>
  <c r="AM73" i="29"/>
  <c r="AN73" i="29"/>
  <c r="AO73" i="29"/>
  <c r="AP73" i="29"/>
  <c r="AG74" i="29"/>
  <c r="AQ74" i="29" s="1"/>
  <c r="AH74" i="29"/>
  <c r="AI74" i="29"/>
  <c r="AJ74" i="29"/>
  <c r="AK74" i="29"/>
  <c r="AL74" i="29"/>
  <c r="AM74" i="29"/>
  <c r="AN74" i="29"/>
  <c r="AO74" i="29"/>
  <c r="AP74" i="29"/>
  <c r="AG75" i="29"/>
  <c r="AQ75" i="29" s="1"/>
  <c r="AH75" i="29"/>
  <c r="AI75" i="29"/>
  <c r="AJ75" i="29"/>
  <c r="AK75" i="29"/>
  <c r="AL75" i="29"/>
  <c r="AM75" i="29"/>
  <c r="AN75" i="29"/>
  <c r="AO75" i="29"/>
  <c r="AP75" i="29"/>
  <c r="AG76" i="29"/>
  <c r="AQ76" i="29" s="1"/>
  <c r="AH76" i="29"/>
  <c r="AI76" i="29"/>
  <c r="AJ76" i="29"/>
  <c r="AK76" i="29"/>
  <c r="AL76" i="29"/>
  <c r="AM76" i="29"/>
  <c r="AN76" i="29"/>
  <c r="AO76" i="29"/>
  <c r="AP76" i="29"/>
  <c r="AG77" i="29"/>
  <c r="AQ77" i="29" s="1"/>
  <c r="AH77" i="29"/>
  <c r="AI77" i="29"/>
  <c r="AJ77" i="29"/>
  <c r="AK77" i="29"/>
  <c r="AL77" i="29"/>
  <c r="AM77" i="29"/>
  <c r="AN77" i="29"/>
  <c r="AO77" i="29"/>
  <c r="AP77" i="29"/>
  <c r="AG78" i="29"/>
  <c r="AQ78" i="29" s="1"/>
  <c r="AH78" i="29"/>
  <c r="AI78" i="29"/>
  <c r="AJ78" i="29"/>
  <c r="AK78" i="29"/>
  <c r="AL78" i="29"/>
  <c r="AM78" i="29"/>
  <c r="AN78" i="29"/>
  <c r="AO78" i="29"/>
  <c r="AP78" i="29"/>
  <c r="AG79" i="29"/>
  <c r="AH79" i="29"/>
  <c r="AQ79" i="29" s="1"/>
  <c r="AI79" i="29"/>
  <c r="AJ79" i="29"/>
  <c r="AK79" i="29"/>
  <c r="AL79" i="29"/>
  <c r="AM79" i="29"/>
  <c r="AN79" i="29"/>
  <c r="AO79" i="29"/>
  <c r="AP79" i="29"/>
  <c r="AG80" i="29"/>
  <c r="AH80" i="29"/>
  <c r="AI80" i="29"/>
  <c r="AJ80" i="29"/>
  <c r="AK80" i="29"/>
  <c r="AL80" i="29"/>
  <c r="AM80" i="29"/>
  <c r="AN80" i="29"/>
  <c r="AO80" i="29"/>
  <c r="AP80" i="29"/>
  <c r="AQ80" i="29"/>
  <c r="AG81" i="29"/>
  <c r="AH81" i="29"/>
  <c r="AI81" i="29"/>
  <c r="AJ81" i="29"/>
  <c r="AK81" i="29"/>
  <c r="AL81" i="29"/>
  <c r="AM81" i="29"/>
  <c r="AN81" i="29"/>
  <c r="AO81" i="29"/>
  <c r="AP81" i="29"/>
  <c r="AQ81" i="29"/>
  <c r="AG82" i="29"/>
  <c r="AQ82" i="29" s="1"/>
  <c r="AH82" i="29"/>
  <c r="AI82" i="29"/>
  <c r="AJ82" i="29"/>
  <c r="AK82" i="29"/>
  <c r="AL82" i="29"/>
  <c r="AM82" i="29"/>
  <c r="AN82" i="29"/>
  <c r="AO82" i="29"/>
  <c r="AP82" i="29"/>
  <c r="AG83" i="29"/>
  <c r="AQ83" i="29" s="1"/>
  <c r="AH83" i="29"/>
  <c r="AI83" i="29"/>
  <c r="AJ83" i="29"/>
  <c r="AK83" i="29"/>
  <c r="AL83" i="29"/>
  <c r="AM83" i="29"/>
  <c r="AN83" i="29"/>
  <c r="AO83" i="29"/>
  <c r="AP83" i="29"/>
  <c r="AG84" i="29"/>
  <c r="AQ84" i="29" s="1"/>
  <c r="AH84" i="29"/>
  <c r="AI84" i="29"/>
  <c r="AJ84" i="29"/>
  <c r="AK84" i="29"/>
  <c r="AL84" i="29"/>
  <c r="AM84" i="29"/>
  <c r="AN84" i="29"/>
  <c r="AO84" i="29"/>
  <c r="AP84" i="29"/>
  <c r="AG85" i="29"/>
  <c r="AQ85" i="29" s="1"/>
  <c r="AH85" i="29"/>
  <c r="AI85" i="29"/>
  <c r="AJ85" i="29"/>
  <c r="AK85" i="29"/>
  <c r="AL85" i="29"/>
  <c r="AM85" i="29"/>
  <c r="AN85" i="29"/>
  <c r="AO85" i="29"/>
  <c r="AP85" i="29"/>
  <c r="AG86" i="29"/>
  <c r="AQ86" i="29" s="1"/>
  <c r="AH86" i="29"/>
  <c r="AI86" i="29"/>
  <c r="AJ86" i="29"/>
  <c r="AK86" i="29"/>
  <c r="AL86" i="29"/>
  <c r="AM86" i="29"/>
  <c r="AN86" i="29"/>
  <c r="AO86" i="29"/>
  <c r="AP86" i="29"/>
  <c r="AG87" i="29"/>
  <c r="AQ87" i="29" s="1"/>
  <c r="AH87" i="29"/>
  <c r="AI87" i="29"/>
  <c r="AJ87" i="29"/>
  <c r="AK87" i="29"/>
  <c r="AL87" i="29"/>
  <c r="AM87" i="29"/>
  <c r="AN87" i="29"/>
  <c r="AO87" i="29"/>
  <c r="AP87" i="29"/>
  <c r="AG88" i="29"/>
  <c r="AQ88" i="29" s="1"/>
  <c r="AH88" i="29"/>
  <c r="AI88" i="29"/>
  <c r="AJ88" i="29"/>
  <c r="AK88" i="29"/>
  <c r="AL88" i="29"/>
  <c r="AM88" i="29"/>
  <c r="AN88" i="29"/>
  <c r="AO88" i="29"/>
  <c r="AP88" i="29"/>
  <c r="AG89" i="29"/>
  <c r="AQ89" i="29" s="1"/>
  <c r="AH89" i="29"/>
  <c r="AI89" i="29"/>
  <c r="AJ89" i="29"/>
  <c r="AK89" i="29"/>
  <c r="AL89" i="29"/>
  <c r="AM89" i="29"/>
  <c r="AN89" i="29"/>
  <c r="AO89" i="29"/>
  <c r="AP89" i="29"/>
  <c r="AG90" i="29"/>
  <c r="AQ90" i="29" s="1"/>
  <c r="AH90" i="29"/>
  <c r="AI90" i="29"/>
  <c r="AJ90" i="29"/>
  <c r="AK90" i="29"/>
  <c r="AL90" i="29"/>
  <c r="AM90" i="29"/>
  <c r="AN90" i="29"/>
  <c r="AO90" i="29"/>
  <c r="AP90" i="29"/>
  <c r="AG91" i="29"/>
  <c r="AH91" i="29"/>
  <c r="AQ91" i="29" s="1"/>
  <c r="AI91" i="29"/>
  <c r="AJ91" i="29"/>
  <c r="AK91" i="29"/>
  <c r="AL91" i="29"/>
  <c r="AM91" i="29"/>
  <c r="AN91" i="29"/>
  <c r="AO91" i="29"/>
  <c r="AP91" i="29"/>
  <c r="AG92" i="29"/>
  <c r="AH92" i="29"/>
  <c r="AI92" i="29"/>
  <c r="AJ92" i="29"/>
  <c r="AK92" i="29"/>
  <c r="AL92" i="29"/>
  <c r="AM92" i="29"/>
  <c r="AN92" i="29"/>
  <c r="AO92" i="29"/>
  <c r="AP92" i="29"/>
  <c r="AQ92" i="29"/>
  <c r="AG93" i="29"/>
  <c r="AH93" i="29"/>
  <c r="AI93" i="29"/>
  <c r="AJ93" i="29"/>
  <c r="AK93" i="29"/>
  <c r="AL93" i="29"/>
  <c r="AM93" i="29"/>
  <c r="AN93" i="29"/>
  <c r="AO93" i="29"/>
  <c r="AP93" i="29"/>
  <c r="AQ93" i="29"/>
  <c r="AG94" i="29"/>
  <c r="AQ94" i="29" s="1"/>
  <c r="AH94" i="29"/>
  <c r="AI94" i="29"/>
  <c r="AJ94" i="29"/>
  <c r="AK94" i="29"/>
  <c r="AL94" i="29"/>
  <c r="AM94" i="29"/>
  <c r="AN94" i="29"/>
  <c r="AO94" i="29"/>
  <c r="AP94" i="29"/>
  <c r="AG95" i="29"/>
  <c r="AQ95" i="29" s="1"/>
  <c r="AH95" i="29"/>
  <c r="AI95" i="29"/>
  <c r="AJ95" i="29"/>
  <c r="AK95" i="29"/>
  <c r="AL95" i="29"/>
  <c r="AM95" i="29"/>
  <c r="AN95" i="29"/>
  <c r="AO95" i="29"/>
  <c r="AP95" i="29"/>
  <c r="AG96" i="29"/>
  <c r="AQ96" i="29" s="1"/>
  <c r="AH96" i="29"/>
  <c r="AI96" i="29"/>
  <c r="AJ96" i="29"/>
  <c r="AK96" i="29"/>
  <c r="AL96" i="29"/>
  <c r="AM96" i="29"/>
  <c r="AN96" i="29"/>
  <c r="AO96" i="29"/>
  <c r="AP96" i="29"/>
  <c r="AG97" i="29"/>
  <c r="AQ97" i="29" s="1"/>
  <c r="AH97" i="29"/>
  <c r="AI97" i="29"/>
  <c r="AJ97" i="29"/>
  <c r="AK97" i="29"/>
  <c r="AL97" i="29"/>
  <c r="AM97" i="29"/>
  <c r="AN97" i="29"/>
  <c r="AO97" i="29"/>
  <c r="AP97" i="29"/>
  <c r="AG98" i="29"/>
  <c r="AQ98" i="29" s="1"/>
  <c r="AH98" i="29"/>
  <c r="AI98" i="29"/>
  <c r="AJ98" i="29"/>
  <c r="AK98" i="29"/>
  <c r="AL98" i="29"/>
  <c r="AM98" i="29"/>
  <c r="AN98" i="29"/>
  <c r="AO98" i="29"/>
  <c r="AP98" i="29"/>
  <c r="AG99" i="29"/>
  <c r="AQ99" i="29" s="1"/>
  <c r="AH99" i="29"/>
  <c r="AI99" i="29"/>
  <c r="AJ99" i="29"/>
  <c r="AK99" i="29"/>
  <c r="AL99" i="29"/>
  <c r="AM99" i="29"/>
  <c r="AN99" i="29"/>
  <c r="AO99" i="29"/>
  <c r="AP99" i="29"/>
  <c r="AG100" i="29"/>
  <c r="AQ100" i="29" s="1"/>
  <c r="AH100" i="29"/>
  <c r="AI100" i="29"/>
  <c r="AJ100" i="29"/>
  <c r="AK100" i="29"/>
  <c r="AL100" i="29"/>
  <c r="AM100" i="29"/>
  <c r="AN100" i="29"/>
  <c r="AO100" i="29"/>
  <c r="AP100" i="29"/>
  <c r="AG101" i="29"/>
  <c r="AQ101" i="29" s="1"/>
  <c r="AH101" i="29"/>
  <c r="AI101" i="29"/>
  <c r="AJ101" i="29"/>
  <c r="AK101" i="29"/>
  <c r="AL101" i="29"/>
  <c r="AM101" i="29"/>
  <c r="AN101" i="29"/>
  <c r="AO101" i="29"/>
  <c r="AP101" i="29"/>
  <c r="AG102" i="29"/>
  <c r="AQ102" i="29" s="1"/>
  <c r="AH102" i="29"/>
  <c r="AI102" i="29"/>
  <c r="AJ102" i="29"/>
  <c r="AK102" i="29"/>
  <c r="AL102" i="29"/>
  <c r="AM102" i="29"/>
  <c r="AN102" i="29"/>
  <c r="AO102" i="29"/>
  <c r="AP102" i="29"/>
  <c r="AG103" i="29"/>
  <c r="AH103" i="29"/>
  <c r="AQ103" i="29" s="1"/>
  <c r="AI103" i="29"/>
  <c r="AJ103" i="29"/>
  <c r="AK103" i="29"/>
  <c r="AL103" i="29"/>
  <c r="AM103" i="29"/>
  <c r="AN103" i="29"/>
  <c r="AO103" i="29"/>
  <c r="AP103" i="29"/>
  <c r="AG104" i="29"/>
  <c r="AH104" i="29"/>
  <c r="AI104" i="29"/>
  <c r="AJ104" i="29"/>
  <c r="AK104" i="29"/>
  <c r="AL104" i="29"/>
  <c r="AM104" i="29"/>
  <c r="AN104" i="29"/>
  <c r="AO104" i="29"/>
  <c r="AP104" i="29"/>
  <c r="AQ104" i="29"/>
  <c r="AG105" i="29"/>
  <c r="AH105" i="29"/>
  <c r="AI105" i="29"/>
  <c r="AJ105" i="29"/>
  <c r="AK105" i="29"/>
  <c r="AL105" i="29"/>
  <c r="AM105" i="29"/>
  <c r="AN105" i="29"/>
  <c r="AO105" i="29"/>
  <c r="AP105" i="29"/>
  <c r="AQ105" i="29"/>
  <c r="AG106" i="29"/>
  <c r="AQ106" i="29" s="1"/>
  <c r="AH106" i="29"/>
  <c r="AI106" i="29"/>
  <c r="AJ106" i="29"/>
  <c r="AK106" i="29"/>
  <c r="AL106" i="29"/>
  <c r="AM106" i="29"/>
  <c r="AN106" i="29"/>
  <c r="AO106" i="29"/>
  <c r="AP106" i="29"/>
  <c r="AG107" i="29"/>
  <c r="AQ107" i="29" s="1"/>
  <c r="AH107" i="29"/>
  <c r="AI107" i="29"/>
  <c r="AJ107" i="29"/>
  <c r="AK107" i="29"/>
  <c r="AL107" i="29"/>
  <c r="AM107" i="29"/>
  <c r="AN107" i="29"/>
  <c r="AO107" i="29"/>
  <c r="AP107" i="29"/>
  <c r="AG108" i="29"/>
  <c r="AQ108" i="29" s="1"/>
  <c r="AH108" i="29"/>
  <c r="AI108" i="29"/>
  <c r="AJ108" i="29"/>
  <c r="AK108" i="29"/>
  <c r="AL108" i="29"/>
  <c r="AM108" i="29"/>
  <c r="AN108" i="29"/>
  <c r="AO108" i="29"/>
  <c r="AP108" i="29"/>
  <c r="AG109" i="29"/>
  <c r="AQ109" i="29" s="1"/>
  <c r="AH109" i="29"/>
  <c r="AI109" i="29"/>
  <c r="AJ109" i="29"/>
  <c r="AK109" i="29"/>
  <c r="AL109" i="29"/>
  <c r="AM109" i="29"/>
  <c r="AN109" i="29"/>
  <c r="AO109" i="29"/>
  <c r="AP109" i="29"/>
  <c r="AG110" i="29"/>
  <c r="AQ110" i="29" s="1"/>
  <c r="AH110" i="29"/>
  <c r="AI110" i="29"/>
  <c r="AJ110" i="29"/>
  <c r="AK110" i="29"/>
  <c r="AL110" i="29"/>
  <c r="AM110" i="29"/>
  <c r="AN110" i="29"/>
  <c r="AO110" i="29"/>
  <c r="AP110" i="29"/>
  <c r="AG111" i="29"/>
  <c r="AQ111" i="29" s="1"/>
  <c r="AH111" i="29"/>
  <c r="AI111" i="29"/>
  <c r="AJ111" i="29"/>
  <c r="AK111" i="29"/>
  <c r="AL111" i="29"/>
  <c r="AM111" i="29"/>
  <c r="AN111" i="29"/>
  <c r="AO111" i="29"/>
  <c r="AP111" i="29"/>
  <c r="AG112" i="29"/>
  <c r="AQ112" i="29" s="1"/>
  <c r="AH112" i="29"/>
  <c r="AI112" i="29"/>
  <c r="AJ112" i="29"/>
  <c r="AK112" i="29"/>
  <c r="AL112" i="29"/>
  <c r="AM112" i="29"/>
  <c r="AN112" i="29"/>
  <c r="AO112" i="29"/>
  <c r="AP112" i="29"/>
  <c r="AG113" i="29"/>
  <c r="AQ113" i="29" s="1"/>
  <c r="AH113" i="29"/>
  <c r="AI113" i="29"/>
  <c r="AJ113" i="29"/>
  <c r="AK113" i="29"/>
  <c r="AL113" i="29"/>
  <c r="AM113" i="29"/>
  <c r="AN113" i="29"/>
  <c r="AO113" i="29"/>
  <c r="AP113" i="29"/>
  <c r="AG114" i="29"/>
  <c r="AQ114" i="29" s="1"/>
  <c r="AH114" i="29"/>
  <c r="AI114" i="29"/>
  <c r="AJ114" i="29"/>
  <c r="AK114" i="29"/>
  <c r="AL114" i="29"/>
  <c r="AM114" i="29"/>
  <c r="AN114" i="29"/>
  <c r="AO114" i="29"/>
  <c r="AP114" i="29"/>
  <c r="AG115" i="29"/>
  <c r="AH115" i="29"/>
  <c r="AQ115" i="29" s="1"/>
  <c r="AI115" i="29"/>
  <c r="AJ115" i="29"/>
  <c r="AK115" i="29"/>
  <c r="AL115" i="29"/>
  <c r="AM115" i="29"/>
  <c r="AN115" i="29"/>
  <c r="AO115" i="29"/>
  <c r="AP115" i="29"/>
  <c r="AG116" i="29"/>
  <c r="AH116" i="29"/>
  <c r="AI116" i="29"/>
  <c r="AJ116" i="29"/>
  <c r="AK116" i="29"/>
  <c r="AL116" i="29"/>
  <c r="AM116" i="29"/>
  <c r="AN116" i="29"/>
  <c r="AO116" i="29"/>
  <c r="AP116" i="29"/>
  <c r="AQ116" i="29"/>
  <c r="AG117" i="29"/>
  <c r="AH117" i="29"/>
  <c r="AI117" i="29"/>
  <c r="AJ117" i="29"/>
  <c r="AK117" i="29"/>
  <c r="AL117" i="29"/>
  <c r="AM117" i="29"/>
  <c r="AN117" i="29"/>
  <c r="AO117" i="29"/>
  <c r="AP117" i="29"/>
  <c r="AQ117" i="29"/>
  <c r="AG118" i="29"/>
  <c r="AQ118" i="29" s="1"/>
  <c r="AH118" i="29"/>
  <c r="AI118" i="29"/>
  <c r="AJ118" i="29"/>
  <c r="AK118" i="29"/>
  <c r="AL118" i="29"/>
  <c r="AM118" i="29"/>
  <c r="AN118" i="29"/>
  <c r="AO118" i="29"/>
  <c r="AP118" i="29"/>
  <c r="AG119" i="29"/>
  <c r="AQ119" i="29" s="1"/>
  <c r="AH119" i="29"/>
  <c r="AI119" i="29"/>
  <c r="AJ119" i="29"/>
  <c r="AK119" i="29"/>
  <c r="AL119" i="29"/>
  <c r="AM119" i="29"/>
  <c r="AN119" i="29"/>
  <c r="AO119" i="29"/>
  <c r="AP119" i="29"/>
  <c r="AG120" i="29"/>
  <c r="AQ120" i="29" s="1"/>
  <c r="AH120" i="29"/>
  <c r="AI120" i="29"/>
  <c r="AJ120" i="29"/>
  <c r="AK120" i="29"/>
  <c r="AL120" i="29"/>
  <c r="AM120" i="29"/>
  <c r="AN120" i="29"/>
  <c r="AO120" i="29"/>
  <c r="AP120" i="29"/>
  <c r="AG121" i="29"/>
  <c r="AQ121" i="29" s="1"/>
  <c r="AH121" i="29"/>
  <c r="AI121" i="29"/>
  <c r="AJ121" i="29"/>
  <c r="AK121" i="29"/>
  <c r="AL121" i="29"/>
  <c r="AM121" i="29"/>
  <c r="AN121" i="29"/>
  <c r="AO121" i="29"/>
  <c r="AP121" i="29"/>
  <c r="AG122" i="29"/>
  <c r="AQ122" i="29" s="1"/>
  <c r="AH122" i="29"/>
  <c r="AI122" i="29"/>
  <c r="AJ122" i="29"/>
  <c r="AK122" i="29"/>
  <c r="AL122" i="29"/>
  <c r="AM122" i="29"/>
  <c r="AN122" i="29"/>
  <c r="AO122" i="29"/>
  <c r="AP122" i="29"/>
  <c r="AG123" i="29"/>
  <c r="AQ123" i="29" s="1"/>
  <c r="AH123" i="29"/>
  <c r="AI123" i="29"/>
  <c r="AJ123" i="29"/>
  <c r="AK123" i="29"/>
  <c r="AL123" i="29"/>
  <c r="AM123" i="29"/>
  <c r="AN123" i="29"/>
  <c r="AO123" i="29"/>
  <c r="AP123" i="29"/>
  <c r="AG124" i="29"/>
  <c r="AQ124" i="29" s="1"/>
  <c r="AH124" i="29"/>
  <c r="AI124" i="29"/>
  <c r="AJ124" i="29"/>
  <c r="AK124" i="29"/>
  <c r="AL124" i="29"/>
  <c r="AM124" i="29"/>
  <c r="AN124" i="29"/>
  <c r="AO124" i="29"/>
  <c r="AP124" i="29"/>
  <c r="AG125" i="29"/>
  <c r="AQ125" i="29" s="1"/>
  <c r="AH125" i="29"/>
  <c r="AI125" i="29"/>
  <c r="AJ125" i="29"/>
  <c r="AK125" i="29"/>
  <c r="AL125" i="29"/>
  <c r="AM125" i="29"/>
  <c r="AN125" i="29"/>
  <c r="AO125" i="29"/>
  <c r="AP125" i="29"/>
  <c r="AG126" i="29"/>
  <c r="AQ126" i="29" s="1"/>
  <c r="AH126" i="29"/>
  <c r="AI126" i="29"/>
  <c r="AJ126" i="29"/>
  <c r="AK126" i="29"/>
  <c r="AL126" i="29"/>
  <c r="AM126" i="29"/>
  <c r="AN126" i="29"/>
  <c r="AO126" i="29"/>
  <c r="AP126" i="29"/>
  <c r="AG127" i="29"/>
  <c r="AH127" i="29"/>
  <c r="AQ127" i="29" s="1"/>
  <c r="AI127" i="29"/>
  <c r="AJ127" i="29"/>
  <c r="AK127" i="29"/>
  <c r="AL127" i="29"/>
  <c r="AM127" i="29"/>
  <c r="AN127" i="29"/>
  <c r="AO127" i="29"/>
  <c r="AP127" i="29"/>
  <c r="AG128" i="29"/>
  <c r="AH128" i="29"/>
  <c r="AI128" i="29"/>
  <c r="AJ128" i="29"/>
  <c r="AK128" i="29"/>
  <c r="AL128" i="29"/>
  <c r="AM128" i="29"/>
  <c r="AN128" i="29"/>
  <c r="AO128" i="29"/>
  <c r="AP128" i="29"/>
  <c r="AQ128" i="29"/>
  <c r="AG129" i="29"/>
  <c r="AH129" i="29"/>
  <c r="AI129" i="29"/>
  <c r="AJ129" i="29"/>
  <c r="AK129" i="29"/>
  <c r="AL129" i="29"/>
  <c r="AM129" i="29"/>
  <c r="AN129" i="29"/>
  <c r="AO129" i="29"/>
  <c r="AP129" i="29"/>
  <c r="AQ129" i="29"/>
  <c r="AG130" i="29"/>
  <c r="AQ130" i="29" s="1"/>
  <c r="AH130" i="29"/>
  <c r="AI130" i="29"/>
  <c r="AJ130" i="29"/>
  <c r="AK130" i="29"/>
  <c r="AL130" i="29"/>
  <c r="AM130" i="29"/>
  <c r="AN130" i="29"/>
  <c r="AO130" i="29"/>
  <c r="AP130" i="29"/>
  <c r="AG131" i="29"/>
  <c r="AQ131" i="29" s="1"/>
  <c r="AH131" i="29"/>
  <c r="AI131" i="29"/>
  <c r="AJ131" i="29"/>
  <c r="AK131" i="29"/>
  <c r="AL131" i="29"/>
  <c r="AM131" i="29"/>
  <c r="AN131" i="29"/>
  <c r="AO131" i="29"/>
  <c r="AP131" i="29"/>
  <c r="AG132" i="29"/>
  <c r="AQ132" i="29" s="1"/>
  <c r="AH132" i="29"/>
  <c r="AI132" i="29"/>
  <c r="AJ132" i="29"/>
  <c r="AK132" i="29"/>
  <c r="AL132" i="29"/>
  <c r="AM132" i="29"/>
  <c r="AN132" i="29"/>
  <c r="AO132" i="29"/>
  <c r="AP132" i="29"/>
  <c r="AG133" i="29"/>
  <c r="AQ133" i="29" s="1"/>
  <c r="AH133" i="29"/>
  <c r="AI133" i="29"/>
  <c r="AJ133" i="29"/>
  <c r="AK133" i="29"/>
  <c r="AL133" i="29"/>
  <c r="AM133" i="29"/>
  <c r="AN133" i="29"/>
  <c r="AO133" i="29"/>
  <c r="AP133" i="29"/>
  <c r="AG134" i="29"/>
  <c r="AQ134" i="29" s="1"/>
  <c r="AH134" i="29"/>
  <c r="AI134" i="29"/>
  <c r="AJ134" i="29"/>
  <c r="AK134" i="29"/>
  <c r="AL134" i="29"/>
  <c r="AM134" i="29"/>
  <c r="AN134" i="29"/>
  <c r="AO134" i="29"/>
  <c r="AP134" i="29"/>
  <c r="AG135" i="29"/>
  <c r="AQ135" i="29" s="1"/>
  <c r="AH135" i="29"/>
  <c r="AI135" i="29"/>
  <c r="AJ135" i="29"/>
  <c r="AK135" i="29"/>
  <c r="AL135" i="29"/>
  <c r="AM135" i="29"/>
  <c r="AN135" i="29"/>
  <c r="AO135" i="29"/>
  <c r="AP135" i="29"/>
  <c r="AG136" i="29"/>
  <c r="AQ136" i="29" s="1"/>
  <c r="AH136" i="29"/>
  <c r="AI136" i="29"/>
  <c r="AJ136" i="29"/>
  <c r="AK136" i="29"/>
  <c r="AL136" i="29"/>
  <c r="AM136" i="29"/>
  <c r="AN136" i="29"/>
  <c r="AO136" i="29"/>
  <c r="AP136" i="29"/>
  <c r="AG137" i="29"/>
  <c r="AQ137" i="29" s="1"/>
  <c r="AH137" i="29"/>
  <c r="AI137" i="29"/>
  <c r="AJ137" i="29"/>
  <c r="AK137" i="29"/>
  <c r="AL137" i="29"/>
  <c r="AM137" i="29"/>
  <c r="AN137" i="29"/>
  <c r="AO137" i="29"/>
  <c r="AP137" i="29"/>
  <c r="AG138" i="29"/>
  <c r="AQ138" i="29" s="1"/>
  <c r="AH138" i="29"/>
  <c r="AI138" i="29"/>
  <c r="AJ138" i="29"/>
  <c r="AK138" i="29"/>
  <c r="AL138" i="29"/>
  <c r="AM138" i="29"/>
  <c r="AN138" i="29"/>
  <c r="AO138" i="29"/>
  <c r="AP138" i="29"/>
  <c r="AG139" i="29"/>
  <c r="AH139" i="29"/>
  <c r="AQ139" i="29" s="1"/>
  <c r="AI139" i="29"/>
  <c r="AJ139" i="29"/>
  <c r="AK139" i="29"/>
  <c r="AL139" i="29"/>
  <c r="AM139" i="29"/>
  <c r="AN139" i="29"/>
  <c r="AO139" i="29"/>
  <c r="AP139" i="29"/>
  <c r="AG140" i="29"/>
  <c r="AH140" i="29"/>
  <c r="AI140" i="29"/>
  <c r="AJ140" i="29"/>
  <c r="AK140" i="29"/>
  <c r="AL140" i="29"/>
  <c r="AM140" i="29"/>
  <c r="AN140" i="29"/>
  <c r="AO140" i="29"/>
  <c r="AP140" i="29"/>
  <c r="AQ140" i="29"/>
  <c r="AG141" i="29"/>
  <c r="AH141" i="29"/>
  <c r="AI141" i="29"/>
  <c r="AJ141" i="29"/>
  <c r="AK141" i="29"/>
  <c r="AL141" i="29"/>
  <c r="AM141" i="29"/>
  <c r="AN141" i="29"/>
  <c r="AO141" i="29"/>
  <c r="AP141" i="29"/>
  <c r="AQ141" i="29"/>
  <c r="AG142" i="29"/>
  <c r="AQ142" i="29" s="1"/>
  <c r="AH142" i="29"/>
  <c r="AI142" i="29"/>
  <c r="AJ142" i="29"/>
  <c r="AK142" i="29"/>
  <c r="AL142" i="29"/>
  <c r="AM142" i="29"/>
  <c r="AN142" i="29"/>
  <c r="AO142" i="29"/>
  <c r="AP142" i="29"/>
  <c r="AG143" i="29"/>
  <c r="AQ143" i="29" s="1"/>
  <c r="AH143" i="29"/>
  <c r="AI143" i="29"/>
  <c r="AJ143" i="29"/>
  <c r="AK143" i="29"/>
  <c r="AL143" i="29"/>
  <c r="AM143" i="29"/>
  <c r="AN143" i="29"/>
  <c r="AO143" i="29"/>
  <c r="AP143" i="29"/>
  <c r="AG144" i="29"/>
  <c r="AQ144" i="29" s="1"/>
  <c r="AH144" i="29"/>
  <c r="AI144" i="29"/>
  <c r="AJ144" i="29"/>
  <c r="AK144" i="29"/>
  <c r="AL144" i="29"/>
  <c r="AM144" i="29"/>
  <c r="AN144" i="29"/>
  <c r="AO144" i="29"/>
  <c r="AP144" i="29"/>
  <c r="AG145" i="29"/>
  <c r="AQ145" i="29" s="1"/>
  <c r="AH145" i="29"/>
  <c r="AI145" i="29"/>
  <c r="AJ145" i="29"/>
  <c r="AK145" i="29"/>
  <c r="AL145" i="29"/>
  <c r="AM145" i="29"/>
  <c r="AN145" i="29"/>
  <c r="AO145" i="29"/>
  <c r="AP145" i="29"/>
  <c r="AG146" i="29"/>
  <c r="AQ146" i="29" s="1"/>
  <c r="AH146" i="29"/>
  <c r="AI146" i="29"/>
  <c r="AJ146" i="29"/>
  <c r="AK146" i="29"/>
  <c r="AL146" i="29"/>
  <c r="AM146" i="29"/>
  <c r="AN146" i="29"/>
  <c r="AO146" i="29"/>
  <c r="AP146" i="29"/>
  <c r="AG147" i="29"/>
  <c r="AQ147" i="29" s="1"/>
  <c r="AH147" i="29"/>
  <c r="AI147" i="29"/>
  <c r="AJ147" i="29"/>
  <c r="AK147" i="29"/>
  <c r="AL147" i="29"/>
  <c r="AM147" i="29"/>
  <c r="AN147" i="29"/>
  <c r="AO147" i="29"/>
  <c r="AP147" i="29"/>
  <c r="AG148" i="29"/>
  <c r="AQ148" i="29" s="1"/>
  <c r="AH148" i="29"/>
  <c r="AI148" i="29"/>
  <c r="AJ148" i="29"/>
  <c r="AK148" i="29"/>
  <c r="AL148" i="29"/>
  <c r="AM148" i="29"/>
  <c r="AN148" i="29"/>
  <c r="AO148" i="29"/>
  <c r="AP148" i="29"/>
  <c r="AG149" i="29"/>
  <c r="AQ149" i="29" s="1"/>
  <c r="AH149" i="29"/>
  <c r="AI149" i="29"/>
  <c r="AJ149" i="29"/>
  <c r="AK149" i="29"/>
  <c r="AL149" i="29"/>
  <c r="AM149" i="29"/>
  <c r="AN149" i="29"/>
  <c r="AO149" i="29"/>
  <c r="AP149" i="29"/>
  <c r="AG150" i="29"/>
  <c r="AQ150" i="29" s="1"/>
  <c r="AH150" i="29"/>
  <c r="AI150" i="29"/>
  <c r="AJ150" i="29"/>
  <c r="AK150" i="29"/>
  <c r="AL150" i="29"/>
  <c r="AM150" i="29"/>
  <c r="AN150" i="29"/>
  <c r="AO150" i="29"/>
  <c r="AP150" i="29"/>
  <c r="AG151" i="29"/>
  <c r="AH151" i="29"/>
  <c r="AQ151" i="29" s="1"/>
  <c r="AI151" i="29"/>
  <c r="AJ151" i="29"/>
  <c r="AK151" i="29"/>
  <c r="AL151" i="29"/>
  <c r="AM151" i="29"/>
  <c r="AN151" i="29"/>
  <c r="AO151" i="29"/>
  <c r="AP151" i="29"/>
  <c r="AG152" i="29"/>
  <c r="AH152" i="29"/>
  <c r="AI152" i="29"/>
  <c r="AJ152" i="29"/>
  <c r="AK152" i="29"/>
  <c r="AL152" i="29"/>
  <c r="AM152" i="29"/>
  <c r="AN152" i="29"/>
  <c r="AO152" i="29"/>
  <c r="AP152" i="29"/>
  <c r="AQ152" i="29"/>
  <c r="AG153" i="29"/>
  <c r="AH153" i="29"/>
  <c r="AI153" i="29"/>
  <c r="AJ153" i="29"/>
  <c r="AK153" i="29"/>
  <c r="AL153" i="29"/>
  <c r="AM153" i="29"/>
  <c r="AN153" i="29"/>
  <c r="AO153" i="29"/>
  <c r="AP153" i="29"/>
  <c r="AQ153" i="29"/>
  <c r="AG154" i="29"/>
  <c r="AQ154" i="29" s="1"/>
  <c r="AH154" i="29"/>
  <c r="AI154" i="29"/>
  <c r="AJ154" i="29"/>
  <c r="AK154" i="29"/>
  <c r="AL154" i="29"/>
  <c r="AM154" i="29"/>
  <c r="AN154" i="29"/>
  <c r="AO154" i="29"/>
  <c r="AP154" i="29"/>
  <c r="AG155" i="29"/>
  <c r="AQ155" i="29" s="1"/>
  <c r="AH155" i="29"/>
  <c r="AI155" i="29"/>
  <c r="AJ155" i="29"/>
  <c r="AK155" i="29"/>
  <c r="AL155" i="29"/>
  <c r="AM155" i="29"/>
  <c r="AN155" i="29"/>
  <c r="AO155" i="29"/>
  <c r="AP155" i="29"/>
  <c r="AG156" i="29"/>
  <c r="AQ156" i="29" s="1"/>
  <c r="AH156" i="29"/>
  <c r="AI156" i="29"/>
  <c r="AJ156" i="29"/>
  <c r="AK156" i="29"/>
  <c r="AL156" i="29"/>
  <c r="AM156" i="29"/>
  <c r="AN156" i="29"/>
  <c r="AO156" i="29"/>
  <c r="AP156" i="29"/>
  <c r="AG157" i="29"/>
  <c r="AQ157" i="29" s="1"/>
  <c r="AH157" i="29"/>
  <c r="AI157" i="29"/>
  <c r="AJ157" i="29"/>
  <c r="AK157" i="29"/>
  <c r="AL157" i="29"/>
  <c r="AM157" i="29"/>
  <c r="AN157" i="29"/>
  <c r="AO157" i="29"/>
  <c r="AP157" i="29"/>
  <c r="AG158" i="29"/>
  <c r="AQ158" i="29" s="1"/>
  <c r="AH158" i="29"/>
  <c r="AI158" i="29"/>
  <c r="AJ158" i="29"/>
  <c r="AK158" i="29"/>
  <c r="AL158" i="29"/>
  <c r="AM158" i="29"/>
  <c r="AN158" i="29"/>
  <c r="AO158" i="29"/>
  <c r="AP158" i="29"/>
  <c r="AG159" i="29"/>
  <c r="AQ159" i="29" s="1"/>
  <c r="AH159" i="29"/>
  <c r="AI159" i="29"/>
  <c r="AJ159" i="29"/>
  <c r="AK159" i="29"/>
  <c r="AL159" i="29"/>
  <c r="AM159" i="29"/>
  <c r="AN159" i="29"/>
  <c r="AO159" i="29"/>
  <c r="AP159" i="29"/>
  <c r="AG160" i="29"/>
  <c r="AQ160" i="29" s="1"/>
  <c r="AH160" i="29"/>
  <c r="AI160" i="29"/>
  <c r="AJ160" i="29"/>
  <c r="AK160" i="29"/>
  <c r="AL160" i="29"/>
  <c r="AM160" i="29"/>
  <c r="AN160" i="29"/>
  <c r="AO160" i="29"/>
  <c r="AP160" i="29"/>
  <c r="AG161" i="29"/>
  <c r="AQ161" i="29" s="1"/>
  <c r="AH161" i="29"/>
  <c r="AI161" i="29"/>
  <c r="AJ161" i="29"/>
  <c r="AK161" i="29"/>
  <c r="AL161" i="29"/>
  <c r="AM161" i="29"/>
  <c r="AN161" i="29"/>
  <c r="AO161" i="29"/>
  <c r="AP161" i="29"/>
  <c r="AG162" i="29"/>
  <c r="AQ162" i="29" s="1"/>
  <c r="AH162" i="29"/>
  <c r="AI162" i="29"/>
  <c r="AJ162" i="29"/>
  <c r="AK162" i="29"/>
  <c r="AL162" i="29"/>
  <c r="AM162" i="29"/>
  <c r="AN162" i="29"/>
  <c r="AO162" i="29"/>
  <c r="AP162" i="29"/>
  <c r="AG163" i="29"/>
  <c r="AQ163" i="29" s="1"/>
  <c r="AH163" i="29"/>
  <c r="AI163" i="29"/>
  <c r="AJ163" i="29"/>
  <c r="AK163" i="29"/>
  <c r="AL163" i="29"/>
  <c r="AM163" i="29"/>
  <c r="AN163" i="29"/>
  <c r="AO163" i="29"/>
  <c r="AP163" i="29"/>
  <c r="AG164" i="29"/>
  <c r="AH164" i="29"/>
  <c r="AI164" i="29"/>
  <c r="AJ164" i="29"/>
  <c r="AK164" i="29"/>
  <c r="AL164" i="29"/>
  <c r="AQ164" i="29" s="1"/>
  <c r="AM164" i="29"/>
  <c r="AN164" i="29"/>
  <c r="AO164" i="29"/>
  <c r="AP164" i="29"/>
  <c r="AG165" i="29"/>
  <c r="AH165" i="29"/>
  <c r="AI165" i="29"/>
  <c r="AJ165" i="29"/>
  <c r="AK165" i="29"/>
  <c r="AL165" i="29"/>
  <c r="AM165" i="29"/>
  <c r="AN165" i="29"/>
  <c r="AO165" i="29"/>
  <c r="AP165" i="29"/>
  <c r="AQ165" i="29"/>
  <c r="AG166" i="29"/>
  <c r="AQ166" i="29" s="1"/>
  <c r="AH166" i="29"/>
  <c r="AI166" i="29"/>
  <c r="AJ166" i="29"/>
  <c r="AK166" i="29"/>
  <c r="AL166" i="29"/>
  <c r="AM166" i="29"/>
  <c r="AN166" i="29"/>
  <c r="AO166" i="29"/>
  <c r="AP166" i="29"/>
  <c r="AG167" i="29"/>
  <c r="AQ167" i="29" s="1"/>
  <c r="AH167" i="29"/>
  <c r="AI167" i="29"/>
  <c r="AJ167" i="29"/>
  <c r="AK167" i="29"/>
  <c r="AL167" i="29"/>
  <c r="AM167" i="29"/>
  <c r="AN167" i="29"/>
  <c r="AO167" i="29"/>
  <c r="AP167" i="29"/>
  <c r="AG168" i="29"/>
  <c r="AQ168" i="29" s="1"/>
  <c r="AH168" i="29"/>
  <c r="AI168" i="29"/>
  <c r="AJ168" i="29"/>
  <c r="AK168" i="29"/>
  <c r="AL168" i="29"/>
  <c r="AM168" i="29"/>
  <c r="AN168" i="29"/>
  <c r="AO168" i="29"/>
  <c r="AP168" i="29"/>
  <c r="AG169" i="29"/>
  <c r="AQ169" i="29" s="1"/>
  <c r="AH169" i="29"/>
  <c r="AI169" i="29"/>
  <c r="AJ169" i="29"/>
  <c r="AK169" i="29"/>
  <c r="AL169" i="29"/>
  <c r="AM169" i="29"/>
  <c r="AN169" i="29"/>
  <c r="AO169" i="29"/>
  <c r="AP169" i="29"/>
  <c r="AG170" i="29"/>
  <c r="AQ170" i="29" s="1"/>
  <c r="AH170" i="29"/>
  <c r="AI170" i="29"/>
  <c r="AJ170" i="29"/>
  <c r="AK170" i="29"/>
  <c r="AL170" i="29"/>
  <c r="AM170" i="29"/>
  <c r="AN170" i="29"/>
  <c r="AO170" i="29"/>
  <c r="AP170" i="29"/>
  <c r="AG171" i="29"/>
  <c r="AQ171" i="29" s="1"/>
  <c r="AH171" i="29"/>
  <c r="AI171" i="29"/>
  <c r="AJ171" i="29"/>
  <c r="AK171" i="29"/>
  <c r="AL171" i="29"/>
  <c r="AM171" i="29"/>
  <c r="AN171" i="29"/>
  <c r="AO171" i="29"/>
  <c r="AP171" i="29"/>
  <c r="AG172" i="29"/>
  <c r="AQ172" i="29" s="1"/>
  <c r="AH172" i="29"/>
  <c r="AI172" i="29"/>
  <c r="AJ172" i="29"/>
  <c r="AK172" i="29"/>
  <c r="AL172" i="29"/>
  <c r="AM172" i="29"/>
  <c r="AN172" i="29"/>
  <c r="AO172" i="29"/>
  <c r="AP172" i="29"/>
  <c r="AG173" i="29"/>
  <c r="AQ173" i="29" s="1"/>
  <c r="AH173" i="29"/>
  <c r="AI173" i="29"/>
  <c r="AJ173" i="29"/>
  <c r="AK173" i="29"/>
  <c r="AL173" i="29"/>
  <c r="AM173" i="29"/>
  <c r="AN173" i="29"/>
  <c r="AO173" i="29"/>
  <c r="AP173" i="29"/>
  <c r="AG174" i="29"/>
  <c r="AQ174" i="29" s="1"/>
  <c r="AH174" i="29"/>
  <c r="AI174" i="29"/>
  <c r="AJ174" i="29"/>
  <c r="AK174" i="29"/>
  <c r="AL174" i="29"/>
  <c r="AM174" i="29"/>
  <c r="AN174" i="29"/>
  <c r="AO174" i="29"/>
  <c r="AP174" i="29"/>
  <c r="AG175" i="29"/>
  <c r="AH175" i="29"/>
  <c r="AQ175" i="29" s="1"/>
  <c r="AI175" i="29"/>
  <c r="AJ175" i="29"/>
  <c r="AK175" i="29"/>
  <c r="AL175" i="29"/>
  <c r="AM175" i="29"/>
  <c r="AN175" i="29"/>
  <c r="AO175" i="29"/>
  <c r="AP175" i="29"/>
  <c r="AG176" i="29"/>
  <c r="AH176" i="29"/>
  <c r="AI176" i="29"/>
  <c r="AJ176" i="29"/>
  <c r="AK176" i="29"/>
  <c r="AL176" i="29"/>
  <c r="AM176" i="29"/>
  <c r="AN176" i="29"/>
  <c r="AO176" i="29"/>
  <c r="AP176" i="29"/>
  <c r="AQ176" i="29"/>
  <c r="AG177" i="29"/>
  <c r="AH177" i="29"/>
  <c r="AI177" i="29"/>
  <c r="AJ177" i="29"/>
  <c r="AK177" i="29"/>
  <c r="AL177" i="29"/>
  <c r="AM177" i="29"/>
  <c r="AN177" i="29"/>
  <c r="AO177" i="29"/>
  <c r="AP177" i="29"/>
  <c r="AQ177" i="29"/>
  <c r="AG178" i="29"/>
  <c r="AQ178" i="29" s="1"/>
  <c r="AH178" i="29"/>
  <c r="AI178" i="29"/>
  <c r="AJ178" i="29"/>
  <c r="AK178" i="29"/>
  <c r="AL178" i="29"/>
  <c r="AM178" i="29"/>
  <c r="AN178" i="29"/>
  <c r="AO178" i="29"/>
  <c r="AP178" i="29"/>
  <c r="AG179" i="29"/>
  <c r="AQ179" i="29" s="1"/>
  <c r="AH179" i="29"/>
  <c r="AI179" i="29"/>
  <c r="AJ179" i="29"/>
  <c r="AK179" i="29"/>
  <c r="AL179" i="29"/>
  <c r="AM179" i="29"/>
  <c r="AN179" i="29"/>
  <c r="AO179" i="29"/>
  <c r="AP179" i="29"/>
  <c r="AG180" i="29"/>
  <c r="AQ180" i="29" s="1"/>
  <c r="AH180" i="29"/>
  <c r="AI180" i="29"/>
  <c r="AJ180" i="29"/>
  <c r="AK180" i="29"/>
  <c r="AL180" i="29"/>
  <c r="AM180" i="29"/>
  <c r="AN180" i="29"/>
  <c r="AO180" i="29"/>
  <c r="AP180" i="29"/>
  <c r="AG181" i="29"/>
  <c r="AQ181" i="29" s="1"/>
  <c r="AH181" i="29"/>
  <c r="AI181" i="29"/>
  <c r="AJ181" i="29"/>
  <c r="AK181" i="29"/>
  <c r="AL181" i="29"/>
  <c r="AM181" i="29"/>
  <c r="AN181" i="29"/>
  <c r="AO181" i="29"/>
  <c r="AP181" i="29"/>
  <c r="AG182" i="29"/>
  <c r="AQ182" i="29" s="1"/>
  <c r="AH182" i="29"/>
  <c r="AI182" i="29"/>
  <c r="AJ182" i="29"/>
  <c r="AK182" i="29"/>
  <c r="AL182" i="29"/>
  <c r="AM182" i="29"/>
  <c r="AN182" i="29"/>
  <c r="AO182" i="29"/>
  <c r="AP182" i="29"/>
  <c r="AG183" i="29"/>
  <c r="AQ183" i="29" s="1"/>
  <c r="AH183" i="29"/>
  <c r="AI183" i="29"/>
  <c r="AJ183" i="29"/>
  <c r="AK183" i="29"/>
  <c r="AL183" i="29"/>
  <c r="AM183" i="29"/>
  <c r="AN183" i="29"/>
  <c r="AO183" i="29"/>
  <c r="AP183" i="29"/>
  <c r="AG184" i="29"/>
  <c r="AQ184" i="29" s="1"/>
  <c r="AH184" i="29"/>
  <c r="AI184" i="29"/>
  <c r="AJ184" i="29"/>
  <c r="AK184" i="29"/>
  <c r="AL184" i="29"/>
  <c r="AM184" i="29"/>
  <c r="AN184" i="29"/>
  <c r="AO184" i="29"/>
  <c r="AP184" i="29"/>
  <c r="AG185" i="29"/>
  <c r="AQ185" i="29" s="1"/>
  <c r="AH185" i="29"/>
  <c r="AI185" i="29"/>
  <c r="AJ185" i="29"/>
  <c r="AK185" i="29"/>
  <c r="AL185" i="29"/>
  <c r="AM185" i="29"/>
  <c r="AN185" i="29"/>
  <c r="AO185" i="29"/>
  <c r="AP185" i="29"/>
  <c r="AG186" i="29"/>
  <c r="AQ186" i="29" s="1"/>
  <c r="AH186" i="29"/>
  <c r="AI186" i="29"/>
  <c r="AJ186" i="29"/>
  <c r="AK186" i="29"/>
  <c r="AL186" i="29"/>
  <c r="AM186" i="29"/>
  <c r="AN186" i="29"/>
  <c r="AO186" i="29"/>
  <c r="AP186" i="29"/>
  <c r="AG187" i="29"/>
  <c r="AQ187" i="29" s="1"/>
  <c r="AH187" i="29"/>
  <c r="AI187" i="29"/>
  <c r="AJ187" i="29"/>
  <c r="AK187" i="29"/>
  <c r="AL187" i="29"/>
  <c r="AM187" i="29"/>
  <c r="AN187" i="29"/>
  <c r="AO187" i="29"/>
  <c r="AP187" i="29"/>
  <c r="AG188" i="29"/>
  <c r="AH188" i="29"/>
  <c r="AI188" i="29"/>
  <c r="AJ188" i="29"/>
  <c r="AK188" i="29"/>
  <c r="AL188" i="29"/>
  <c r="AM188" i="29"/>
  <c r="AN188" i="29"/>
  <c r="AO188" i="29"/>
  <c r="AP188" i="29"/>
  <c r="AQ188" i="29"/>
  <c r="AG189" i="29"/>
  <c r="AH189" i="29"/>
  <c r="AI189" i="29"/>
  <c r="AJ189" i="29"/>
  <c r="AK189" i="29"/>
  <c r="AL189" i="29"/>
  <c r="AM189" i="29"/>
  <c r="AN189" i="29"/>
  <c r="AO189" i="29"/>
  <c r="AP189" i="29"/>
  <c r="AQ189" i="29"/>
  <c r="AG190" i="29"/>
  <c r="AQ190" i="29" s="1"/>
  <c r="AH190" i="29"/>
  <c r="AI190" i="29"/>
  <c r="AJ190" i="29"/>
  <c r="AK190" i="29"/>
  <c r="AL190" i="29"/>
  <c r="AM190" i="29"/>
  <c r="AN190" i="29"/>
  <c r="AO190" i="29"/>
  <c r="AP190" i="29"/>
  <c r="AG191" i="29"/>
  <c r="AQ191" i="29" s="1"/>
  <c r="AH191" i="29"/>
  <c r="AI191" i="29"/>
  <c r="AJ191" i="29"/>
  <c r="AK191" i="29"/>
  <c r="AL191" i="29"/>
  <c r="AM191" i="29"/>
  <c r="AN191" i="29"/>
  <c r="AO191" i="29"/>
  <c r="AP191" i="29"/>
  <c r="AG192" i="29"/>
  <c r="AQ192" i="29" s="1"/>
  <c r="AH192" i="29"/>
  <c r="AI192" i="29"/>
  <c r="AJ192" i="29"/>
  <c r="AK192" i="29"/>
  <c r="AL192" i="29"/>
  <c r="AM192" i="29"/>
  <c r="AN192" i="29"/>
  <c r="AO192" i="29"/>
  <c r="AP192" i="29"/>
  <c r="AG193" i="29"/>
  <c r="AQ193" i="29" s="1"/>
  <c r="AH193" i="29"/>
  <c r="AI193" i="29"/>
  <c r="AJ193" i="29"/>
  <c r="AK193" i="29"/>
  <c r="AL193" i="29"/>
  <c r="AM193" i="29"/>
  <c r="AN193" i="29"/>
  <c r="AO193" i="29"/>
  <c r="AP193" i="29"/>
  <c r="AG194" i="29"/>
  <c r="AQ194" i="29" s="1"/>
  <c r="AH194" i="29"/>
  <c r="AI194" i="29"/>
  <c r="AJ194" i="29"/>
  <c r="AK194" i="29"/>
  <c r="AL194" i="29"/>
  <c r="AM194" i="29"/>
  <c r="AN194" i="29"/>
  <c r="AO194" i="29"/>
  <c r="AP194" i="29"/>
  <c r="AG195" i="29"/>
  <c r="AQ195" i="29" s="1"/>
  <c r="AH195" i="29"/>
  <c r="AI195" i="29"/>
  <c r="AJ195" i="29"/>
  <c r="AK195" i="29"/>
  <c r="AL195" i="29"/>
  <c r="AM195" i="29"/>
  <c r="AN195" i="29"/>
  <c r="AO195" i="29"/>
  <c r="AP195" i="29"/>
  <c r="AG196" i="29"/>
  <c r="AQ196" i="29" s="1"/>
  <c r="AH196" i="29"/>
  <c r="AI196" i="29"/>
  <c r="AJ196" i="29"/>
  <c r="AK196" i="29"/>
  <c r="AL196" i="29"/>
  <c r="AM196" i="29"/>
  <c r="AN196" i="29"/>
  <c r="AO196" i="29"/>
  <c r="AP196" i="29"/>
  <c r="AG197" i="29"/>
  <c r="AQ197" i="29" s="1"/>
  <c r="AH197" i="29"/>
  <c r="AI197" i="29"/>
  <c r="AJ197" i="29"/>
  <c r="AK197" i="29"/>
  <c r="AL197" i="29"/>
  <c r="AM197" i="29"/>
  <c r="AN197" i="29"/>
  <c r="AO197" i="29"/>
  <c r="AP197" i="29"/>
  <c r="AG198" i="29"/>
  <c r="AQ198" i="29" s="1"/>
  <c r="AH198" i="29"/>
  <c r="AI198" i="29"/>
  <c r="AJ198" i="29"/>
  <c r="AK198" i="29"/>
  <c r="AL198" i="29"/>
  <c r="AM198" i="29"/>
  <c r="AN198" i="29"/>
  <c r="AO198" i="29"/>
  <c r="AP198" i="29"/>
  <c r="AG199" i="29"/>
  <c r="AH199" i="29"/>
  <c r="AQ199" i="29" s="1"/>
  <c r="AI199" i="29"/>
  <c r="AJ199" i="29"/>
  <c r="AK199" i="29"/>
  <c r="AL199" i="29"/>
  <c r="AM199" i="29"/>
  <c r="AN199" i="29"/>
  <c r="AO199" i="29"/>
  <c r="AP199" i="29"/>
  <c r="AG200" i="29"/>
  <c r="AH200" i="29"/>
  <c r="AI200" i="29"/>
  <c r="AJ200" i="29"/>
  <c r="AK200" i="29"/>
  <c r="AL200" i="29"/>
  <c r="AM200" i="29"/>
  <c r="AN200" i="29"/>
  <c r="AO200" i="29"/>
  <c r="AP200" i="29"/>
  <c r="AQ200" i="29"/>
  <c r="AG201" i="29"/>
  <c r="AH201" i="29"/>
  <c r="AI201" i="29"/>
  <c r="AJ201" i="29"/>
  <c r="AK201" i="29"/>
  <c r="AL201" i="29"/>
  <c r="AM201" i="29"/>
  <c r="AN201" i="29"/>
  <c r="AO201" i="29"/>
  <c r="AP201" i="29"/>
  <c r="AQ201" i="29"/>
  <c r="AG202" i="29"/>
  <c r="AQ202" i="29" s="1"/>
  <c r="AH202" i="29"/>
  <c r="AI202" i="29"/>
  <c r="AJ202" i="29"/>
  <c r="AK202" i="29"/>
  <c r="AL202" i="29"/>
  <c r="AM202" i="29"/>
  <c r="AN202" i="29"/>
  <c r="AO202" i="29"/>
  <c r="AP202" i="29"/>
  <c r="AG203" i="29"/>
  <c r="AQ203" i="29" s="1"/>
  <c r="AH203" i="29"/>
  <c r="AI203" i="29"/>
  <c r="AJ203" i="29"/>
  <c r="AK203" i="29"/>
  <c r="AL203" i="29"/>
  <c r="AM203" i="29"/>
  <c r="AN203" i="29"/>
  <c r="AO203" i="29"/>
  <c r="AP203" i="29"/>
  <c r="AG204" i="29"/>
  <c r="AQ204" i="29" s="1"/>
  <c r="AH204" i="29"/>
  <c r="AI204" i="29"/>
  <c r="AJ204" i="29"/>
  <c r="AK204" i="29"/>
  <c r="AL204" i="29"/>
  <c r="AM204" i="29"/>
  <c r="AN204" i="29"/>
  <c r="AO204" i="29"/>
  <c r="AP204" i="29"/>
  <c r="AG205" i="29"/>
  <c r="AQ205" i="29" s="1"/>
  <c r="AH205" i="29"/>
  <c r="AI205" i="29"/>
  <c r="AJ205" i="29"/>
  <c r="AK205" i="29"/>
  <c r="AL205" i="29"/>
  <c r="AM205" i="29"/>
  <c r="AN205" i="29"/>
  <c r="AO205" i="29"/>
  <c r="AP205" i="29"/>
  <c r="AQ8" i="29"/>
  <c r="AP8" i="29"/>
  <c r="AO8" i="29"/>
  <c r="AN8" i="29"/>
  <c r="AM8" i="29"/>
  <c r="AL8" i="29"/>
  <c r="AK8" i="29"/>
  <c r="AJ8" i="29"/>
  <c r="AI8" i="29"/>
  <c r="AH8" i="29"/>
  <c r="AG8" i="29"/>
  <c r="N6" i="29"/>
  <c r="M6" i="29"/>
  <c r="L6" i="29"/>
  <c r="K6" i="29"/>
  <c r="J6" i="29"/>
  <c r="I6" i="29"/>
  <c r="H6" i="29"/>
  <c r="G6" i="29"/>
  <c r="F6" i="29"/>
  <c r="T207" i="29"/>
  <c r="S207" i="29"/>
  <c r="R207" i="29"/>
  <c r="Q207" i="29"/>
  <c r="P207" i="29"/>
  <c r="O207" i="29"/>
  <c r="N207" i="29"/>
  <c r="M207" i="29"/>
  <c r="L207" i="29"/>
  <c r="K207" i="29"/>
  <c r="J207" i="29"/>
  <c r="I207" i="29"/>
  <c r="H207" i="29"/>
  <c r="G207" i="29"/>
  <c r="F207" i="29"/>
  <c r="D205" i="29"/>
  <c r="C205" i="29"/>
  <c r="E205" i="29" s="1"/>
  <c r="D204" i="29"/>
  <c r="C204" i="29"/>
  <c r="D203" i="29"/>
  <c r="C203" i="29"/>
  <c r="E202" i="29"/>
  <c r="D202" i="29"/>
  <c r="C202" i="29"/>
  <c r="D201" i="29"/>
  <c r="C201" i="29"/>
  <c r="E201" i="29" s="1"/>
  <c r="D200" i="29"/>
  <c r="C200" i="29"/>
  <c r="D199" i="29"/>
  <c r="C199" i="29"/>
  <c r="D198" i="29"/>
  <c r="C198" i="29"/>
  <c r="D197" i="29"/>
  <c r="C197" i="29"/>
  <c r="D196" i="29"/>
  <c r="C196" i="29"/>
  <c r="D195" i="29"/>
  <c r="C195" i="29"/>
  <c r="D194" i="29"/>
  <c r="C194" i="29"/>
  <c r="E194" i="29" s="1"/>
  <c r="D193" i="29"/>
  <c r="C193" i="29"/>
  <c r="E193" i="29" s="1"/>
  <c r="D192" i="29"/>
  <c r="C192" i="29"/>
  <c r="D191" i="29"/>
  <c r="C191" i="29"/>
  <c r="D190" i="29"/>
  <c r="C190" i="29"/>
  <c r="D189" i="29"/>
  <c r="C189" i="29"/>
  <c r="E189" i="29" s="1"/>
  <c r="D188" i="29"/>
  <c r="C188" i="29"/>
  <c r="D187" i="29"/>
  <c r="C187" i="29"/>
  <c r="D186" i="29"/>
  <c r="C186" i="29"/>
  <c r="D185" i="29"/>
  <c r="C185" i="29"/>
  <c r="D184" i="29"/>
  <c r="C184" i="29"/>
  <c r="D183" i="29"/>
  <c r="C183" i="29"/>
  <c r="D182" i="29"/>
  <c r="C182" i="29"/>
  <c r="D181" i="29"/>
  <c r="C181" i="29"/>
  <c r="D180" i="29"/>
  <c r="C180" i="29"/>
  <c r="D179" i="29"/>
  <c r="C179" i="29"/>
  <c r="D178" i="29"/>
  <c r="C178" i="29"/>
  <c r="E178" i="29" s="1"/>
  <c r="D177" i="29"/>
  <c r="C177" i="29"/>
  <c r="E177" i="29" s="1"/>
  <c r="D176" i="29"/>
  <c r="C176" i="29"/>
  <c r="D175" i="29"/>
  <c r="C175" i="29"/>
  <c r="D174" i="29"/>
  <c r="C174" i="29"/>
  <c r="D173" i="29"/>
  <c r="C173" i="29"/>
  <c r="E173" i="29" s="1"/>
  <c r="D172" i="29"/>
  <c r="C172" i="29"/>
  <c r="D171" i="29"/>
  <c r="C171" i="29"/>
  <c r="D170" i="29"/>
  <c r="C170" i="29"/>
  <c r="E170" i="29" s="1"/>
  <c r="D169" i="29"/>
  <c r="C169" i="29"/>
  <c r="D168" i="29"/>
  <c r="C168" i="29"/>
  <c r="D167" i="29"/>
  <c r="C167" i="29"/>
  <c r="D166" i="29"/>
  <c r="C166" i="29"/>
  <c r="E166" i="29" s="1"/>
  <c r="D165" i="29"/>
  <c r="C165" i="29"/>
  <c r="E165" i="29" s="1"/>
  <c r="D164" i="29"/>
  <c r="C164" i="29"/>
  <c r="D163" i="29"/>
  <c r="C163" i="29"/>
  <c r="D162" i="29"/>
  <c r="C162" i="29"/>
  <c r="E162" i="29" s="1"/>
  <c r="D161" i="29"/>
  <c r="C161" i="29"/>
  <c r="E161" i="29" s="1"/>
  <c r="D160" i="29"/>
  <c r="C160" i="29"/>
  <c r="D159" i="29"/>
  <c r="C159" i="29"/>
  <c r="D158" i="29"/>
  <c r="C158" i="29"/>
  <c r="D157" i="29"/>
  <c r="C157" i="29"/>
  <c r="E157" i="29" s="1"/>
  <c r="D156" i="29"/>
  <c r="C156" i="29"/>
  <c r="D155" i="29"/>
  <c r="C155" i="29"/>
  <c r="D154" i="29"/>
  <c r="C154" i="29"/>
  <c r="E154" i="29" s="1"/>
  <c r="D153" i="29"/>
  <c r="C153" i="29"/>
  <c r="D152" i="29"/>
  <c r="C152" i="29"/>
  <c r="E152" i="29" s="1"/>
  <c r="D151" i="29"/>
  <c r="C151" i="29"/>
  <c r="D150" i="29"/>
  <c r="C150" i="29"/>
  <c r="E150" i="29" s="1"/>
  <c r="D149" i="29"/>
  <c r="C149" i="29"/>
  <c r="E148" i="29"/>
  <c r="D148" i="29"/>
  <c r="C148" i="29"/>
  <c r="D147" i="29"/>
  <c r="C147" i="29"/>
  <c r="D146" i="29"/>
  <c r="C146" i="29"/>
  <c r="D145" i="29"/>
  <c r="C145" i="29"/>
  <c r="E145" i="29" s="1"/>
  <c r="D144" i="29"/>
  <c r="C144" i="29"/>
  <c r="D143" i="29"/>
  <c r="C143" i="29"/>
  <c r="D142" i="29"/>
  <c r="C142" i="29"/>
  <c r="E142" i="29" s="1"/>
  <c r="U142" i="29" s="1"/>
  <c r="D141" i="29"/>
  <c r="C141" i="29"/>
  <c r="E141" i="29" s="1"/>
  <c r="D140" i="29"/>
  <c r="C140" i="29"/>
  <c r="D139" i="29"/>
  <c r="C139" i="29"/>
  <c r="D138" i="29"/>
  <c r="E138" i="29" s="1"/>
  <c r="C138" i="29"/>
  <c r="D137" i="29"/>
  <c r="C137" i="29"/>
  <c r="E137" i="29" s="1"/>
  <c r="D136" i="29"/>
  <c r="C136" i="29"/>
  <c r="E136" i="29" s="1"/>
  <c r="D135" i="29"/>
  <c r="C135" i="29"/>
  <c r="D134" i="29"/>
  <c r="C134" i="29"/>
  <c r="D133" i="29"/>
  <c r="C133" i="29"/>
  <c r="D132" i="29"/>
  <c r="C132" i="29"/>
  <c r="E132" i="29" s="1"/>
  <c r="D131" i="29"/>
  <c r="C131" i="29"/>
  <c r="E131" i="29" s="1"/>
  <c r="U131" i="29" s="1"/>
  <c r="D130" i="29"/>
  <c r="C130" i="29"/>
  <c r="E130" i="29" s="1"/>
  <c r="D129" i="29"/>
  <c r="C129" i="29"/>
  <c r="D128" i="29"/>
  <c r="C128" i="29"/>
  <c r="E128" i="29" s="1"/>
  <c r="D127" i="29"/>
  <c r="C127" i="29"/>
  <c r="D126" i="29"/>
  <c r="C126" i="29"/>
  <c r="E126" i="29" s="1"/>
  <c r="V125" i="29"/>
  <c r="D125" i="29"/>
  <c r="C125" i="29"/>
  <c r="E124" i="29"/>
  <c r="U124" i="29" s="1"/>
  <c r="D124" i="29"/>
  <c r="C124" i="29"/>
  <c r="D123" i="29"/>
  <c r="C123" i="29"/>
  <c r="D122" i="29"/>
  <c r="C122" i="29"/>
  <c r="D121" i="29"/>
  <c r="C121" i="29"/>
  <c r="D120" i="29"/>
  <c r="C120" i="29"/>
  <c r="E120" i="29" s="1"/>
  <c r="D119" i="29"/>
  <c r="E119" i="29" s="1"/>
  <c r="C119" i="29"/>
  <c r="D118" i="29"/>
  <c r="C118" i="29"/>
  <c r="E118" i="29" s="1"/>
  <c r="D117" i="29"/>
  <c r="C117" i="29"/>
  <c r="E117" i="29" s="1"/>
  <c r="D116" i="29"/>
  <c r="C116" i="29"/>
  <c r="E116" i="29" s="1"/>
  <c r="D115" i="29"/>
  <c r="C115" i="29"/>
  <c r="D114" i="29"/>
  <c r="C114" i="29"/>
  <c r="D113" i="29"/>
  <c r="C113" i="29"/>
  <c r="D112" i="29"/>
  <c r="C112" i="29"/>
  <c r="E112" i="29" s="1"/>
  <c r="D111" i="29"/>
  <c r="C111" i="29"/>
  <c r="E111" i="29" s="1"/>
  <c r="U111" i="29" s="1"/>
  <c r="D110" i="29"/>
  <c r="C110" i="29"/>
  <c r="D109" i="29"/>
  <c r="C109" i="29"/>
  <c r="E108" i="29"/>
  <c r="U108" i="29" s="1"/>
  <c r="D108" i="29"/>
  <c r="C108" i="29"/>
  <c r="D107" i="29"/>
  <c r="C107" i="29"/>
  <c r="D106" i="29"/>
  <c r="C106" i="29"/>
  <c r="D105" i="29"/>
  <c r="C105" i="29"/>
  <c r="E105" i="29" s="1"/>
  <c r="U105" i="29" s="1"/>
  <c r="D104" i="29"/>
  <c r="C104" i="29"/>
  <c r="D103" i="29"/>
  <c r="C103" i="29"/>
  <c r="D102" i="29"/>
  <c r="C102" i="29"/>
  <c r="D101" i="29"/>
  <c r="C101" i="29"/>
  <c r="D100" i="29"/>
  <c r="C100" i="29"/>
  <c r="E100" i="29" s="1"/>
  <c r="U100" i="29" s="1"/>
  <c r="D99" i="29"/>
  <c r="C99" i="29"/>
  <c r="D98" i="29"/>
  <c r="C98" i="29"/>
  <c r="E98" i="29" s="1"/>
  <c r="V97" i="29"/>
  <c r="D97" i="29"/>
  <c r="C97" i="29"/>
  <c r="E97" i="29" s="1"/>
  <c r="U97" i="29" s="1"/>
  <c r="D96" i="29"/>
  <c r="C96" i="29"/>
  <c r="D95" i="29"/>
  <c r="C95" i="29"/>
  <c r="D94" i="29"/>
  <c r="C94" i="29"/>
  <c r="D93" i="29"/>
  <c r="C93" i="29"/>
  <c r="D92" i="29"/>
  <c r="C92" i="29"/>
  <c r="D91" i="29"/>
  <c r="C91" i="29"/>
  <c r="D90" i="29"/>
  <c r="C90" i="29"/>
  <c r="V89" i="29"/>
  <c r="D89" i="29"/>
  <c r="C89" i="29"/>
  <c r="E89" i="29" s="1"/>
  <c r="D88" i="29"/>
  <c r="E88" i="29" s="1"/>
  <c r="U88" i="29" s="1"/>
  <c r="C88" i="29"/>
  <c r="D87" i="29"/>
  <c r="C87" i="29"/>
  <c r="D86" i="29"/>
  <c r="C86" i="29"/>
  <c r="D85" i="29"/>
  <c r="C85" i="29"/>
  <c r="D84" i="29"/>
  <c r="C84" i="29"/>
  <c r="E84" i="29" s="1"/>
  <c r="U84" i="29" s="1"/>
  <c r="D83" i="29"/>
  <c r="C83" i="29"/>
  <c r="D82" i="29"/>
  <c r="C82" i="29"/>
  <c r="D81" i="29"/>
  <c r="C81" i="29"/>
  <c r="D80" i="29"/>
  <c r="C80" i="29"/>
  <c r="E80" i="29" s="1"/>
  <c r="D79" i="29"/>
  <c r="C79" i="29"/>
  <c r="D78" i="29"/>
  <c r="E78" i="29" s="1"/>
  <c r="C78" i="29"/>
  <c r="V77" i="29"/>
  <c r="D77" i="29"/>
  <c r="C77" i="29"/>
  <c r="D76" i="29"/>
  <c r="C76" i="29"/>
  <c r="E76" i="29" s="1"/>
  <c r="U76" i="29" s="1"/>
  <c r="D75" i="29"/>
  <c r="C75" i="29"/>
  <c r="D74" i="29"/>
  <c r="C74" i="29"/>
  <c r="D73" i="29"/>
  <c r="C73" i="29"/>
  <c r="D72" i="29"/>
  <c r="C72" i="29"/>
  <c r="E72" i="29" s="1"/>
  <c r="U72" i="29" s="1"/>
  <c r="D71" i="29"/>
  <c r="C71" i="29"/>
  <c r="D70" i="29"/>
  <c r="C70" i="29"/>
  <c r="E70" i="29" s="1"/>
  <c r="U70" i="29" s="1"/>
  <c r="D69" i="29"/>
  <c r="C69" i="29"/>
  <c r="D68" i="29"/>
  <c r="C68" i="29"/>
  <c r="E68" i="29" s="1"/>
  <c r="U68" i="29" s="1"/>
  <c r="E67" i="29"/>
  <c r="U67" i="29" s="1"/>
  <c r="D67" i="29"/>
  <c r="C67" i="29"/>
  <c r="D66" i="29"/>
  <c r="C66" i="29"/>
  <c r="D65" i="29"/>
  <c r="C65" i="29"/>
  <c r="D64" i="29"/>
  <c r="C64" i="29"/>
  <c r="E64" i="29" s="1"/>
  <c r="U64" i="29" s="1"/>
  <c r="E63" i="29"/>
  <c r="U63" i="29" s="1"/>
  <c r="D63" i="29"/>
  <c r="C63" i="29"/>
  <c r="V62" i="29"/>
  <c r="D62" i="29"/>
  <c r="C62" i="29"/>
  <c r="E62" i="29" s="1"/>
  <c r="U62" i="29" s="1"/>
  <c r="D61" i="29"/>
  <c r="C61" i="29"/>
  <c r="E60" i="29"/>
  <c r="U60" i="29" s="1"/>
  <c r="D60" i="29"/>
  <c r="C60" i="29"/>
  <c r="D59" i="29"/>
  <c r="C59" i="29"/>
  <c r="E59" i="29" s="1"/>
  <c r="U59" i="29" s="1"/>
  <c r="D58" i="29"/>
  <c r="C58" i="29"/>
  <c r="D57" i="29"/>
  <c r="C57" i="29"/>
  <c r="D56" i="29"/>
  <c r="C56" i="29"/>
  <c r="E56" i="29" s="1"/>
  <c r="U56" i="29" s="1"/>
  <c r="D55" i="29"/>
  <c r="C55" i="29"/>
  <c r="D54" i="29"/>
  <c r="C54" i="29"/>
  <c r="D53" i="29"/>
  <c r="C53" i="29"/>
  <c r="D52" i="29"/>
  <c r="C52" i="29"/>
  <c r="D51" i="29"/>
  <c r="C51" i="29"/>
  <c r="E51" i="29" s="1"/>
  <c r="U51" i="29" s="1"/>
  <c r="V50" i="29"/>
  <c r="D50" i="29"/>
  <c r="C50" i="29"/>
  <c r="E50" i="29" s="1"/>
  <c r="U50" i="29" s="1"/>
  <c r="D49" i="29"/>
  <c r="C49" i="29"/>
  <c r="D48" i="29"/>
  <c r="C48" i="29"/>
  <c r="E48" i="29" s="1"/>
  <c r="U48" i="29" s="1"/>
  <c r="D47" i="29"/>
  <c r="C47" i="29"/>
  <c r="V46" i="29"/>
  <c r="D46" i="29"/>
  <c r="C46" i="29"/>
  <c r="D45" i="29"/>
  <c r="C45" i="29"/>
  <c r="D44" i="29"/>
  <c r="C44" i="29"/>
  <c r="E44" i="29" s="1"/>
  <c r="U44" i="29" s="1"/>
  <c r="D43" i="29"/>
  <c r="C43" i="29"/>
  <c r="E43" i="29" s="1"/>
  <c r="U43" i="29" s="1"/>
  <c r="E42" i="29"/>
  <c r="U42" i="29" s="1"/>
  <c r="D42" i="29"/>
  <c r="C42" i="29"/>
  <c r="D41" i="29"/>
  <c r="C41" i="29"/>
  <c r="D40" i="29"/>
  <c r="C40" i="29"/>
  <c r="E40" i="29" s="1"/>
  <c r="U40" i="29" s="1"/>
  <c r="D39" i="29"/>
  <c r="C39" i="29"/>
  <c r="E39" i="29" s="1"/>
  <c r="U39" i="29" s="1"/>
  <c r="Z38" i="29"/>
  <c r="D38" i="29"/>
  <c r="C38" i="29"/>
  <c r="D37" i="29"/>
  <c r="C37" i="29"/>
  <c r="D36" i="29"/>
  <c r="C36" i="29"/>
  <c r="E36" i="29" s="1"/>
  <c r="U36" i="29" s="1"/>
  <c r="D35" i="29"/>
  <c r="C35" i="29"/>
  <c r="E35" i="29" s="1"/>
  <c r="U35" i="29" s="1"/>
  <c r="D34" i="29"/>
  <c r="C34" i="29"/>
  <c r="E34" i="29" s="1"/>
  <c r="U34" i="29" s="1"/>
  <c r="D33" i="29"/>
  <c r="C33" i="29"/>
  <c r="D32" i="29"/>
  <c r="C32" i="29"/>
  <c r="E32" i="29" s="1"/>
  <c r="U32" i="29" s="1"/>
  <c r="D31" i="29"/>
  <c r="C31" i="29"/>
  <c r="D30" i="29"/>
  <c r="C30" i="29"/>
  <c r="E30" i="29" s="1"/>
  <c r="U30" i="29" s="1"/>
  <c r="D29" i="29"/>
  <c r="C29" i="29"/>
  <c r="D28" i="29"/>
  <c r="C28" i="29"/>
  <c r="E28" i="29" s="1"/>
  <c r="U28" i="29" s="1"/>
  <c r="D27" i="29"/>
  <c r="C27" i="29"/>
  <c r="D26" i="29"/>
  <c r="C26" i="29"/>
  <c r="E26" i="29" s="1"/>
  <c r="U26" i="29" s="1"/>
  <c r="D25" i="29"/>
  <c r="C25" i="29"/>
  <c r="Z24" i="29"/>
  <c r="D24" i="29"/>
  <c r="C24" i="29"/>
  <c r="E24" i="29" s="1"/>
  <c r="U24" i="29" s="1"/>
  <c r="D23" i="29"/>
  <c r="C23" i="29"/>
  <c r="V22" i="29"/>
  <c r="D22" i="29"/>
  <c r="C22" i="29"/>
  <c r="E22" i="29" s="1"/>
  <c r="U22" i="29" s="1"/>
  <c r="D21" i="29"/>
  <c r="C21" i="29"/>
  <c r="Z20" i="29"/>
  <c r="V20" i="29"/>
  <c r="D20" i="29"/>
  <c r="C20" i="29"/>
  <c r="D19" i="29"/>
  <c r="C19" i="29"/>
  <c r="E19" i="29" s="1"/>
  <c r="U19" i="29" s="1"/>
  <c r="D18" i="29"/>
  <c r="C18" i="29"/>
  <c r="E18" i="29" s="1"/>
  <c r="U18" i="29" s="1"/>
  <c r="D17" i="29"/>
  <c r="C17" i="29"/>
  <c r="D16" i="29"/>
  <c r="C16" i="29"/>
  <c r="E16" i="29" s="1"/>
  <c r="U16" i="29" s="1"/>
  <c r="D15" i="29"/>
  <c r="C15" i="29"/>
  <c r="D14" i="29"/>
  <c r="C14" i="29"/>
  <c r="E14" i="29" s="1"/>
  <c r="U14" i="29" s="1"/>
  <c r="D13" i="29"/>
  <c r="C13" i="29"/>
  <c r="D12" i="29"/>
  <c r="C12" i="29"/>
  <c r="D11" i="29"/>
  <c r="C11" i="29"/>
  <c r="V10" i="29"/>
  <c r="D10" i="29"/>
  <c r="E10" i="29" s="1"/>
  <c r="U10" i="29" s="1"/>
  <c r="C10" i="29"/>
  <c r="V9" i="29"/>
  <c r="D9" i="29"/>
  <c r="C9" i="29"/>
  <c r="D8" i="29"/>
  <c r="C8" i="29"/>
  <c r="L5" i="29"/>
  <c r="AB20" i="29" s="1"/>
  <c r="E5" i="29"/>
  <c r="F4" i="29"/>
  <c r="E4" i="29"/>
  <c r="R3" i="29"/>
  <c r="Q3" i="29"/>
  <c r="Q4" i="29" s="1"/>
  <c r="O3" i="29"/>
  <c r="O4" i="29" s="1"/>
  <c r="I3" i="29"/>
  <c r="H3" i="29"/>
  <c r="F3" i="29"/>
  <c r="F5" i="29" s="1"/>
  <c r="V84" i="29" s="1"/>
  <c r="T1" i="29"/>
  <c r="S1" i="29"/>
  <c r="S3" i="29" s="1"/>
  <c r="R1" i="29"/>
  <c r="Q1" i="29"/>
  <c r="P1" i="29"/>
  <c r="P3" i="29" s="1"/>
  <c r="P5" i="29" s="1"/>
  <c r="O1" i="29"/>
  <c r="N1" i="29"/>
  <c r="N3" i="29" s="1"/>
  <c r="N4" i="29" s="1"/>
  <c r="M1" i="29"/>
  <c r="M3" i="29" s="1"/>
  <c r="L1" i="29"/>
  <c r="L3" i="29" s="1"/>
  <c r="L4" i="29" s="1"/>
  <c r="K1" i="29"/>
  <c r="K3" i="29" s="1"/>
  <c r="K4" i="29" s="1"/>
  <c r="J1" i="29"/>
  <c r="J3" i="29" s="1"/>
  <c r="J5" i="29" s="1"/>
  <c r="I1" i="29"/>
  <c r="H1" i="29"/>
  <c r="G1" i="29"/>
  <c r="G3" i="29" s="1"/>
  <c r="D592" i="22"/>
  <c r="D591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7" i="22"/>
  <c r="D566" i="22"/>
  <c r="D565" i="22"/>
  <c r="D564" i="22"/>
  <c r="D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D549" i="22"/>
  <c r="D548" i="22"/>
  <c r="D547" i="22"/>
  <c r="D546" i="22"/>
  <c r="D545" i="22"/>
  <c r="D544" i="22"/>
  <c r="D543" i="22"/>
  <c r="D542" i="22"/>
  <c r="D541" i="22"/>
  <c r="D540" i="22"/>
  <c r="D539" i="22"/>
  <c r="D538" i="22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2" i="22"/>
  <c r="D501" i="22"/>
  <c r="D500" i="22"/>
  <c r="D499" i="22"/>
  <c r="D498" i="22"/>
  <c r="D497" i="22"/>
  <c r="D496" i="22"/>
  <c r="D495" i="22"/>
  <c r="D494" i="22"/>
  <c r="D493" i="22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AD205" i="27"/>
  <c r="AC205" i="27"/>
  <c r="AB205" i="27"/>
  <c r="AA205" i="27"/>
  <c r="AE205" i="27" s="1"/>
  <c r="AA9" i="27"/>
  <c r="AB9" i="27"/>
  <c r="AC9" i="27"/>
  <c r="AE9" i="27" s="1"/>
  <c r="AD9" i="27"/>
  <c r="AA10" i="27"/>
  <c r="AE10" i="27" s="1"/>
  <c r="AB10" i="27"/>
  <c r="AC10" i="27"/>
  <c r="AD10" i="27"/>
  <c r="AA11" i="27"/>
  <c r="AE11" i="27" s="1"/>
  <c r="AB11" i="27"/>
  <c r="AC11" i="27"/>
  <c r="AD11" i="27"/>
  <c r="AA12" i="27"/>
  <c r="AB12" i="27"/>
  <c r="AC12" i="27"/>
  <c r="AD12" i="27"/>
  <c r="AE12" i="27"/>
  <c r="AA13" i="27"/>
  <c r="AE13" i="27" s="1"/>
  <c r="AB13" i="27"/>
  <c r="AC13" i="27"/>
  <c r="AD13" i="27"/>
  <c r="AA14" i="27"/>
  <c r="AB14" i="27"/>
  <c r="AC14" i="27"/>
  <c r="AE14" i="27" s="1"/>
  <c r="AD14" i="27"/>
  <c r="AA15" i="27"/>
  <c r="AB15" i="27"/>
  <c r="AE15" i="27" s="1"/>
  <c r="AC15" i="27"/>
  <c r="AD15" i="27"/>
  <c r="AA16" i="27"/>
  <c r="AE16" i="27" s="1"/>
  <c r="AB16" i="27"/>
  <c r="AC16" i="27"/>
  <c r="AD16" i="27"/>
  <c r="AA17" i="27"/>
  <c r="AB17" i="27"/>
  <c r="AC17" i="27"/>
  <c r="AD17" i="27"/>
  <c r="AE17" i="27"/>
  <c r="AA18" i="27"/>
  <c r="AE18" i="27" s="1"/>
  <c r="AB18" i="27"/>
  <c r="AC18" i="27"/>
  <c r="AD18" i="27"/>
  <c r="AA19" i="27"/>
  <c r="AB19" i="27"/>
  <c r="AC19" i="27"/>
  <c r="AD19" i="27"/>
  <c r="AE19" i="27"/>
  <c r="AA20" i="27"/>
  <c r="AB20" i="27"/>
  <c r="AE20" i="27" s="1"/>
  <c r="AC20" i="27"/>
  <c r="AD20" i="27"/>
  <c r="AA21" i="27"/>
  <c r="AB21" i="27"/>
  <c r="AC21" i="27"/>
  <c r="AE21" i="27" s="1"/>
  <c r="AD21" i="27"/>
  <c r="AA22" i="27"/>
  <c r="AE22" i="27" s="1"/>
  <c r="AB22" i="27"/>
  <c r="AC22" i="27"/>
  <c r="AD22" i="27"/>
  <c r="AA23" i="27"/>
  <c r="AE23" i="27" s="1"/>
  <c r="AB23" i="27"/>
  <c r="AC23" i="27"/>
  <c r="AD23" i="27"/>
  <c r="AA24" i="27"/>
  <c r="AB24" i="27"/>
  <c r="AC24" i="27"/>
  <c r="AD24" i="27"/>
  <c r="AE24" i="27"/>
  <c r="AA25" i="27"/>
  <c r="AE25" i="27" s="1"/>
  <c r="AB25" i="27"/>
  <c r="AC25" i="27"/>
  <c r="AD25" i="27"/>
  <c r="AA26" i="27"/>
  <c r="AB26" i="27"/>
  <c r="AC26" i="27"/>
  <c r="AE26" i="27" s="1"/>
  <c r="AD26" i="27"/>
  <c r="AA27" i="27"/>
  <c r="AB27" i="27"/>
  <c r="AE27" i="27" s="1"/>
  <c r="AC27" i="27"/>
  <c r="AD27" i="27"/>
  <c r="AA28" i="27"/>
  <c r="AE28" i="27" s="1"/>
  <c r="AB28" i="27"/>
  <c r="AC28" i="27"/>
  <c r="AD28" i="27"/>
  <c r="AA29" i="27"/>
  <c r="AB29" i="27"/>
  <c r="AC29" i="27"/>
  <c r="AD29" i="27"/>
  <c r="AE29" i="27"/>
  <c r="AA30" i="27"/>
  <c r="AE30" i="27" s="1"/>
  <c r="AB30" i="27"/>
  <c r="AC30" i="27"/>
  <c r="AD30" i="27"/>
  <c r="AA31" i="27"/>
  <c r="AB31" i="27"/>
  <c r="AC31" i="27"/>
  <c r="AD31" i="27"/>
  <c r="AE31" i="27"/>
  <c r="AA32" i="27"/>
  <c r="AB32" i="27"/>
  <c r="AE32" i="27" s="1"/>
  <c r="AC32" i="27"/>
  <c r="AD32" i="27"/>
  <c r="AA33" i="27"/>
  <c r="AB33" i="27"/>
  <c r="AC33" i="27"/>
  <c r="AE33" i="27" s="1"/>
  <c r="AD33" i="27"/>
  <c r="AA34" i="27"/>
  <c r="AE34" i="27" s="1"/>
  <c r="AB34" i="27"/>
  <c r="AC34" i="27"/>
  <c r="AD34" i="27"/>
  <c r="AA35" i="27"/>
  <c r="AE35" i="27" s="1"/>
  <c r="AB35" i="27"/>
  <c r="AC35" i="27"/>
  <c r="AD35" i="27"/>
  <c r="AA36" i="27"/>
  <c r="AB36" i="27"/>
  <c r="AC36" i="27"/>
  <c r="AD36" i="27"/>
  <c r="AE36" i="27"/>
  <c r="AA37" i="27"/>
  <c r="AE37" i="27" s="1"/>
  <c r="AB37" i="27"/>
  <c r="AC37" i="27"/>
  <c r="AD37" i="27"/>
  <c r="AA38" i="27"/>
  <c r="AB38" i="27"/>
  <c r="AC38" i="27"/>
  <c r="AE38" i="27" s="1"/>
  <c r="AD38" i="27"/>
  <c r="AA39" i="27"/>
  <c r="AB39" i="27"/>
  <c r="AE39" i="27" s="1"/>
  <c r="AC39" i="27"/>
  <c r="AD39" i="27"/>
  <c r="AA40" i="27"/>
  <c r="AE40" i="27" s="1"/>
  <c r="AB40" i="27"/>
  <c r="AC40" i="27"/>
  <c r="AD40" i="27"/>
  <c r="AA41" i="27"/>
  <c r="AB41" i="27"/>
  <c r="AC41" i="27"/>
  <c r="AD41" i="27"/>
  <c r="AE41" i="27"/>
  <c r="AA42" i="27"/>
  <c r="AE42" i="27" s="1"/>
  <c r="AB42" i="27"/>
  <c r="AC42" i="27"/>
  <c r="AD42" i="27"/>
  <c r="AA43" i="27"/>
  <c r="AB43" i="27"/>
  <c r="AC43" i="27"/>
  <c r="AD43" i="27"/>
  <c r="AE43" i="27"/>
  <c r="AA44" i="27"/>
  <c r="AB44" i="27"/>
  <c r="AE44" i="27" s="1"/>
  <c r="AC44" i="27"/>
  <c r="AD44" i="27"/>
  <c r="AA45" i="27"/>
  <c r="AB45" i="27"/>
  <c r="AC45" i="27"/>
  <c r="AE45" i="27" s="1"/>
  <c r="AD45" i="27"/>
  <c r="AA46" i="27"/>
  <c r="AE46" i="27" s="1"/>
  <c r="AB46" i="27"/>
  <c r="AC46" i="27"/>
  <c r="AD46" i="27"/>
  <c r="AA47" i="27"/>
  <c r="AE47" i="27" s="1"/>
  <c r="AB47" i="27"/>
  <c r="AC47" i="27"/>
  <c r="AD47" i="27"/>
  <c r="AA48" i="27"/>
  <c r="AB48" i="27"/>
  <c r="AC48" i="27"/>
  <c r="AD48" i="27"/>
  <c r="AE48" i="27"/>
  <c r="AA49" i="27"/>
  <c r="AE49" i="27" s="1"/>
  <c r="AB49" i="27"/>
  <c r="AC49" i="27"/>
  <c r="AD49" i="27"/>
  <c r="AA50" i="27"/>
  <c r="AB50" i="27"/>
  <c r="AC50" i="27"/>
  <c r="AE50" i="27" s="1"/>
  <c r="AD50" i="27"/>
  <c r="AA51" i="27"/>
  <c r="AB51" i="27"/>
  <c r="AE51" i="27" s="1"/>
  <c r="AC51" i="27"/>
  <c r="AD51" i="27"/>
  <c r="AA52" i="27"/>
  <c r="AE52" i="27" s="1"/>
  <c r="AB52" i="27"/>
  <c r="AC52" i="27"/>
  <c r="AD52" i="27"/>
  <c r="AA53" i="27"/>
  <c r="AB53" i="27"/>
  <c r="AC53" i="27"/>
  <c r="AD53" i="27"/>
  <c r="AE53" i="27"/>
  <c r="AA54" i="27"/>
  <c r="AE54" i="27" s="1"/>
  <c r="AB54" i="27"/>
  <c r="AC54" i="27"/>
  <c r="AD54" i="27"/>
  <c r="AA55" i="27"/>
  <c r="AB55" i="27"/>
  <c r="AC55" i="27"/>
  <c r="AD55" i="27"/>
  <c r="AE55" i="27"/>
  <c r="AA56" i="27"/>
  <c r="AB56" i="27"/>
  <c r="AE56" i="27" s="1"/>
  <c r="AC56" i="27"/>
  <c r="AD56" i="27"/>
  <c r="AA57" i="27"/>
  <c r="AB57" i="27"/>
  <c r="AC57" i="27"/>
  <c r="AE57" i="27" s="1"/>
  <c r="AD57" i="27"/>
  <c r="AA58" i="27"/>
  <c r="AE58" i="27" s="1"/>
  <c r="AB58" i="27"/>
  <c r="AC58" i="27"/>
  <c r="AD58" i="27"/>
  <c r="AA59" i="27"/>
  <c r="AE59" i="27" s="1"/>
  <c r="AB59" i="27"/>
  <c r="AC59" i="27"/>
  <c r="AD59" i="27"/>
  <c r="AA60" i="27"/>
  <c r="AB60" i="27"/>
  <c r="AC60" i="27"/>
  <c r="AD60" i="27"/>
  <c r="AE60" i="27"/>
  <c r="AA61" i="27"/>
  <c r="AE61" i="27" s="1"/>
  <c r="AB61" i="27"/>
  <c r="AC61" i="27"/>
  <c r="AD61" i="27"/>
  <c r="AA62" i="27"/>
  <c r="AB62" i="27"/>
  <c r="AC62" i="27"/>
  <c r="AE62" i="27" s="1"/>
  <c r="AD62" i="27"/>
  <c r="AA63" i="27"/>
  <c r="AB63" i="27"/>
  <c r="AE63" i="27" s="1"/>
  <c r="AC63" i="27"/>
  <c r="AD63" i="27"/>
  <c r="AA64" i="27"/>
  <c r="AE64" i="27" s="1"/>
  <c r="AB64" i="27"/>
  <c r="AC64" i="27"/>
  <c r="AD64" i="27"/>
  <c r="AA65" i="27"/>
  <c r="AB65" i="27"/>
  <c r="AC65" i="27"/>
  <c r="AD65" i="27"/>
  <c r="AE65" i="27"/>
  <c r="AA66" i="27"/>
  <c r="AE66" i="27" s="1"/>
  <c r="AB66" i="27"/>
  <c r="AC66" i="27"/>
  <c r="AD66" i="27"/>
  <c r="AA67" i="27"/>
  <c r="AB67" i="27"/>
  <c r="AC67" i="27"/>
  <c r="AD67" i="27"/>
  <c r="AE67" i="27"/>
  <c r="AA68" i="27"/>
  <c r="AB68" i="27"/>
  <c r="AE68" i="27" s="1"/>
  <c r="AC68" i="27"/>
  <c r="AD68" i="27"/>
  <c r="AA69" i="27"/>
  <c r="AB69" i="27"/>
  <c r="AC69" i="27"/>
  <c r="AE69" i="27" s="1"/>
  <c r="AD69" i="27"/>
  <c r="AA70" i="27"/>
  <c r="AE70" i="27" s="1"/>
  <c r="AB70" i="27"/>
  <c r="AC70" i="27"/>
  <c r="AD70" i="27"/>
  <c r="AA71" i="27"/>
  <c r="AE71" i="27" s="1"/>
  <c r="AB71" i="27"/>
  <c r="AC71" i="27"/>
  <c r="AD71" i="27"/>
  <c r="AA72" i="27"/>
  <c r="AB72" i="27"/>
  <c r="AC72" i="27"/>
  <c r="AD72" i="27"/>
  <c r="AE72" i="27"/>
  <c r="AA73" i="27"/>
  <c r="AE73" i="27" s="1"/>
  <c r="AB73" i="27"/>
  <c r="AC73" i="27"/>
  <c r="AD73" i="27"/>
  <c r="AA74" i="27"/>
  <c r="AB74" i="27"/>
  <c r="AC74" i="27"/>
  <c r="AE74" i="27" s="1"/>
  <c r="AD74" i="27"/>
  <c r="AA75" i="27"/>
  <c r="AB75" i="27"/>
  <c r="AE75" i="27" s="1"/>
  <c r="AC75" i="27"/>
  <c r="AD75" i="27"/>
  <c r="AA76" i="27"/>
  <c r="AE76" i="27" s="1"/>
  <c r="AB76" i="27"/>
  <c r="AC76" i="27"/>
  <c r="AD76" i="27"/>
  <c r="AA77" i="27"/>
  <c r="AB77" i="27"/>
  <c r="AC77" i="27"/>
  <c r="AD77" i="27"/>
  <c r="AE77" i="27"/>
  <c r="AA78" i="27"/>
  <c r="AE78" i="27" s="1"/>
  <c r="AB78" i="27"/>
  <c r="AC78" i="27"/>
  <c r="AD78" i="27"/>
  <c r="AA79" i="27"/>
  <c r="AB79" i="27"/>
  <c r="AC79" i="27"/>
  <c r="AD79" i="27"/>
  <c r="AE79" i="27"/>
  <c r="AA80" i="27"/>
  <c r="AB80" i="27"/>
  <c r="AE80" i="27" s="1"/>
  <c r="AC80" i="27"/>
  <c r="AD80" i="27"/>
  <c r="AA81" i="27"/>
  <c r="AB81" i="27"/>
  <c r="AC81" i="27"/>
  <c r="AE81" i="27" s="1"/>
  <c r="AD81" i="27"/>
  <c r="AA82" i="27"/>
  <c r="AE82" i="27" s="1"/>
  <c r="AB82" i="27"/>
  <c r="AC82" i="27"/>
  <c r="AD82" i="27"/>
  <c r="AA83" i="27"/>
  <c r="AE83" i="27" s="1"/>
  <c r="AB83" i="27"/>
  <c r="AC83" i="27"/>
  <c r="AD83" i="27"/>
  <c r="AA84" i="27"/>
  <c r="AB84" i="27"/>
  <c r="AC84" i="27"/>
  <c r="AD84" i="27"/>
  <c r="AE84" i="27"/>
  <c r="AA85" i="27"/>
  <c r="AE85" i="27" s="1"/>
  <c r="AB85" i="27"/>
  <c r="AC85" i="27"/>
  <c r="AD85" i="27"/>
  <c r="AA86" i="27"/>
  <c r="AB86" i="27"/>
  <c r="AC86" i="27"/>
  <c r="AE86" i="27" s="1"/>
  <c r="AD86" i="27"/>
  <c r="AA87" i="27"/>
  <c r="AB87" i="27"/>
  <c r="AE87" i="27" s="1"/>
  <c r="AC87" i="27"/>
  <c r="AD87" i="27"/>
  <c r="AA88" i="27"/>
  <c r="AE88" i="27" s="1"/>
  <c r="AB88" i="27"/>
  <c r="AC88" i="27"/>
  <c r="AD88" i="27"/>
  <c r="AA89" i="27"/>
  <c r="AB89" i="27"/>
  <c r="AC89" i="27"/>
  <c r="AD89" i="27"/>
  <c r="AE89" i="27"/>
  <c r="AA90" i="27"/>
  <c r="AE90" i="27" s="1"/>
  <c r="AB90" i="27"/>
  <c r="AC90" i="27"/>
  <c r="AD90" i="27"/>
  <c r="AA91" i="27"/>
  <c r="AB91" i="27"/>
  <c r="AC91" i="27"/>
  <c r="AD91" i="27"/>
  <c r="AE91" i="27"/>
  <c r="AA92" i="27"/>
  <c r="AB92" i="27"/>
  <c r="AE92" i="27" s="1"/>
  <c r="AC92" i="27"/>
  <c r="AD92" i="27"/>
  <c r="AA93" i="27"/>
  <c r="AB93" i="27"/>
  <c r="AC93" i="27"/>
  <c r="AE93" i="27" s="1"/>
  <c r="AD93" i="27"/>
  <c r="AA94" i="27"/>
  <c r="AE94" i="27" s="1"/>
  <c r="AB94" i="27"/>
  <c r="AC94" i="27"/>
  <c r="AD94" i="27"/>
  <c r="AA95" i="27"/>
  <c r="AE95" i="27" s="1"/>
  <c r="AB95" i="27"/>
  <c r="AC95" i="27"/>
  <c r="AD95" i="27"/>
  <c r="AA96" i="27"/>
  <c r="AB96" i="27"/>
  <c r="AC96" i="27"/>
  <c r="AD96" i="27"/>
  <c r="AE96" i="27"/>
  <c r="AA97" i="27"/>
  <c r="AE97" i="27" s="1"/>
  <c r="AB97" i="27"/>
  <c r="AC97" i="27"/>
  <c r="AD97" i="27"/>
  <c r="AA98" i="27"/>
  <c r="AB98" i="27"/>
  <c r="AC98" i="27"/>
  <c r="AE98" i="27" s="1"/>
  <c r="AD98" i="27"/>
  <c r="AA99" i="27"/>
  <c r="AB99" i="27"/>
  <c r="AE99" i="27" s="1"/>
  <c r="AC99" i="27"/>
  <c r="AD99" i="27"/>
  <c r="AA100" i="27"/>
  <c r="AE100" i="27" s="1"/>
  <c r="AB100" i="27"/>
  <c r="AC100" i="27"/>
  <c r="AD100" i="27"/>
  <c r="AA101" i="27"/>
  <c r="AB101" i="27"/>
  <c r="AC101" i="27"/>
  <c r="AD101" i="27"/>
  <c r="AE101" i="27"/>
  <c r="AA102" i="27"/>
  <c r="AE102" i="27" s="1"/>
  <c r="AB102" i="27"/>
  <c r="AC102" i="27"/>
  <c r="AD102" i="27"/>
  <c r="AA103" i="27"/>
  <c r="AB103" i="27"/>
  <c r="AC103" i="27"/>
  <c r="AD103" i="27"/>
  <c r="AE103" i="27"/>
  <c r="AA104" i="27"/>
  <c r="AB104" i="27"/>
  <c r="AE104" i="27" s="1"/>
  <c r="AC104" i="27"/>
  <c r="AD104" i="27"/>
  <c r="AA105" i="27"/>
  <c r="AB105" i="27"/>
  <c r="AC105" i="27"/>
  <c r="AE105" i="27" s="1"/>
  <c r="AD105" i="27"/>
  <c r="AA106" i="27"/>
  <c r="AE106" i="27" s="1"/>
  <c r="AB106" i="27"/>
  <c r="AC106" i="27"/>
  <c r="AD106" i="27"/>
  <c r="AA107" i="27"/>
  <c r="AE107" i="27" s="1"/>
  <c r="AB107" i="27"/>
  <c r="AC107" i="27"/>
  <c r="AD107" i="27"/>
  <c r="AA108" i="27"/>
  <c r="AB108" i="27"/>
  <c r="AC108" i="27"/>
  <c r="AD108" i="27"/>
  <c r="AE108" i="27"/>
  <c r="AA109" i="27"/>
  <c r="AE109" i="27" s="1"/>
  <c r="AB109" i="27"/>
  <c r="AC109" i="27"/>
  <c r="AD109" i="27"/>
  <c r="AA110" i="27"/>
  <c r="AB110" i="27"/>
  <c r="AC110" i="27"/>
  <c r="AE110" i="27" s="1"/>
  <c r="AD110" i="27"/>
  <c r="AA111" i="27"/>
  <c r="AB111" i="27"/>
  <c r="AE111" i="27" s="1"/>
  <c r="AC111" i="27"/>
  <c r="AD111" i="27"/>
  <c r="AA112" i="27"/>
  <c r="AE112" i="27" s="1"/>
  <c r="AB112" i="27"/>
  <c r="AC112" i="27"/>
  <c r="AD112" i="27"/>
  <c r="AA113" i="27"/>
  <c r="AB113" i="27"/>
  <c r="AC113" i="27"/>
  <c r="AD113" i="27"/>
  <c r="AE113" i="27"/>
  <c r="AA114" i="27"/>
  <c r="AE114" i="27" s="1"/>
  <c r="AB114" i="27"/>
  <c r="AC114" i="27"/>
  <c r="AD114" i="27"/>
  <c r="AA115" i="27"/>
  <c r="AB115" i="27"/>
  <c r="AC115" i="27"/>
  <c r="AD115" i="27"/>
  <c r="AE115" i="27"/>
  <c r="AA116" i="27"/>
  <c r="AB116" i="27"/>
  <c r="AE116" i="27" s="1"/>
  <c r="AC116" i="27"/>
  <c r="AD116" i="27"/>
  <c r="AA117" i="27"/>
  <c r="AB117" i="27"/>
  <c r="AC117" i="27"/>
  <c r="AE117" i="27" s="1"/>
  <c r="AD117" i="27"/>
  <c r="AA118" i="27"/>
  <c r="AE118" i="27" s="1"/>
  <c r="AB118" i="27"/>
  <c r="AC118" i="27"/>
  <c r="AD118" i="27"/>
  <c r="AA119" i="27"/>
  <c r="AE119" i="27" s="1"/>
  <c r="AB119" i="27"/>
  <c r="AC119" i="27"/>
  <c r="AD119" i="27"/>
  <c r="AA120" i="27"/>
  <c r="AB120" i="27"/>
  <c r="AC120" i="27"/>
  <c r="AD120" i="27"/>
  <c r="AE120" i="27"/>
  <c r="AA121" i="27"/>
  <c r="AE121" i="27" s="1"/>
  <c r="AB121" i="27"/>
  <c r="AC121" i="27"/>
  <c r="AD121" i="27"/>
  <c r="AA122" i="27"/>
  <c r="AB122" i="27"/>
  <c r="AC122" i="27"/>
  <c r="AE122" i="27" s="1"/>
  <c r="AD122" i="27"/>
  <c r="AA123" i="27"/>
  <c r="AB123" i="27"/>
  <c r="AE123" i="27" s="1"/>
  <c r="AC123" i="27"/>
  <c r="AD123" i="27"/>
  <c r="AA124" i="27"/>
  <c r="AE124" i="27" s="1"/>
  <c r="AB124" i="27"/>
  <c r="AC124" i="27"/>
  <c r="AD124" i="27"/>
  <c r="AA125" i="27"/>
  <c r="AB125" i="27"/>
  <c r="AC125" i="27"/>
  <c r="AD125" i="27"/>
  <c r="AE125" i="27"/>
  <c r="AA126" i="27"/>
  <c r="AE126" i="27" s="1"/>
  <c r="AB126" i="27"/>
  <c r="AC126" i="27"/>
  <c r="AD126" i="27"/>
  <c r="AA127" i="27"/>
  <c r="AB127" i="27"/>
  <c r="AC127" i="27"/>
  <c r="AD127" i="27"/>
  <c r="AE127" i="27"/>
  <c r="AA128" i="27"/>
  <c r="AB128" i="27"/>
  <c r="AE128" i="27" s="1"/>
  <c r="AC128" i="27"/>
  <c r="AD128" i="27"/>
  <c r="AA129" i="27"/>
  <c r="AB129" i="27"/>
  <c r="AC129" i="27"/>
  <c r="AE129" i="27" s="1"/>
  <c r="AD129" i="27"/>
  <c r="AA130" i="27"/>
  <c r="AE130" i="27" s="1"/>
  <c r="AB130" i="27"/>
  <c r="AC130" i="27"/>
  <c r="AD130" i="27"/>
  <c r="AA131" i="27"/>
  <c r="AE131" i="27" s="1"/>
  <c r="AB131" i="27"/>
  <c r="AC131" i="27"/>
  <c r="AD131" i="27"/>
  <c r="AA132" i="27"/>
  <c r="AB132" i="27"/>
  <c r="AC132" i="27"/>
  <c r="AD132" i="27"/>
  <c r="AE132" i="27"/>
  <c r="AA133" i="27"/>
  <c r="AE133" i="27" s="1"/>
  <c r="AB133" i="27"/>
  <c r="AC133" i="27"/>
  <c r="AD133" i="27"/>
  <c r="AA134" i="27"/>
  <c r="AB134" i="27"/>
  <c r="AC134" i="27"/>
  <c r="AE134" i="27" s="1"/>
  <c r="AD134" i="27"/>
  <c r="AA135" i="27"/>
  <c r="AB135" i="27"/>
  <c r="AE135" i="27" s="1"/>
  <c r="AC135" i="27"/>
  <c r="AD135" i="27"/>
  <c r="AA136" i="27"/>
  <c r="AE136" i="27" s="1"/>
  <c r="AB136" i="27"/>
  <c r="AC136" i="27"/>
  <c r="AD136" i="27"/>
  <c r="AA137" i="27"/>
  <c r="AB137" i="27"/>
  <c r="AC137" i="27"/>
  <c r="AD137" i="27"/>
  <c r="AE137" i="27"/>
  <c r="AA138" i="27"/>
  <c r="AE138" i="27" s="1"/>
  <c r="AB138" i="27"/>
  <c r="AC138" i="27"/>
  <c r="AD138" i="27"/>
  <c r="AA139" i="27"/>
  <c r="AB139" i="27"/>
  <c r="AC139" i="27"/>
  <c r="AD139" i="27"/>
  <c r="AE139" i="27"/>
  <c r="AA140" i="27"/>
  <c r="AB140" i="27"/>
  <c r="AE140" i="27" s="1"/>
  <c r="AC140" i="27"/>
  <c r="AD140" i="27"/>
  <c r="AA141" i="27"/>
  <c r="AB141" i="27"/>
  <c r="AC141" i="27"/>
  <c r="AE141" i="27" s="1"/>
  <c r="AD141" i="27"/>
  <c r="AA142" i="27"/>
  <c r="AE142" i="27" s="1"/>
  <c r="AB142" i="27"/>
  <c r="AC142" i="27"/>
  <c r="AD142" i="27"/>
  <c r="AA143" i="27"/>
  <c r="AE143" i="27" s="1"/>
  <c r="AB143" i="27"/>
  <c r="AC143" i="27"/>
  <c r="AD143" i="27"/>
  <c r="AA144" i="27"/>
  <c r="AB144" i="27"/>
  <c r="AC144" i="27"/>
  <c r="AD144" i="27"/>
  <c r="AE144" i="27"/>
  <c r="AA145" i="27"/>
  <c r="AE145" i="27" s="1"/>
  <c r="AB145" i="27"/>
  <c r="AC145" i="27"/>
  <c r="AD145" i="27"/>
  <c r="AA146" i="27"/>
  <c r="AB146" i="27"/>
  <c r="AC146" i="27"/>
  <c r="AE146" i="27" s="1"/>
  <c r="AD146" i="27"/>
  <c r="AA147" i="27"/>
  <c r="AB147" i="27"/>
  <c r="AE147" i="27" s="1"/>
  <c r="AC147" i="27"/>
  <c r="AD147" i="27"/>
  <c r="AA148" i="27"/>
  <c r="AE148" i="27" s="1"/>
  <c r="AB148" i="27"/>
  <c r="AC148" i="27"/>
  <c r="AD148" i="27"/>
  <c r="AA149" i="27"/>
  <c r="AB149" i="27"/>
  <c r="AC149" i="27"/>
  <c r="AD149" i="27"/>
  <c r="AE149" i="27"/>
  <c r="AA150" i="27"/>
  <c r="AE150" i="27" s="1"/>
  <c r="AB150" i="27"/>
  <c r="AC150" i="27"/>
  <c r="AD150" i="27"/>
  <c r="AA151" i="27"/>
  <c r="AB151" i="27"/>
  <c r="AC151" i="27"/>
  <c r="AD151" i="27"/>
  <c r="AE151" i="27"/>
  <c r="AA152" i="27"/>
  <c r="AB152" i="27"/>
  <c r="AE152" i="27" s="1"/>
  <c r="AC152" i="27"/>
  <c r="AD152" i="27"/>
  <c r="AA153" i="27"/>
  <c r="AB153" i="27"/>
  <c r="AC153" i="27"/>
  <c r="AE153" i="27" s="1"/>
  <c r="AD153" i="27"/>
  <c r="AA154" i="27"/>
  <c r="AE154" i="27" s="1"/>
  <c r="AB154" i="27"/>
  <c r="AC154" i="27"/>
  <c r="AD154" i="27"/>
  <c r="AA155" i="27"/>
  <c r="AE155" i="27" s="1"/>
  <c r="AB155" i="27"/>
  <c r="AC155" i="27"/>
  <c r="AD155" i="27"/>
  <c r="AA156" i="27"/>
  <c r="AB156" i="27"/>
  <c r="AC156" i="27"/>
  <c r="AD156" i="27"/>
  <c r="AE156" i="27"/>
  <c r="AA157" i="27"/>
  <c r="AE157" i="27" s="1"/>
  <c r="AB157" i="27"/>
  <c r="AC157" i="27"/>
  <c r="AD157" i="27"/>
  <c r="AA158" i="27"/>
  <c r="AB158" i="27"/>
  <c r="AC158" i="27"/>
  <c r="AE158" i="27" s="1"/>
  <c r="AD158" i="27"/>
  <c r="AA159" i="27"/>
  <c r="AB159" i="27"/>
  <c r="AE159" i="27" s="1"/>
  <c r="AC159" i="27"/>
  <c r="AD159" i="27"/>
  <c r="AA160" i="27"/>
  <c r="AE160" i="27" s="1"/>
  <c r="AB160" i="27"/>
  <c r="AC160" i="27"/>
  <c r="AD160" i="27"/>
  <c r="AA161" i="27"/>
  <c r="AB161" i="27"/>
  <c r="AC161" i="27"/>
  <c r="AD161" i="27"/>
  <c r="AE161" i="27"/>
  <c r="AA162" i="27"/>
  <c r="AE162" i="27" s="1"/>
  <c r="AB162" i="27"/>
  <c r="AC162" i="27"/>
  <c r="AD162" i="27"/>
  <c r="AA163" i="27"/>
  <c r="AB163" i="27"/>
  <c r="AC163" i="27"/>
  <c r="AD163" i="27"/>
  <c r="AE163" i="27"/>
  <c r="AA164" i="27"/>
  <c r="AB164" i="27"/>
  <c r="AE164" i="27" s="1"/>
  <c r="AC164" i="27"/>
  <c r="AD164" i="27"/>
  <c r="AA165" i="27"/>
  <c r="AB165" i="27"/>
  <c r="AC165" i="27"/>
  <c r="AE165" i="27" s="1"/>
  <c r="AD165" i="27"/>
  <c r="AA166" i="27"/>
  <c r="AE166" i="27" s="1"/>
  <c r="AB166" i="27"/>
  <c r="AC166" i="27"/>
  <c r="AD166" i="27"/>
  <c r="AA167" i="27"/>
  <c r="AE167" i="27" s="1"/>
  <c r="AB167" i="27"/>
  <c r="AC167" i="27"/>
  <c r="AD167" i="27"/>
  <c r="AA168" i="27"/>
  <c r="AB168" i="27"/>
  <c r="AC168" i="27"/>
  <c r="AD168" i="27"/>
  <c r="AE168" i="27"/>
  <c r="AA169" i="27"/>
  <c r="AE169" i="27" s="1"/>
  <c r="AB169" i="27"/>
  <c r="AC169" i="27"/>
  <c r="AD169" i="27"/>
  <c r="AA170" i="27"/>
  <c r="AB170" i="27"/>
  <c r="AC170" i="27"/>
  <c r="AE170" i="27" s="1"/>
  <c r="AD170" i="27"/>
  <c r="AA171" i="27"/>
  <c r="AB171" i="27"/>
  <c r="AE171" i="27" s="1"/>
  <c r="AC171" i="27"/>
  <c r="AD171" i="27"/>
  <c r="AA172" i="27"/>
  <c r="AE172" i="27" s="1"/>
  <c r="AB172" i="27"/>
  <c r="AC172" i="27"/>
  <c r="AD172" i="27"/>
  <c r="AA173" i="27"/>
  <c r="AB173" i="27"/>
  <c r="AC173" i="27"/>
  <c r="AD173" i="27"/>
  <c r="AE173" i="27"/>
  <c r="AA174" i="27"/>
  <c r="AE174" i="27" s="1"/>
  <c r="AB174" i="27"/>
  <c r="AC174" i="27"/>
  <c r="AD174" i="27"/>
  <c r="AA175" i="27"/>
  <c r="AB175" i="27"/>
  <c r="AC175" i="27"/>
  <c r="AD175" i="27"/>
  <c r="AE175" i="27"/>
  <c r="AA176" i="27"/>
  <c r="AB176" i="27"/>
  <c r="AE176" i="27" s="1"/>
  <c r="AC176" i="27"/>
  <c r="AD176" i="27"/>
  <c r="AA177" i="27"/>
  <c r="AB177" i="27"/>
  <c r="AC177" i="27"/>
  <c r="AE177" i="27" s="1"/>
  <c r="AD177" i="27"/>
  <c r="AA178" i="27"/>
  <c r="AE178" i="27" s="1"/>
  <c r="AB178" i="27"/>
  <c r="AC178" i="27"/>
  <c r="AD178" i="27"/>
  <c r="AA179" i="27"/>
  <c r="AE179" i="27" s="1"/>
  <c r="AB179" i="27"/>
  <c r="AC179" i="27"/>
  <c r="AD179" i="27"/>
  <c r="AA180" i="27"/>
  <c r="AB180" i="27"/>
  <c r="AC180" i="27"/>
  <c r="AD180" i="27"/>
  <c r="AE180" i="27"/>
  <c r="AA181" i="27"/>
  <c r="AE181" i="27" s="1"/>
  <c r="AB181" i="27"/>
  <c r="AC181" i="27"/>
  <c r="AD181" i="27"/>
  <c r="AA182" i="27"/>
  <c r="AB182" i="27"/>
  <c r="AC182" i="27"/>
  <c r="AE182" i="27" s="1"/>
  <c r="AD182" i="27"/>
  <c r="AA183" i="27"/>
  <c r="AB183" i="27"/>
  <c r="AE183" i="27" s="1"/>
  <c r="AC183" i="27"/>
  <c r="AD183" i="27"/>
  <c r="AA184" i="27"/>
  <c r="AE184" i="27" s="1"/>
  <c r="AB184" i="27"/>
  <c r="AC184" i="27"/>
  <c r="AD184" i="27"/>
  <c r="AA185" i="27"/>
  <c r="AB185" i="27"/>
  <c r="AC185" i="27"/>
  <c r="AD185" i="27"/>
  <c r="AE185" i="27"/>
  <c r="AA186" i="27"/>
  <c r="AE186" i="27" s="1"/>
  <c r="AB186" i="27"/>
  <c r="AC186" i="27"/>
  <c r="AD186" i="27"/>
  <c r="AA187" i="27"/>
  <c r="AB187" i="27"/>
  <c r="AC187" i="27"/>
  <c r="AD187" i="27"/>
  <c r="AE187" i="27"/>
  <c r="AA188" i="27"/>
  <c r="AB188" i="27"/>
  <c r="AE188" i="27" s="1"/>
  <c r="AC188" i="27"/>
  <c r="AD188" i="27"/>
  <c r="AA189" i="27"/>
  <c r="AB189" i="27"/>
  <c r="AC189" i="27"/>
  <c r="AE189" i="27" s="1"/>
  <c r="AD189" i="27"/>
  <c r="AA190" i="27"/>
  <c r="AE190" i="27" s="1"/>
  <c r="AB190" i="27"/>
  <c r="AC190" i="27"/>
  <c r="AD190" i="27"/>
  <c r="AA191" i="27"/>
  <c r="AE191" i="27" s="1"/>
  <c r="AB191" i="27"/>
  <c r="AC191" i="27"/>
  <c r="AD191" i="27"/>
  <c r="AA192" i="27"/>
  <c r="AB192" i="27"/>
  <c r="AC192" i="27"/>
  <c r="AD192" i="27"/>
  <c r="AE192" i="27"/>
  <c r="AA193" i="27"/>
  <c r="AE193" i="27" s="1"/>
  <c r="AB193" i="27"/>
  <c r="AC193" i="27"/>
  <c r="AD193" i="27"/>
  <c r="AA194" i="27"/>
  <c r="AB194" i="27"/>
  <c r="AC194" i="27"/>
  <c r="AE194" i="27" s="1"/>
  <c r="AD194" i="27"/>
  <c r="AA195" i="27"/>
  <c r="AB195" i="27"/>
  <c r="AE195" i="27" s="1"/>
  <c r="AC195" i="27"/>
  <c r="AD195" i="27"/>
  <c r="AA196" i="27"/>
  <c r="AE196" i="27" s="1"/>
  <c r="AB196" i="27"/>
  <c r="AC196" i="27"/>
  <c r="AD196" i="27"/>
  <c r="AA197" i="27"/>
  <c r="AB197" i="27"/>
  <c r="AC197" i="27"/>
  <c r="AD197" i="27"/>
  <c r="AE197" i="27"/>
  <c r="AA198" i="27"/>
  <c r="AE198" i="27" s="1"/>
  <c r="AB198" i="27"/>
  <c r="AC198" i="27"/>
  <c r="AD198" i="27"/>
  <c r="AA199" i="27"/>
  <c r="AB199" i="27"/>
  <c r="AC199" i="27"/>
  <c r="AD199" i="27"/>
  <c r="AE199" i="27"/>
  <c r="AA200" i="27"/>
  <c r="AB200" i="27"/>
  <c r="AE200" i="27" s="1"/>
  <c r="AC200" i="27"/>
  <c r="AD200" i="27"/>
  <c r="AA201" i="27"/>
  <c r="AB201" i="27"/>
  <c r="AC201" i="27"/>
  <c r="AE201" i="27" s="1"/>
  <c r="AD201" i="27"/>
  <c r="AA202" i="27"/>
  <c r="AE202" i="27" s="1"/>
  <c r="AB202" i="27"/>
  <c r="AC202" i="27"/>
  <c r="AD202" i="27"/>
  <c r="AA203" i="27"/>
  <c r="AE203" i="27" s="1"/>
  <c r="AB203" i="27"/>
  <c r="AC203" i="27"/>
  <c r="AD203" i="27"/>
  <c r="AA204" i="27"/>
  <c r="AB204" i="27"/>
  <c r="AC204" i="27"/>
  <c r="AD204" i="27"/>
  <c r="AE204" i="27"/>
  <c r="AE8" i="27"/>
  <c r="AD8" i="27"/>
  <c r="AC8" i="27"/>
  <c r="AB8" i="27"/>
  <c r="AA8" i="27"/>
  <c r="H6" i="27"/>
  <c r="G6" i="27"/>
  <c r="F6" i="27"/>
  <c r="T208" i="27"/>
  <c r="S208" i="27"/>
  <c r="R208" i="27"/>
  <c r="Q208" i="27"/>
  <c r="P208" i="27"/>
  <c r="O208" i="27"/>
  <c r="N208" i="27"/>
  <c r="M208" i="27"/>
  <c r="L208" i="27"/>
  <c r="K208" i="27"/>
  <c r="J208" i="27"/>
  <c r="I208" i="27"/>
  <c r="H208" i="27"/>
  <c r="G208" i="27"/>
  <c r="F208" i="27"/>
  <c r="D207" i="27"/>
  <c r="C207" i="27"/>
  <c r="E207" i="27" s="1"/>
  <c r="T205" i="27"/>
  <c r="S205" i="27"/>
  <c r="R205" i="27"/>
  <c r="Q205" i="27"/>
  <c r="P205" i="27"/>
  <c r="O205" i="27"/>
  <c r="N205" i="27"/>
  <c r="M205" i="27"/>
  <c r="L205" i="27"/>
  <c r="K205" i="27"/>
  <c r="J205" i="27"/>
  <c r="I205" i="27"/>
  <c r="H205" i="27"/>
  <c r="G205" i="27"/>
  <c r="F205" i="27"/>
  <c r="D204" i="27"/>
  <c r="C204" i="27"/>
  <c r="D203" i="27"/>
  <c r="C203" i="27"/>
  <c r="D202" i="27"/>
  <c r="C202" i="27"/>
  <c r="E202" i="27" s="1"/>
  <c r="D201" i="27"/>
  <c r="C201" i="27"/>
  <c r="E201" i="27" s="1"/>
  <c r="D200" i="27"/>
  <c r="C200" i="27"/>
  <c r="E200" i="27" s="1"/>
  <c r="D199" i="27"/>
  <c r="C199" i="27"/>
  <c r="D198" i="27"/>
  <c r="C198" i="27"/>
  <c r="E198" i="27" s="1"/>
  <c r="D197" i="27"/>
  <c r="C197" i="27"/>
  <c r="D196" i="27"/>
  <c r="C196" i="27"/>
  <c r="D195" i="27"/>
  <c r="C195" i="27"/>
  <c r="E195" i="27" s="1"/>
  <c r="U195" i="27" s="1"/>
  <c r="D194" i="27"/>
  <c r="C194" i="27"/>
  <c r="D193" i="27"/>
  <c r="C193" i="27"/>
  <c r="E193" i="27" s="1"/>
  <c r="E192" i="27"/>
  <c r="U192" i="27" s="1"/>
  <c r="D192" i="27"/>
  <c r="C192" i="27"/>
  <c r="D191" i="27"/>
  <c r="C191" i="27"/>
  <c r="D190" i="27"/>
  <c r="C190" i="27"/>
  <c r="E190" i="27" s="1"/>
  <c r="D189" i="27"/>
  <c r="C189" i="27"/>
  <c r="E189" i="27" s="1"/>
  <c r="D188" i="27"/>
  <c r="C188" i="27"/>
  <c r="D187" i="27"/>
  <c r="C187" i="27"/>
  <c r="D186" i="27"/>
  <c r="C186" i="27"/>
  <c r="D185" i="27"/>
  <c r="C185" i="27"/>
  <c r="E185" i="27" s="1"/>
  <c r="D184" i="27"/>
  <c r="C184" i="27"/>
  <c r="E184" i="27" s="1"/>
  <c r="D183" i="27"/>
  <c r="C183" i="27"/>
  <c r="E183" i="27" s="1"/>
  <c r="U183" i="27" s="1"/>
  <c r="D182" i="27"/>
  <c r="C182" i="27"/>
  <c r="D181" i="27"/>
  <c r="C181" i="27"/>
  <c r="D180" i="27"/>
  <c r="C180" i="27"/>
  <c r="D179" i="27"/>
  <c r="C179" i="27"/>
  <c r="D178" i="27"/>
  <c r="C178" i="27"/>
  <c r="D177" i="27"/>
  <c r="C177" i="27"/>
  <c r="D176" i="27"/>
  <c r="C176" i="27"/>
  <c r="E176" i="27" s="1"/>
  <c r="U176" i="27" s="1"/>
  <c r="D175" i="27"/>
  <c r="C175" i="27"/>
  <c r="D174" i="27"/>
  <c r="C174" i="27"/>
  <c r="D173" i="27"/>
  <c r="C173" i="27"/>
  <c r="D172" i="27"/>
  <c r="C172" i="27"/>
  <c r="D171" i="27"/>
  <c r="C171" i="27"/>
  <c r="D170" i="27"/>
  <c r="C170" i="27"/>
  <c r="D169" i="27"/>
  <c r="C169" i="27"/>
  <c r="D168" i="27"/>
  <c r="C168" i="27"/>
  <c r="E168" i="27" s="1"/>
  <c r="D167" i="27"/>
  <c r="C167" i="27"/>
  <c r="E167" i="27" s="1"/>
  <c r="U167" i="27" s="1"/>
  <c r="D166" i="27"/>
  <c r="C166" i="27"/>
  <c r="D165" i="27"/>
  <c r="C165" i="27"/>
  <c r="D164" i="27"/>
  <c r="C164" i="27"/>
  <c r="D163" i="27"/>
  <c r="C163" i="27"/>
  <c r="D162" i="27"/>
  <c r="C162" i="27"/>
  <c r="D161" i="27"/>
  <c r="C161" i="27"/>
  <c r="E161" i="27" s="1"/>
  <c r="U161" i="27" s="1"/>
  <c r="E160" i="27"/>
  <c r="U160" i="27" s="1"/>
  <c r="D160" i="27"/>
  <c r="C160" i="27"/>
  <c r="D159" i="27"/>
  <c r="C159" i="27"/>
  <c r="D158" i="27"/>
  <c r="C158" i="27"/>
  <c r="E158" i="27" s="1"/>
  <c r="D157" i="27"/>
  <c r="C157" i="27"/>
  <c r="D156" i="27"/>
  <c r="C156" i="27"/>
  <c r="D155" i="27"/>
  <c r="E155" i="27" s="1"/>
  <c r="U155" i="27" s="1"/>
  <c r="C155" i="27"/>
  <c r="D154" i="27"/>
  <c r="C154" i="27"/>
  <c r="D153" i="27"/>
  <c r="C153" i="27"/>
  <c r="E153" i="27" s="1"/>
  <c r="U153" i="27" s="1"/>
  <c r="D152" i="27"/>
  <c r="C152" i="27"/>
  <c r="D151" i="27"/>
  <c r="C151" i="27"/>
  <c r="E151" i="27" s="1"/>
  <c r="U151" i="27" s="1"/>
  <c r="D150" i="27"/>
  <c r="C150" i="27"/>
  <c r="D149" i="27"/>
  <c r="C149" i="27"/>
  <c r="D148" i="27"/>
  <c r="C148" i="27"/>
  <c r="D147" i="27"/>
  <c r="C147" i="27"/>
  <c r="D146" i="27"/>
  <c r="C146" i="27"/>
  <c r="D145" i="27"/>
  <c r="C145" i="27"/>
  <c r="E144" i="27"/>
  <c r="U144" i="27" s="1"/>
  <c r="D144" i="27"/>
  <c r="C144" i="27"/>
  <c r="D143" i="27"/>
  <c r="C143" i="27"/>
  <c r="E143" i="27" s="1"/>
  <c r="D142" i="27"/>
  <c r="C142" i="27"/>
  <c r="D141" i="27"/>
  <c r="C141" i="27"/>
  <c r="E141" i="27" s="1"/>
  <c r="U141" i="27" s="1"/>
  <c r="D140" i="27"/>
  <c r="C140" i="27"/>
  <c r="D139" i="27"/>
  <c r="C139" i="27"/>
  <c r="D138" i="27"/>
  <c r="C138" i="27"/>
  <c r="D137" i="27"/>
  <c r="C137" i="27"/>
  <c r="E137" i="27" s="1"/>
  <c r="D136" i="27"/>
  <c r="C136" i="27"/>
  <c r="D135" i="27"/>
  <c r="C135" i="27"/>
  <c r="D134" i="27"/>
  <c r="C134" i="27"/>
  <c r="E134" i="27" s="1"/>
  <c r="D133" i="27"/>
  <c r="C133" i="27"/>
  <c r="E133" i="27" s="1"/>
  <c r="D132" i="27"/>
  <c r="C132" i="27"/>
  <c r="D131" i="27"/>
  <c r="C131" i="27"/>
  <c r="D130" i="27"/>
  <c r="C130" i="27"/>
  <c r="D129" i="27"/>
  <c r="C129" i="27"/>
  <c r="E129" i="27" s="1"/>
  <c r="U129" i="27" s="1"/>
  <c r="D128" i="27"/>
  <c r="C128" i="27"/>
  <c r="D127" i="27"/>
  <c r="C127" i="27"/>
  <c r="D126" i="27"/>
  <c r="C126" i="27"/>
  <c r="D125" i="27"/>
  <c r="C125" i="27"/>
  <c r="D124" i="27"/>
  <c r="C124" i="27"/>
  <c r="D123" i="27"/>
  <c r="C123" i="27"/>
  <c r="D122" i="27"/>
  <c r="C122" i="27"/>
  <c r="D121" i="27"/>
  <c r="C121" i="27"/>
  <c r="E121" i="27" s="1"/>
  <c r="D120" i="27"/>
  <c r="C120" i="27"/>
  <c r="D119" i="27"/>
  <c r="C119" i="27"/>
  <c r="E119" i="27" s="1"/>
  <c r="U119" i="27" s="1"/>
  <c r="D118" i="27"/>
  <c r="C118" i="27"/>
  <c r="E118" i="27" s="1"/>
  <c r="U118" i="27" s="1"/>
  <c r="D117" i="27"/>
  <c r="C117" i="27"/>
  <c r="D116" i="27"/>
  <c r="C116" i="27"/>
  <c r="D115" i="27"/>
  <c r="C115" i="27"/>
  <c r="D114" i="27"/>
  <c r="C114" i="27"/>
  <c r="D113" i="27"/>
  <c r="C113" i="27"/>
  <c r="E113" i="27" s="1"/>
  <c r="U113" i="27" s="1"/>
  <c r="D112" i="27"/>
  <c r="E112" i="27" s="1"/>
  <c r="U112" i="27" s="1"/>
  <c r="C112" i="27"/>
  <c r="D111" i="27"/>
  <c r="C111" i="27"/>
  <c r="D110" i="27"/>
  <c r="C110" i="27"/>
  <c r="D109" i="27"/>
  <c r="C109" i="27"/>
  <c r="D108" i="27"/>
  <c r="C108" i="27"/>
  <c r="D107" i="27"/>
  <c r="C107" i="27"/>
  <c r="D106" i="27"/>
  <c r="C106" i="27"/>
  <c r="D105" i="27"/>
  <c r="C105" i="27"/>
  <c r="E105" i="27" s="1"/>
  <c r="D104" i="27"/>
  <c r="C104" i="27"/>
  <c r="D103" i="27"/>
  <c r="C103" i="27"/>
  <c r="E103" i="27" s="1"/>
  <c r="U103" i="27" s="1"/>
  <c r="Y102" i="27"/>
  <c r="D102" i="27"/>
  <c r="C102" i="27"/>
  <c r="D101" i="27"/>
  <c r="C101" i="27"/>
  <c r="D100" i="27"/>
  <c r="C100" i="27"/>
  <c r="D99" i="27"/>
  <c r="C99" i="27"/>
  <c r="D98" i="27"/>
  <c r="C98" i="27"/>
  <c r="E98" i="27" s="1"/>
  <c r="U98" i="27" s="1"/>
  <c r="D97" i="27"/>
  <c r="C97" i="27"/>
  <c r="D96" i="27"/>
  <c r="C96" i="27"/>
  <c r="D95" i="27"/>
  <c r="C95" i="27"/>
  <c r="E95" i="27" s="1"/>
  <c r="D94" i="27"/>
  <c r="C94" i="27"/>
  <c r="E94" i="27" s="1"/>
  <c r="D93" i="27"/>
  <c r="C93" i="27"/>
  <c r="E93" i="27" s="1"/>
  <c r="Y92" i="27"/>
  <c r="D92" i="27"/>
  <c r="E92" i="27" s="1"/>
  <c r="U92" i="27" s="1"/>
  <c r="C92" i="27"/>
  <c r="D91" i="27"/>
  <c r="C91" i="27"/>
  <c r="E91" i="27" s="1"/>
  <c r="U91" i="27" s="1"/>
  <c r="D90" i="27"/>
  <c r="C90" i="27"/>
  <c r="D89" i="27"/>
  <c r="C89" i="27"/>
  <c r="E89" i="27" s="1"/>
  <c r="U89" i="27" s="1"/>
  <c r="E88" i="27"/>
  <c r="U88" i="27" s="1"/>
  <c r="D88" i="27"/>
  <c r="C88" i="27"/>
  <c r="D87" i="27"/>
  <c r="C87" i="27"/>
  <c r="D86" i="27"/>
  <c r="C86" i="27"/>
  <c r="E86" i="27" s="1"/>
  <c r="U86" i="27" s="1"/>
  <c r="D85" i="27"/>
  <c r="C85" i="27"/>
  <c r="E85" i="27" s="1"/>
  <c r="U85" i="27" s="1"/>
  <c r="D84" i="27"/>
  <c r="E84" i="27" s="1"/>
  <c r="U84" i="27" s="1"/>
  <c r="C84" i="27"/>
  <c r="E83" i="27"/>
  <c r="D83" i="27"/>
  <c r="C83" i="27"/>
  <c r="D82" i="27"/>
  <c r="C82" i="27"/>
  <c r="E82" i="27" s="1"/>
  <c r="U82" i="27" s="1"/>
  <c r="D81" i="27"/>
  <c r="C81" i="27"/>
  <c r="Y80" i="27"/>
  <c r="E80" i="27"/>
  <c r="U80" i="27" s="1"/>
  <c r="D80" i="27"/>
  <c r="C80" i="27"/>
  <c r="D79" i="27"/>
  <c r="C79" i="27"/>
  <c r="E79" i="27" s="1"/>
  <c r="U79" i="27" s="1"/>
  <c r="D78" i="27"/>
  <c r="C78" i="27"/>
  <c r="E78" i="27" s="1"/>
  <c r="D77" i="27"/>
  <c r="C77" i="27"/>
  <c r="E77" i="27" s="1"/>
  <c r="U77" i="27" s="1"/>
  <c r="E76" i="27"/>
  <c r="U76" i="27" s="1"/>
  <c r="D76" i="27"/>
  <c r="C76" i="27"/>
  <c r="D75" i="27"/>
  <c r="C75" i="27"/>
  <c r="E75" i="27" s="1"/>
  <c r="D74" i="27"/>
  <c r="C74" i="27"/>
  <c r="E74" i="27" s="1"/>
  <c r="U74" i="27" s="1"/>
  <c r="D73" i="27"/>
  <c r="C73" i="27"/>
  <c r="E73" i="27" s="1"/>
  <c r="U73" i="27" s="1"/>
  <c r="Y72" i="27"/>
  <c r="E72" i="27"/>
  <c r="U72" i="27" s="1"/>
  <c r="D72" i="27"/>
  <c r="C72" i="27"/>
  <c r="D71" i="27"/>
  <c r="C71" i="27"/>
  <c r="E71" i="27" s="1"/>
  <c r="U71" i="27" s="1"/>
  <c r="D70" i="27"/>
  <c r="C70" i="27"/>
  <c r="E70" i="27" s="1"/>
  <c r="U70" i="27" s="1"/>
  <c r="D69" i="27"/>
  <c r="C69" i="27"/>
  <c r="E69" i="27" s="1"/>
  <c r="U69" i="27" s="1"/>
  <c r="D68" i="27"/>
  <c r="E68" i="27" s="1"/>
  <c r="C68" i="27"/>
  <c r="D67" i="27"/>
  <c r="C67" i="27"/>
  <c r="E67" i="27" s="1"/>
  <c r="U67" i="27" s="1"/>
  <c r="D66" i="27"/>
  <c r="C66" i="27"/>
  <c r="D65" i="27"/>
  <c r="C65" i="27"/>
  <c r="E65" i="27" s="1"/>
  <c r="U65" i="27" s="1"/>
  <c r="D64" i="27"/>
  <c r="C64" i="27"/>
  <c r="D63" i="27"/>
  <c r="C63" i="27"/>
  <c r="E63" i="27" s="1"/>
  <c r="D62" i="27"/>
  <c r="C62" i="27"/>
  <c r="E62" i="27" s="1"/>
  <c r="U62" i="27" s="1"/>
  <c r="D61" i="27"/>
  <c r="C61" i="27"/>
  <c r="E61" i="27" s="1"/>
  <c r="U61" i="27" s="1"/>
  <c r="D60" i="27"/>
  <c r="C60" i="27"/>
  <c r="D59" i="27"/>
  <c r="C59" i="27"/>
  <c r="E59" i="27" s="1"/>
  <c r="U59" i="27" s="1"/>
  <c r="D58" i="27"/>
  <c r="C58" i="27"/>
  <c r="E58" i="27" s="1"/>
  <c r="U58" i="27" s="1"/>
  <c r="D57" i="27"/>
  <c r="C57" i="27"/>
  <c r="D56" i="27"/>
  <c r="C56" i="27"/>
  <c r="E55" i="27"/>
  <c r="D55" i="27"/>
  <c r="C55" i="27"/>
  <c r="D54" i="27"/>
  <c r="C54" i="27"/>
  <c r="E54" i="27" s="1"/>
  <c r="D53" i="27"/>
  <c r="C53" i="27"/>
  <c r="E53" i="27" s="1"/>
  <c r="D52" i="27"/>
  <c r="C52" i="27"/>
  <c r="D51" i="27"/>
  <c r="E51" i="27" s="1"/>
  <c r="U51" i="27" s="1"/>
  <c r="C51" i="27"/>
  <c r="D50" i="27"/>
  <c r="C50" i="27"/>
  <c r="E50" i="27" s="1"/>
  <c r="D49" i="27"/>
  <c r="C49" i="27"/>
  <c r="E49" i="27" s="1"/>
  <c r="U49" i="27" s="1"/>
  <c r="D48" i="27"/>
  <c r="C48" i="27"/>
  <c r="Y47" i="27"/>
  <c r="D47" i="27"/>
  <c r="C47" i="27"/>
  <c r="E46" i="27"/>
  <c r="D46" i="27"/>
  <c r="C46" i="27"/>
  <c r="D45" i="27"/>
  <c r="C45" i="27"/>
  <c r="D44" i="27"/>
  <c r="C44" i="27"/>
  <c r="D43" i="27"/>
  <c r="C43" i="27"/>
  <c r="E42" i="27"/>
  <c r="U42" i="27" s="1"/>
  <c r="D42" i="27"/>
  <c r="C42" i="27"/>
  <c r="D41" i="27"/>
  <c r="C41" i="27"/>
  <c r="D40" i="27"/>
  <c r="C40" i="27"/>
  <c r="D39" i="27"/>
  <c r="C39" i="27"/>
  <c r="D38" i="27"/>
  <c r="C38" i="27"/>
  <c r="E37" i="27"/>
  <c r="U37" i="27" s="1"/>
  <c r="D37" i="27"/>
  <c r="C37" i="27"/>
  <c r="D36" i="27"/>
  <c r="C36" i="27"/>
  <c r="D35" i="27"/>
  <c r="C35" i="27"/>
  <c r="D34" i="27"/>
  <c r="C34" i="27"/>
  <c r="E34" i="27" s="1"/>
  <c r="U34" i="27" s="1"/>
  <c r="D33" i="27"/>
  <c r="E33" i="27" s="1"/>
  <c r="U33" i="27" s="1"/>
  <c r="C33" i="27"/>
  <c r="E32" i="27"/>
  <c r="D32" i="27"/>
  <c r="C32" i="27"/>
  <c r="D31" i="27"/>
  <c r="C31" i="27"/>
  <c r="E31" i="27" s="1"/>
  <c r="U31" i="27" s="1"/>
  <c r="D30" i="27"/>
  <c r="C30" i="27"/>
  <c r="D29" i="27"/>
  <c r="C29" i="27"/>
  <c r="D28" i="27"/>
  <c r="C28" i="27"/>
  <c r="D27" i="27"/>
  <c r="C27" i="27"/>
  <c r="E27" i="27" s="1"/>
  <c r="U27" i="27" s="1"/>
  <c r="D26" i="27"/>
  <c r="C26" i="27"/>
  <c r="D25" i="27"/>
  <c r="C25" i="27"/>
  <c r="Y24" i="27"/>
  <c r="D24" i="27"/>
  <c r="E24" i="27" s="1"/>
  <c r="U24" i="27" s="1"/>
  <c r="C24" i="27"/>
  <c r="D23" i="27"/>
  <c r="C23" i="27"/>
  <c r="D22" i="27"/>
  <c r="C22" i="27"/>
  <c r="E22" i="27" s="1"/>
  <c r="D21" i="27"/>
  <c r="C21" i="27"/>
  <c r="D20" i="27"/>
  <c r="C20" i="27"/>
  <c r="E19" i="27"/>
  <c r="D19" i="27"/>
  <c r="C19" i="27"/>
  <c r="D18" i="27"/>
  <c r="C18" i="27"/>
  <c r="E18" i="27" s="1"/>
  <c r="U18" i="27" s="1"/>
  <c r="D17" i="27"/>
  <c r="C17" i="27"/>
  <c r="E17" i="27" s="1"/>
  <c r="U17" i="27" s="1"/>
  <c r="D16" i="27"/>
  <c r="C16" i="27"/>
  <c r="Y15" i="27"/>
  <c r="D15" i="27"/>
  <c r="E15" i="27" s="1"/>
  <c r="U15" i="27" s="1"/>
  <c r="C15" i="27"/>
  <c r="D14" i="27"/>
  <c r="C14" i="27"/>
  <c r="E14" i="27" s="1"/>
  <c r="D13" i="27"/>
  <c r="C13" i="27"/>
  <c r="D12" i="27"/>
  <c r="C12" i="27"/>
  <c r="Y11" i="27"/>
  <c r="D11" i="27"/>
  <c r="C11" i="27"/>
  <c r="D10" i="27"/>
  <c r="C10" i="27"/>
  <c r="D9" i="27"/>
  <c r="C9" i="27"/>
  <c r="E9" i="27" s="1"/>
  <c r="D8" i="27"/>
  <c r="C8" i="27"/>
  <c r="I5" i="27"/>
  <c r="Y146" i="27" s="1"/>
  <c r="E5" i="27"/>
  <c r="I4" i="27"/>
  <c r="E4" i="27"/>
  <c r="L3" i="27"/>
  <c r="J3" i="27"/>
  <c r="J4" i="27" s="1"/>
  <c r="F3" i="27"/>
  <c r="T1" i="27"/>
  <c r="S1" i="27"/>
  <c r="S3" i="27" s="1"/>
  <c r="R1" i="27"/>
  <c r="R3" i="27" s="1"/>
  <c r="Q1" i="27"/>
  <c r="Q3" i="27" s="1"/>
  <c r="P1" i="27"/>
  <c r="P3" i="27" s="1"/>
  <c r="O1" i="27"/>
  <c r="O3" i="27" s="1"/>
  <c r="N1" i="27"/>
  <c r="N3" i="27" s="1"/>
  <c r="M1" i="27"/>
  <c r="M3" i="27" s="1"/>
  <c r="L1" i="27"/>
  <c r="K1" i="27"/>
  <c r="K3" i="27" s="1"/>
  <c r="J1" i="27"/>
  <c r="I1" i="27"/>
  <c r="I3" i="27" s="1"/>
  <c r="H1" i="27"/>
  <c r="H3" i="27" s="1"/>
  <c r="G1" i="27"/>
  <c r="G3" i="27" s="1"/>
  <c r="G4" i="27" s="1"/>
  <c r="AG205" i="25"/>
  <c r="AG9" i="25"/>
  <c r="AG10" i="25"/>
  <c r="AG11" i="25"/>
  <c r="AG12" i="25"/>
  <c r="AG13" i="25"/>
  <c r="AG14" i="25"/>
  <c r="AG15" i="25"/>
  <c r="AG16" i="25"/>
  <c r="AG17" i="25"/>
  <c r="AG18" i="25"/>
  <c r="AG19" i="25"/>
  <c r="AG20" i="25"/>
  <c r="AG21" i="25"/>
  <c r="AG22" i="25"/>
  <c r="AG23" i="25"/>
  <c r="AG24" i="25"/>
  <c r="AG25" i="25"/>
  <c r="AG26" i="25"/>
  <c r="AG27" i="25"/>
  <c r="AG28" i="25"/>
  <c r="AG29" i="25"/>
  <c r="AG30" i="25"/>
  <c r="AG31" i="25"/>
  <c r="AG32" i="25"/>
  <c r="AG33" i="25"/>
  <c r="AG34" i="25"/>
  <c r="AG35" i="25"/>
  <c r="AG36" i="25"/>
  <c r="AG37" i="25"/>
  <c r="AG38" i="25"/>
  <c r="AG39" i="25"/>
  <c r="AG40" i="25"/>
  <c r="AG41" i="25"/>
  <c r="AG42" i="25"/>
  <c r="AG43" i="25"/>
  <c r="AG44" i="25"/>
  <c r="AG45" i="25"/>
  <c r="AG46" i="25"/>
  <c r="AG47" i="25"/>
  <c r="AG48" i="25"/>
  <c r="AG49" i="25"/>
  <c r="AG50" i="25"/>
  <c r="AG51" i="25"/>
  <c r="AG52" i="25"/>
  <c r="AG53" i="25"/>
  <c r="AG54" i="25"/>
  <c r="AG55" i="25"/>
  <c r="AG56" i="25"/>
  <c r="AG57" i="25"/>
  <c r="AG58" i="25"/>
  <c r="AG59" i="25"/>
  <c r="AG60" i="25"/>
  <c r="AG61" i="25"/>
  <c r="AG62" i="25"/>
  <c r="AG63" i="25"/>
  <c r="AG64" i="25"/>
  <c r="AG65" i="25"/>
  <c r="AG66" i="25"/>
  <c r="AG67" i="25"/>
  <c r="AG68" i="25"/>
  <c r="AG69" i="25"/>
  <c r="AG70" i="25"/>
  <c r="AG71" i="25"/>
  <c r="AG72" i="25"/>
  <c r="AG73" i="25"/>
  <c r="AG74" i="25"/>
  <c r="AG75" i="25"/>
  <c r="AG76" i="25"/>
  <c r="AG77" i="25"/>
  <c r="AG78" i="25"/>
  <c r="AG79" i="25"/>
  <c r="AG80" i="25"/>
  <c r="AG81" i="25"/>
  <c r="AG82" i="25"/>
  <c r="AG83" i="25"/>
  <c r="AG84" i="25"/>
  <c r="AG85" i="25"/>
  <c r="AG86" i="25"/>
  <c r="AG87" i="25"/>
  <c r="AG88" i="25"/>
  <c r="AG89" i="25"/>
  <c r="AG90" i="25"/>
  <c r="AG91" i="25"/>
  <c r="AG92" i="25"/>
  <c r="AG93" i="25"/>
  <c r="AG94" i="25"/>
  <c r="AG95" i="25"/>
  <c r="AG96" i="25"/>
  <c r="AG97" i="25"/>
  <c r="AG98" i="25"/>
  <c r="AG99" i="25"/>
  <c r="AG100" i="25"/>
  <c r="AG101" i="25"/>
  <c r="AG102" i="25"/>
  <c r="AG103" i="25"/>
  <c r="AG104" i="25"/>
  <c r="AG105" i="25"/>
  <c r="AG106" i="25"/>
  <c r="AG107" i="25"/>
  <c r="AG108" i="25"/>
  <c r="AG109" i="25"/>
  <c r="AG110" i="25"/>
  <c r="AG111" i="25"/>
  <c r="AG112" i="25"/>
  <c r="AG113" i="25"/>
  <c r="AG114" i="25"/>
  <c r="AG115" i="25"/>
  <c r="AG116" i="25"/>
  <c r="AG117" i="25"/>
  <c r="AG118" i="25"/>
  <c r="AG119" i="25"/>
  <c r="AG120" i="25"/>
  <c r="AG121" i="25"/>
  <c r="AG122" i="25"/>
  <c r="AG123" i="25"/>
  <c r="AG124" i="25"/>
  <c r="AG125" i="25"/>
  <c r="AG126" i="25"/>
  <c r="AG127" i="25"/>
  <c r="AG128" i="25"/>
  <c r="AG129" i="25"/>
  <c r="AG130" i="25"/>
  <c r="AG131" i="25"/>
  <c r="AG132" i="25"/>
  <c r="AG133" i="25"/>
  <c r="AG134" i="25"/>
  <c r="AG135" i="25"/>
  <c r="AG136" i="25"/>
  <c r="AG137" i="25"/>
  <c r="AG138" i="25"/>
  <c r="AG139" i="25"/>
  <c r="AG140" i="25"/>
  <c r="AG141" i="25"/>
  <c r="AG142" i="25"/>
  <c r="AG143" i="25"/>
  <c r="AG144" i="25"/>
  <c r="AG145" i="25"/>
  <c r="AG146" i="25"/>
  <c r="AG147" i="25"/>
  <c r="AG148" i="25"/>
  <c r="AG149" i="25"/>
  <c r="AG150" i="25"/>
  <c r="AG151" i="25"/>
  <c r="AG152" i="25"/>
  <c r="AG153" i="25"/>
  <c r="AG154" i="25"/>
  <c r="AG155" i="25"/>
  <c r="AG156" i="25"/>
  <c r="AG157" i="25"/>
  <c r="AG158" i="25"/>
  <c r="AG159" i="25"/>
  <c r="AG160" i="25"/>
  <c r="AG161" i="25"/>
  <c r="AG162" i="25"/>
  <c r="AG163" i="25"/>
  <c r="AG164" i="25"/>
  <c r="AG165" i="25"/>
  <c r="AG166" i="25"/>
  <c r="AG167" i="25"/>
  <c r="AG168" i="25"/>
  <c r="AG169" i="25"/>
  <c r="AG170" i="25"/>
  <c r="AG171" i="25"/>
  <c r="AG172" i="25"/>
  <c r="AG173" i="25"/>
  <c r="AG174" i="25"/>
  <c r="AG175" i="25"/>
  <c r="AG176" i="25"/>
  <c r="AG177" i="25"/>
  <c r="AG178" i="25"/>
  <c r="AG179" i="25"/>
  <c r="AG180" i="25"/>
  <c r="AG181" i="25"/>
  <c r="AG182" i="25"/>
  <c r="AG183" i="25"/>
  <c r="AG184" i="25"/>
  <c r="AG185" i="25"/>
  <c r="AG186" i="25"/>
  <c r="AG187" i="25"/>
  <c r="AG188" i="25"/>
  <c r="AG189" i="25"/>
  <c r="AG190" i="25"/>
  <c r="AG191" i="25"/>
  <c r="AG192" i="25"/>
  <c r="AG193" i="25"/>
  <c r="AG194" i="25"/>
  <c r="AG195" i="25"/>
  <c r="AG196" i="25"/>
  <c r="AG197" i="25"/>
  <c r="AG198" i="25"/>
  <c r="AG199" i="25"/>
  <c r="AG200" i="25"/>
  <c r="AG201" i="25"/>
  <c r="AG202" i="25"/>
  <c r="AG203" i="25"/>
  <c r="AG204" i="25"/>
  <c r="AG8" i="25"/>
  <c r="AF205" i="25"/>
  <c r="AE205" i="25"/>
  <c r="AD205" i="25"/>
  <c r="AC205" i="25"/>
  <c r="AB205" i="25"/>
  <c r="AB9" i="25"/>
  <c r="AC9" i="25"/>
  <c r="AD9" i="25"/>
  <c r="AE9" i="25"/>
  <c r="AF9" i="25"/>
  <c r="AB10" i="25"/>
  <c r="AC10" i="25"/>
  <c r="AD10" i="25"/>
  <c r="AE10" i="25"/>
  <c r="AF10" i="25"/>
  <c r="AB11" i="25"/>
  <c r="AC11" i="25"/>
  <c r="AD11" i="25"/>
  <c r="AE11" i="25"/>
  <c r="AF11" i="25"/>
  <c r="AB12" i="25"/>
  <c r="AC12" i="25"/>
  <c r="AD12" i="25"/>
  <c r="AE12" i="25"/>
  <c r="AF12" i="25"/>
  <c r="AB13" i="25"/>
  <c r="AC13" i="25"/>
  <c r="AD13" i="25"/>
  <c r="AE13" i="25"/>
  <c r="AF13" i="25"/>
  <c r="AB14" i="25"/>
  <c r="AC14" i="25"/>
  <c r="AD14" i="25"/>
  <c r="AE14" i="25"/>
  <c r="AF14" i="25"/>
  <c r="AB15" i="25"/>
  <c r="AC15" i="25"/>
  <c r="AD15" i="25"/>
  <c r="AE15" i="25"/>
  <c r="AF15" i="25"/>
  <c r="AB16" i="25"/>
  <c r="AC16" i="25"/>
  <c r="AD16" i="25"/>
  <c r="AE16" i="25"/>
  <c r="AF16" i="25"/>
  <c r="AB17" i="25"/>
  <c r="AC17" i="25"/>
  <c r="AD17" i="25"/>
  <c r="AE17" i="25"/>
  <c r="AF17" i="25"/>
  <c r="AB18" i="25"/>
  <c r="AC18" i="25"/>
  <c r="AD18" i="25"/>
  <c r="AE18" i="25"/>
  <c r="AF18" i="25"/>
  <c r="AB19" i="25"/>
  <c r="AC19" i="25"/>
  <c r="AD19" i="25"/>
  <c r="AE19" i="25"/>
  <c r="AF19" i="25"/>
  <c r="AB20" i="25"/>
  <c r="AC20" i="25"/>
  <c r="AD20" i="25"/>
  <c r="AE20" i="25"/>
  <c r="AF20" i="25"/>
  <c r="AB21" i="25"/>
  <c r="AC21" i="25"/>
  <c r="AD21" i="25"/>
  <c r="AE21" i="25"/>
  <c r="AF21" i="25"/>
  <c r="AB22" i="25"/>
  <c r="AC22" i="25"/>
  <c r="AD22" i="25"/>
  <c r="AE22" i="25"/>
  <c r="AF22" i="25"/>
  <c r="AB23" i="25"/>
  <c r="AC23" i="25"/>
  <c r="AD23" i="25"/>
  <c r="AE23" i="25"/>
  <c r="AF23" i="25"/>
  <c r="AB24" i="25"/>
  <c r="AC24" i="25"/>
  <c r="AD24" i="25"/>
  <c r="AE24" i="25"/>
  <c r="AF24" i="25"/>
  <c r="AB25" i="25"/>
  <c r="AC25" i="25"/>
  <c r="AD25" i="25"/>
  <c r="AE25" i="25"/>
  <c r="AF25" i="25"/>
  <c r="AB26" i="25"/>
  <c r="AC26" i="25"/>
  <c r="AD26" i="25"/>
  <c r="AE26" i="25"/>
  <c r="AF26" i="25"/>
  <c r="AB27" i="25"/>
  <c r="AC27" i="25"/>
  <c r="AD27" i="25"/>
  <c r="AE27" i="25"/>
  <c r="AF27" i="25"/>
  <c r="AB28" i="25"/>
  <c r="AC28" i="25"/>
  <c r="AD28" i="25"/>
  <c r="AE28" i="25"/>
  <c r="AF28" i="25"/>
  <c r="AB29" i="25"/>
  <c r="AC29" i="25"/>
  <c r="AD29" i="25"/>
  <c r="AE29" i="25"/>
  <c r="AF29" i="25"/>
  <c r="AB30" i="25"/>
  <c r="AC30" i="25"/>
  <c r="AD30" i="25"/>
  <c r="AE30" i="25"/>
  <c r="AF30" i="25"/>
  <c r="AB31" i="25"/>
  <c r="AC31" i="25"/>
  <c r="AD31" i="25"/>
  <c r="AE31" i="25"/>
  <c r="AF31" i="25"/>
  <c r="AB32" i="25"/>
  <c r="AC32" i="25"/>
  <c r="AD32" i="25"/>
  <c r="AE32" i="25"/>
  <c r="AF32" i="25"/>
  <c r="AB33" i="25"/>
  <c r="AC33" i="25"/>
  <c r="AD33" i="25"/>
  <c r="AE33" i="25"/>
  <c r="AF33" i="25"/>
  <c r="AB34" i="25"/>
  <c r="AC34" i="25"/>
  <c r="AD34" i="25"/>
  <c r="AE34" i="25"/>
  <c r="AF34" i="25"/>
  <c r="AB35" i="25"/>
  <c r="AC35" i="25"/>
  <c r="AD35" i="25"/>
  <c r="AE35" i="25"/>
  <c r="AF35" i="25"/>
  <c r="AB36" i="25"/>
  <c r="AC36" i="25"/>
  <c r="AD36" i="25"/>
  <c r="AE36" i="25"/>
  <c r="AF36" i="25"/>
  <c r="AB37" i="25"/>
  <c r="AC37" i="25"/>
  <c r="AD37" i="25"/>
  <c r="AE37" i="25"/>
  <c r="AF37" i="25"/>
  <c r="AB38" i="25"/>
  <c r="AC38" i="25"/>
  <c r="AD38" i="25"/>
  <c r="AE38" i="25"/>
  <c r="AF38" i="25"/>
  <c r="AB39" i="25"/>
  <c r="AC39" i="25"/>
  <c r="AD39" i="25"/>
  <c r="AE39" i="25"/>
  <c r="AF39" i="25"/>
  <c r="AB40" i="25"/>
  <c r="AC40" i="25"/>
  <c r="AD40" i="25"/>
  <c r="AE40" i="25"/>
  <c r="AF40" i="25"/>
  <c r="AB41" i="25"/>
  <c r="AC41" i="25"/>
  <c r="AD41" i="25"/>
  <c r="AE41" i="25"/>
  <c r="AF41" i="25"/>
  <c r="AB42" i="25"/>
  <c r="AC42" i="25"/>
  <c r="AD42" i="25"/>
  <c r="AE42" i="25"/>
  <c r="AF42" i="25"/>
  <c r="AB43" i="25"/>
  <c r="AC43" i="25"/>
  <c r="AD43" i="25"/>
  <c r="AE43" i="25"/>
  <c r="AF43" i="25"/>
  <c r="AB44" i="25"/>
  <c r="AC44" i="25"/>
  <c r="AD44" i="25"/>
  <c r="AE44" i="25"/>
  <c r="AF44" i="25"/>
  <c r="AB45" i="25"/>
  <c r="AC45" i="25"/>
  <c r="AD45" i="25"/>
  <c r="AE45" i="25"/>
  <c r="AF45" i="25"/>
  <c r="AB46" i="25"/>
  <c r="AC46" i="25"/>
  <c r="AD46" i="25"/>
  <c r="AE46" i="25"/>
  <c r="AF46" i="25"/>
  <c r="AB47" i="25"/>
  <c r="AC47" i="25"/>
  <c r="AD47" i="25"/>
  <c r="AE47" i="25"/>
  <c r="AF47" i="25"/>
  <c r="AB48" i="25"/>
  <c r="AC48" i="25"/>
  <c r="AD48" i="25"/>
  <c r="AE48" i="25"/>
  <c r="AF48" i="25"/>
  <c r="AB49" i="25"/>
  <c r="AC49" i="25"/>
  <c r="AD49" i="25"/>
  <c r="AE49" i="25"/>
  <c r="AF49" i="25"/>
  <c r="AB50" i="25"/>
  <c r="AC50" i="25"/>
  <c r="AD50" i="25"/>
  <c r="AE50" i="25"/>
  <c r="AF50" i="25"/>
  <c r="AB51" i="25"/>
  <c r="AC51" i="25"/>
  <c r="AD51" i="25"/>
  <c r="AE51" i="25"/>
  <c r="AF51" i="25"/>
  <c r="AB52" i="25"/>
  <c r="AC52" i="25"/>
  <c r="AD52" i="25"/>
  <c r="AE52" i="25"/>
  <c r="AF52" i="25"/>
  <c r="AB53" i="25"/>
  <c r="AC53" i="25"/>
  <c r="AD53" i="25"/>
  <c r="AE53" i="25"/>
  <c r="AF53" i="25"/>
  <c r="AB54" i="25"/>
  <c r="AC54" i="25"/>
  <c r="AD54" i="25"/>
  <c r="AE54" i="25"/>
  <c r="AF54" i="25"/>
  <c r="AB55" i="25"/>
  <c r="AC55" i="25"/>
  <c r="AD55" i="25"/>
  <c r="AE55" i="25"/>
  <c r="AF55" i="25"/>
  <c r="AB56" i="25"/>
  <c r="AC56" i="25"/>
  <c r="AD56" i="25"/>
  <c r="AE56" i="25"/>
  <c r="AF56" i="25"/>
  <c r="AB57" i="25"/>
  <c r="AC57" i="25"/>
  <c r="AD57" i="25"/>
  <c r="AE57" i="25"/>
  <c r="AF57" i="25"/>
  <c r="AB58" i="25"/>
  <c r="AC58" i="25"/>
  <c r="AD58" i="25"/>
  <c r="AE58" i="25"/>
  <c r="AF58" i="25"/>
  <c r="AB59" i="25"/>
  <c r="AC59" i="25"/>
  <c r="AD59" i="25"/>
  <c r="AE59" i="25"/>
  <c r="AF59" i="25"/>
  <c r="AB60" i="25"/>
  <c r="AC60" i="25"/>
  <c r="AD60" i="25"/>
  <c r="AE60" i="25"/>
  <c r="AF60" i="25"/>
  <c r="AB61" i="25"/>
  <c r="AC61" i="25"/>
  <c r="AD61" i="25"/>
  <c r="AE61" i="25"/>
  <c r="AF61" i="25"/>
  <c r="AB62" i="25"/>
  <c r="AC62" i="25"/>
  <c r="AD62" i="25"/>
  <c r="AE62" i="25"/>
  <c r="AF62" i="25"/>
  <c r="AB63" i="25"/>
  <c r="AC63" i="25"/>
  <c r="AD63" i="25"/>
  <c r="AE63" i="25"/>
  <c r="AF63" i="25"/>
  <c r="AB64" i="25"/>
  <c r="AC64" i="25"/>
  <c r="AD64" i="25"/>
  <c r="AE64" i="25"/>
  <c r="AF64" i="25"/>
  <c r="AB65" i="25"/>
  <c r="AC65" i="25"/>
  <c r="AD65" i="25"/>
  <c r="AE65" i="25"/>
  <c r="AF65" i="25"/>
  <c r="AB66" i="25"/>
  <c r="AC66" i="25"/>
  <c r="AD66" i="25"/>
  <c r="AE66" i="25"/>
  <c r="AF66" i="25"/>
  <c r="AB67" i="25"/>
  <c r="AC67" i="25"/>
  <c r="AD67" i="25"/>
  <c r="AE67" i="25"/>
  <c r="AF67" i="25"/>
  <c r="AB68" i="25"/>
  <c r="AC68" i="25"/>
  <c r="AD68" i="25"/>
  <c r="AE68" i="25"/>
  <c r="AF68" i="25"/>
  <c r="AB69" i="25"/>
  <c r="AC69" i="25"/>
  <c r="AD69" i="25"/>
  <c r="AE69" i="25"/>
  <c r="AF69" i="25"/>
  <c r="AB70" i="25"/>
  <c r="AC70" i="25"/>
  <c r="AD70" i="25"/>
  <c r="AE70" i="25"/>
  <c r="AF70" i="25"/>
  <c r="AB71" i="25"/>
  <c r="AC71" i="25"/>
  <c r="AD71" i="25"/>
  <c r="AE71" i="25"/>
  <c r="AF71" i="25"/>
  <c r="AB72" i="25"/>
  <c r="AC72" i="25"/>
  <c r="AD72" i="25"/>
  <c r="AE72" i="25"/>
  <c r="AF72" i="25"/>
  <c r="AB73" i="25"/>
  <c r="AC73" i="25"/>
  <c r="AD73" i="25"/>
  <c r="AE73" i="25"/>
  <c r="AF73" i="25"/>
  <c r="AB74" i="25"/>
  <c r="AC74" i="25"/>
  <c r="AD74" i="25"/>
  <c r="AE74" i="25"/>
  <c r="AF74" i="25"/>
  <c r="AB75" i="25"/>
  <c r="AC75" i="25"/>
  <c r="AD75" i="25"/>
  <c r="AE75" i="25"/>
  <c r="AF75" i="25"/>
  <c r="AB76" i="25"/>
  <c r="AC76" i="25"/>
  <c r="AD76" i="25"/>
  <c r="AE76" i="25"/>
  <c r="AF76" i="25"/>
  <c r="AB77" i="25"/>
  <c r="AC77" i="25"/>
  <c r="AD77" i="25"/>
  <c r="AE77" i="25"/>
  <c r="AF77" i="25"/>
  <c r="AB78" i="25"/>
  <c r="AC78" i="25"/>
  <c r="AD78" i="25"/>
  <c r="AE78" i="25"/>
  <c r="AF78" i="25"/>
  <c r="AB79" i="25"/>
  <c r="AC79" i="25"/>
  <c r="AD79" i="25"/>
  <c r="AE79" i="25"/>
  <c r="AF79" i="25"/>
  <c r="AB80" i="25"/>
  <c r="AC80" i="25"/>
  <c r="AD80" i="25"/>
  <c r="AE80" i="25"/>
  <c r="AF80" i="25"/>
  <c r="AB81" i="25"/>
  <c r="AC81" i="25"/>
  <c r="AD81" i="25"/>
  <c r="AE81" i="25"/>
  <c r="AF81" i="25"/>
  <c r="AB82" i="25"/>
  <c r="AC82" i="25"/>
  <c r="AD82" i="25"/>
  <c r="AE82" i="25"/>
  <c r="AF82" i="25"/>
  <c r="AB83" i="25"/>
  <c r="AC83" i="25"/>
  <c r="AD83" i="25"/>
  <c r="AE83" i="25"/>
  <c r="AF83" i="25"/>
  <c r="AB84" i="25"/>
  <c r="AC84" i="25"/>
  <c r="AD84" i="25"/>
  <c r="AE84" i="25"/>
  <c r="AF84" i="25"/>
  <c r="AB85" i="25"/>
  <c r="AC85" i="25"/>
  <c r="AD85" i="25"/>
  <c r="AE85" i="25"/>
  <c r="AF85" i="25"/>
  <c r="AB86" i="25"/>
  <c r="AC86" i="25"/>
  <c r="AD86" i="25"/>
  <c r="AE86" i="25"/>
  <c r="AF86" i="25"/>
  <c r="AB87" i="25"/>
  <c r="AC87" i="25"/>
  <c r="AD87" i="25"/>
  <c r="AE87" i="25"/>
  <c r="AF87" i="25"/>
  <c r="AB88" i="25"/>
  <c r="AC88" i="25"/>
  <c r="AD88" i="25"/>
  <c r="AE88" i="25"/>
  <c r="AF88" i="25"/>
  <c r="AB89" i="25"/>
  <c r="AC89" i="25"/>
  <c r="AD89" i="25"/>
  <c r="AE89" i="25"/>
  <c r="AF89" i="25"/>
  <c r="AB90" i="25"/>
  <c r="AC90" i="25"/>
  <c r="AD90" i="25"/>
  <c r="AE90" i="25"/>
  <c r="AF90" i="25"/>
  <c r="AB91" i="25"/>
  <c r="AC91" i="25"/>
  <c r="AD91" i="25"/>
  <c r="AE91" i="25"/>
  <c r="AF91" i="25"/>
  <c r="AB92" i="25"/>
  <c r="AC92" i="25"/>
  <c r="AD92" i="25"/>
  <c r="AE92" i="25"/>
  <c r="AF92" i="25"/>
  <c r="AB93" i="25"/>
  <c r="AC93" i="25"/>
  <c r="AD93" i="25"/>
  <c r="AE93" i="25"/>
  <c r="AF93" i="25"/>
  <c r="AB94" i="25"/>
  <c r="AC94" i="25"/>
  <c r="AD94" i="25"/>
  <c r="AE94" i="25"/>
  <c r="AF94" i="25"/>
  <c r="AB95" i="25"/>
  <c r="AC95" i="25"/>
  <c r="AD95" i="25"/>
  <c r="AE95" i="25"/>
  <c r="AF95" i="25"/>
  <c r="AB96" i="25"/>
  <c r="AC96" i="25"/>
  <c r="AD96" i="25"/>
  <c r="AE96" i="25"/>
  <c r="AF96" i="25"/>
  <c r="AB97" i="25"/>
  <c r="AC97" i="25"/>
  <c r="AD97" i="25"/>
  <c r="AE97" i="25"/>
  <c r="AF97" i="25"/>
  <c r="AB98" i="25"/>
  <c r="AC98" i="25"/>
  <c r="AD98" i="25"/>
  <c r="AE98" i="25"/>
  <c r="AF98" i="25"/>
  <c r="AB99" i="25"/>
  <c r="AC99" i="25"/>
  <c r="AD99" i="25"/>
  <c r="AE99" i="25"/>
  <c r="AF99" i="25"/>
  <c r="AB100" i="25"/>
  <c r="AC100" i="25"/>
  <c r="AD100" i="25"/>
  <c r="AE100" i="25"/>
  <c r="AF100" i="25"/>
  <c r="AB101" i="25"/>
  <c r="AC101" i="25"/>
  <c r="AD101" i="25"/>
  <c r="AE101" i="25"/>
  <c r="AF101" i="25"/>
  <c r="AB102" i="25"/>
  <c r="AC102" i="25"/>
  <c r="AD102" i="25"/>
  <c r="AE102" i="25"/>
  <c r="AF102" i="25"/>
  <c r="AB103" i="25"/>
  <c r="AC103" i="25"/>
  <c r="AD103" i="25"/>
  <c r="AE103" i="25"/>
  <c r="AF103" i="25"/>
  <c r="AB104" i="25"/>
  <c r="AC104" i="25"/>
  <c r="AD104" i="25"/>
  <c r="AE104" i="25"/>
  <c r="AF104" i="25"/>
  <c r="AB105" i="25"/>
  <c r="AC105" i="25"/>
  <c r="AD105" i="25"/>
  <c r="AE105" i="25"/>
  <c r="AF105" i="25"/>
  <c r="AB106" i="25"/>
  <c r="AC106" i="25"/>
  <c r="AD106" i="25"/>
  <c r="AE106" i="25"/>
  <c r="AF106" i="25"/>
  <c r="AB107" i="25"/>
  <c r="AC107" i="25"/>
  <c r="AD107" i="25"/>
  <c r="AE107" i="25"/>
  <c r="AF107" i="25"/>
  <c r="AB108" i="25"/>
  <c r="AC108" i="25"/>
  <c r="AD108" i="25"/>
  <c r="AE108" i="25"/>
  <c r="AF108" i="25"/>
  <c r="AB109" i="25"/>
  <c r="AC109" i="25"/>
  <c r="AD109" i="25"/>
  <c r="AE109" i="25"/>
  <c r="AF109" i="25"/>
  <c r="AB110" i="25"/>
  <c r="AC110" i="25"/>
  <c r="AD110" i="25"/>
  <c r="AE110" i="25"/>
  <c r="AF110" i="25"/>
  <c r="AB111" i="25"/>
  <c r="AC111" i="25"/>
  <c r="AD111" i="25"/>
  <c r="AE111" i="25"/>
  <c r="AF111" i="25"/>
  <c r="AB112" i="25"/>
  <c r="AC112" i="25"/>
  <c r="AD112" i="25"/>
  <c r="AE112" i="25"/>
  <c r="AF112" i="25"/>
  <c r="AB113" i="25"/>
  <c r="AC113" i="25"/>
  <c r="AD113" i="25"/>
  <c r="AE113" i="25"/>
  <c r="AF113" i="25"/>
  <c r="AB114" i="25"/>
  <c r="AC114" i="25"/>
  <c r="AD114" i="25"/>
  <c r="AE114" i="25"/>
  <c r="AF114" i="25"/>
  <c r="AB115" i="25"/>
  <c r="AC115" i="25"/>
  <c r="AD115" i="25"/>
  <c r="AE115" i="25"/>
  <c r="AF115" i="25"/>
  <c r="AB116" i="25"/>
  <c r="AC116" i="25"/>
  <c r="AD116" i="25"/>
  <c r="AE116" i="25"/>
  <c r="AF116" i="25"/>
  <c r="AB117" i="25"/>
  <c r="AC117" i="25"/>
  <c r="AD117" i="25"/>
  <c r="AE117" i="25"/>
  <c r="AF117" i="25"/>
  <c r="AB118" i="25"/>
  <c r="AC118" i="25"/>
  <c r="AD118" i="25"/>
  <c r="AE118" i="25"/>
  <c r="AF118" i="25"/>
  <c r="AB119" i="25"/>
  <c r="AC119" i="25"/>
  <c r="AD119" i="25"/>
  <c r="AE119" i="25"/>
  <c r="AF119" i="25"/>
  <c r="AB120" i="25"/>
  <c r="AC120" i="25"/>
  <c r="AD120" i="25"/>
  <c r="AE120" i="25"/>
  <c r="AF120" i="25"/>
  <c r="AB121" i="25"/>
  <c r="AC121" i="25"/>
  <c r="AD121" i="25"/>
  <c r="AE121" i="25"/>
  <c r="AF121" i="25"/>
  <c r="AB122" i="25"/>
  <c r="AC122" i="25"/>
  <c r="AD122" i="25"/>
  <c r="AE122" i="25"/>
  <c r="AF122" i="25"/>
  <c r="AB123" i="25"/>
  <c r="AC123" i="25"/>
  <c r="AD123" i="25"/>
  <c r="AE123" i="25"/>
  <c r="AF123" i="25"/>
  <c r="AB124" i="25"/>
  <c r="AC124" i="25"/>
  <c r="AD124" i="25"/>
  <c r="AE124" i="25"/>
  <c r="AF124" i="25"/>
  <c r="AB125" i="25"/>
  <c r="AC125" i="25"/>
  <c r="AD125" i="25"/>
  <c r="AE125" i="25"/>
  <c r="AF125" i="25"/>
  <c r="AB126" i="25"/>
  <c r="AC126" i="25"/>
  <c r="AD126" i="25"/>
  <c r="AE126" i="25"/>
  <c r="AF126" i="25"/>
  <c r="AB127" i="25"/>
  <c r="AC127" i="25"/>
  <c r="AD127" i="25"/>
  <c r="AE127" i="25"/>
  <c r="AF127" i="25"/>
  <c r="AB128" i="25"/>
  <c r="AC128" i="25"/>
  <c r="AD128" i="25"/>
  <c r="AE128" i="25"/>
  <c r="AF128" i="25"/>
  <c r="AB129" i="25"/>
  <c r="AC129" i="25"/>
  <c r="AD129" i="25"/>
  <c r="AE129" i="25"/>
  <c r="AF129" i="25"/>
  <c r="AB130" i="25"/>
  <c r="AC130" i="25"/>
  <c r="AD130" i="25"/>
  <c r="AE130" i="25"/>
  <c r="AF130" i="25"/>
  <c r="AB131" i="25"/>
  <c r="AC131" i="25"/>
  <c r="AD131" i="25"/>
  <c r="AE131" i="25"/>
  <c r="AF131" i="25"/>
  <c r="AB132" i="25"/>
  <c r="AC132" i="25"/>
  <c r="AD132" i="25"/>
  <c r="AE132" i="25"/>
  <c r="AF132" i="25"/>
  <c r="AB133" i="25"/>
  <c r="AC133" i="25"/>
  <c r="AD133" i="25"/>
  <c r="AE133" i="25"/>
  <c r="AF133" i="25"/>
  <c r="AB134" i="25"/>
  <c r="AC134" i="25"/>
  <c r="AD134" i="25"/>
  <c r="AE134" i="25"/>
  <c r="AF134" i="25"/>
  <c r="AB135" i="25"/>
  <c r="AC135" i="25"/>
  <c r="AD135" i="25"/>
  <c r="AE135" i="25"/>
  <c r="AF135" i="25"/>
  <c r="AB136" i="25"/>
  <c r="AC136" i="25"/>
  <c r="AD136" i="25"/>
  <c r="AE136" i="25"/>
  <c r="AF136" i="25"/>
  <c r="AB137" i="25"/>
  <c r="AC137" i="25"/>
  <c r="AD137" i="25"/>
  <c r="AE137" i="25"/>
  <c r="AF137" i="25"/>
  <c r="AB138" i="25"/>
  <c r="AC138" i="25"/>
  <c r="AD138" i="25"/>
  <c r="AE138" i="25"/>
  <c r="AF138" i="25"/>
  <c r="AB139" i="25"/>
  <c r="AC139" i="25"/>
  <c r="AD139" i="25"/>
  <c r="AE139" i="25"/>
  <c r="AF139" i="25"/>
  <c r="AB140" i="25"/>
  <c r="AC140" i="25"/>
  <c r="AD140" i="25"/>
  <c r="AE140" i="25"/>
  <c r="AF140" i="25"/>
  <c r="AB141" i="25"/>
  <c r="AC141" i="25"/>
  <c r="AD141" i="25"/>
  <c r="AE141" i="25"/>
  <c r="AF141" i="25"/>
  <c r="AB142" i="25"/>
  <c r="AC142" i="25"/>
  <c r="AD142" i="25"/>
  <c r="AE142" i="25"/>
  <c r="AF142" i="25"/>
  <c r="AB143" i="25"/>
  <c r="AC143" i="25"/>
  <c r="AD143" i="25"/>
  <c r="AE143" i="25"/>
  <c r="AF143" i="25"/>
  <c r="AB144" i="25"/>
  <c r="AC144" i="25"/>
  <c r="AD144" i="25"/>
  <c r="AE144" i="25"/>
  <c r="AF144" i="25"/>
  <c r="AB145" i="25"/>
  <c r="AC145" i="25"/>
  <c r="AD145" i="25"/>
  <c r="AE145" i="25"/>
  <c r="AF145" i="25"/>
  <c r="AB146" i="25"/>
  <c r="AC146" i="25"/>
  <c r="AD146" i="25"/>
  <c r="AE146" i="25"/>
  <c r="AF146" i="25"/>
  <c r="AB147" i="25"/>
  <c r="AC147" i="25"/>
  <c r="AD147" i="25"/>
  <c r="AE147" i="25"/>
  <c r="AF147" i="25"/>
  <c r="AB148" i="25"/>
  <c r="AC148" i="25"/>
  <c r="AD148" i="25"/>
  <c r="AE148" i="25"/>
  <c r="AF148" i="25"/>
  <c r="AB149" i="25"/>
  <c r="AC149" i="25"/>
  <c r="AD149" i="25"/>
  <c r="AE149" i="25"/>
  <c r="AF149" i="25"/>
  <c r="AB150" i="25"/>
  <c r="AC150" i="25"/>
  <c r="AD150" i="25"/>
  <c r="AE150" i="25"/>
  <c r="AF150" i="25"/>
  <c r="AB151" i="25"/>
  <c r="AC151" i="25"/>
  <c r="AD151" i="25"/>
  <c r="AE151" i="25"/>
  <c r="AF151" i="25"/>
  <c r="AB152" i="25"/>
  <c r="AC152" i="25"/>
  <c r="AD152" i="25"/>
  <c r="AE152" i="25"/>
  <c r="AF152" i="25"/>
  <c r="AB153" i="25"/>
  <c r="AC153" i="25"/>
  <c r="AD153" i="25"/>
  <c r="AE153" i="25"/>
  <c r="AF153" i="25"/>
  <c r="AB154" i="25"/>
  <c r="AC154" i="25"/>
  <c r="AD154" i="25"/>
  <c r="AE154" i="25"/>
  <c r="AF154" i="25"/>
  <c r="AB155" i="25"/>
  <c r="AC155" i="25"/>
  <c r="AD155" i="25"/>
  <c r="AE155" i="25"/>
  <c r="AF155" i="25"/>
  <c r="AB156" i="25"/>
  <c r="AC156" i="25"/>
  <c r="AD156" i="25"/>
  <c r="AE156" i="25"/>
  <c r="AF156" i="25"/>
  <c r="AB157" i="25"/>
  <c r="AC157" i="25"/>
  <c r="AD157" i="25"/>
  <c r="AE157" i="25"/>
  <c r="AF157" i="25"/>
  <c r="AB158" i="25"/>
  <c r="AC158" i="25"/>
  <c r="AD158" i="25"/>
  <c r="AE158" i="25"/>
  <c r="AF158" i="25"/>
  <c r="AB159" i="25"/>
  <c r="AC159" i="25"/>
  <c r="AD159" i="25"/>
  <c r="AE159" i="25"/>
  <c r="AF159" i="25"/>
  <c r="AB160" i="25"/>
  <c r="AC160" i="25"/>
  <c r="AD160" i="25"/>
  <c r="AE160" i="25"/>
  <c r="AF160" i="25"/>
  <c r="AB161" i="25"/>
  <c r="AC161" i="25"/>
  <c r="AD161" i="25"/>
  <c r="AE161" i="25"/>
  <c r="AF161" i="25"/>
  <c r="AB162" i="25"/>
  <c r="AC162" i="25"/>
  <c r="AD162" i="25"/>
  <c r="AE162" i="25"/>
  <c r="AF162" i="25"/>
  <c r="AB163" i="25"/>
  <c r="AC163" i="25"/>
  <c r="AD163" i="25"/>
  <c r="AE163" i="25"/>
  <c r="AF163" i="25"/>
  <c r="AB164" i="25"/>
  <c r="AC164" i="25"/>
  <c r="AD164" i="25"/>
  <c r="AE164" i="25"/>
  <c r="AF164" i="25"/>
  <c r="AB165" i="25"/>
  <c r="AC165" i="25"/>
  <c r="AD165" i="25"/>
  <c r="AE165" i="25"/>
  <c r="AF165" i="25"/>
  <c r="AB166" i="25"/>
  <c r="AC166" i="25"/>
  <c r="AD166" i="25"/>
  <c r="AE166" i="25"/>
  <c r="AF166" i="25"/>
  <c r="AB167" i="25"/>
  <c r="AC167" i="25"/>
  <c r="AD167" i="25"/>
  <c r="AE167" i="25"/>
  <c r="AF167" i="25"/>
  <c r="AB168" i="25"/>
  <c r="AC168" i="25"/>
  <c r="AD168" i="25"/>
  <c r="AE168" i="25"/>
  <c r="AF168" i="25"/>
  <c r="AB169" i="25"/>
  <c r="AC169" i="25"/>
  <c r="AD169" i="25"/>
  <c r="AE169" i="25"/>
  <c r="AF169" i="25"/>
  <c r="AB170" i="25"/>
  <c r="AC170" i="25"/>
  <c r="AD170" i="25"/>
  <c r="AE170" i="25"/>
  <c r="AF170" i="25"/>
  <c r="AB171" i="25"/>
  <c r="AC171" i="25"/>
  <c r="AD171" i="25"/>
  <c r="AE171" i="25"/>
  <c r="AF171" i="25"/>
  <c r="AB172" i="25"/>
  <c r="AC172" i="25"/>
  <c r="AD172" i="25"/>
  <c r="AE172" i="25"/>
  <c r="AF172" i="25"/>
  <c r="AB173" i="25"/>
  <c r="AC173" i="25"/>
  <c r="AD173" i="25"/>
  <c r="AE173" i="25"/>
  <c r="AF173" i="25"/>
  <c r="AB174" i="25"/>
  <c r="AC174" i="25"/>
  <c r="AD174" i="25"/>
  <c r="AE174" i="25"/>
  <c r="AF174" i="25"/>
  <c r="AB175" i="25"/>
  <c r="AC175" i="25"/>
  <c r="AD175" i="25"/>
  <c r="AE175" i="25"/>
  <c r="AF175" i="25"/>
  <c r="AB176" i="25"/>
  <c r="AC176" i="25"/>
  <c r="AD176" i="25"/>
  <c r="AE176" i="25"/>
  <c r="AF176" i="25"/>
  <c r="AB177" i="25"/>
  <c r="AC177" i="25"/>
  <c r="AD177" i="25"/>
  <c r="AE177" i="25"/>
  <c r="AF177" i="25"/>
  <c r="AB178" i="25"/>
  <c r="AC178" i="25"/>
  <c r="AD178" i="25"/>
  <c r="AE178" i="25"/>
  <c r="AF178" i="25"/>
  <c r="AB179" i="25"/>
  <c r="AC179" i="25"/>
  <c r="AD179" i="25"/>
  <c r="AE179" i="25"/>
  <c r="AF179" i="25"/>
  <c r="AB180" i="25"/>
  <c r="AC180" i="25"/>
  <c r="AD180" i="25"/>
  <c r="AE180" i="25"/>
  <c r="AF180" i="25"/>
  <c r="AB181" i="25"/>
  <c r="AC181" i="25"/>
  <c r="AD181" i="25"/>
  <c r="AE181" i="25"/>
  <c r="AF181" i="25"/>
  <c r="AB182" i="25"/>
  <c r="AC182" i="25"/>
  <c r="AD182" i="25"/>
  <c r="AE182" i="25"/>
  <c r="AF182" i="25"/>
  <c r="AB183" i="25"/>
  <c r="AC183" i="25"/>
  <c r="AD183" i="25"/>
  <c r="AE183" i="25"/>
  <c r="AF183" i="25"/>
  <c r="AB184" i="25"/>
  <c r="AC184" i="25"/>
  <c r="AD184" i="25"/>
  <c r="AE184" i="25"/>
  <c r="AF184" i="25"/>
  <c r="AB185" i="25"/>
  <c r="AC185" i="25"/>
  <c r="AD185" i="25"/>
  <c r="AE185" i="25"/>
  <c r="AF185" i="25"/>
  <c r="AB186" i="25"/>
  <c r="AC186" i="25"/>
  <c r="AD186" i="25"/>
  <c r="AE186" i="25"/>
  <c r="AF186" i="25"/>
  <c r="AB187" i="25"/>
  <c r="AC187" i="25"/>
  <c r="AD187" i="25"/>
  <c r="AE187" i="25"/>
  <c r="AF187" i="25"/>
  <c r="AB188" i="25"/>
  <c r="AC188" i="25"/>
  <c r="AD188" i="25"/>
  <c r="AE188" i="25"/>
  <c r="AF188" i="25"/>
  <c r="AB189" i="25"/>
  <c r="AC189" i="25"/>
  <c r="AD189" i="25"/>
  <c r="AE189" i="25"/>
  <c r="AF189" i="25"/>
  <c r="AB190" i="25"/>
  <c r="AC190" i="25"/>
  <c r="AD190" i="25"/>
  <c r="AE190" i="25"/>
  <c r="AF190" i="25"/>
  <c r="AB191" i="25"/>
  <c r="AC191" i="25"/>
  <c r="AD191" i="25"/>
  <c r="AE191" i="25"/>
  <c r="AF191" i="25"/>
  <c r="AB192" i="25"/>
  <c r="AC192" i="25"/>
  <c r="AD192" i="25"/>
  <c r="AE192" i="25"/>
  <c r="AF192" i="25"/>
  <c r="AB193" i="25"/>
  <c r="AC193" i="25"/>
  <c r="AD193" i="25"/>
  <c r="AE193" i="25"/>
  <c r="AF193" i="25"/>
  <c r="AB194" i="25"/>
  <c r="AC194" i="25"/>
  <c r="AD194" i="25"/>
  <c r="AE194" i="25"/>
  <c r="AF194" i="25"/>
  <c r="AB195" i="25"/>
  <c r="AC195" i="25"/>
  <c r="AD195" i="25"/>
  <c r="AE195" i="25"/>
  <c r="AF195" i="25"/>
  <c r="AB196" i="25"/>
  <c r="AC196" i="25"/>
  <c r="AD196" i="25"/>
  <c r="AE196" i="25"/>
  <c r="AF196" i="25"/>
  <c r="AB197" i="25"/>
  <c r="AC197" i="25"/>
  <c r="AD197" i="25"/>
  <c r="AE197" i="25"/>
  <c r="AF197" i="25"/>
  <c r="AB198" i="25"/>
  <c r="AC198" i="25"/>
  <c r="AD198" i="25"/>
  <c r="AE198" i="25"/>
  <c r="AF198" i="25"/>
  <c r="AB199" i="25"/>
  <c r="AC199" i="25"/>
  <c r="AD199" i="25"/>
  <c r="AE199" i="25"/>
  <c r="AF199" i="25"/>
  <c r="AB200" i="25"/>
  <c r="AC200" i="25"/>
  <c r="AD200" i="25"/>
  <c r="AE200" i="25"/>
  <c r="AF200" i="25"/>
  <c r="AB201" i="25"/>
  <c r="AC201" i="25"/>
  <c r="AD201" i="25"/>
  <c r="AE201" i="25"/>
  <c r="AF201" i="25"/>
  <c r="AB202" i="25"/>
  <c r="AC202" i="25"/>
  <c r="AD202" i="25"/>
  <c r="AE202" i="25"/>
  <c r="AF202" i="25"/>
  <c r="AB203" i="25"/>
  <c r="AC203" i="25"/>
  <c r="AD203" i="25"/>
  <c r="AE203" i="25"/>
  <c r="AF203" i="25"/>
  <c r="AB204" i="25"/>
  <c r="AC204" i="25"/>
  <c r="AD204" i="25"/>
  <c r="AE204" i="25"/>
  <c r="AF204" i="25"/>
  <c r="AF8" i="25"/>
  <c r="AE8" i="25"/>
  <c r="AD8" i="25"/>
  <c r="AC8" i="25"/>
  <c r="AB8" i="25"/>
  <c r="I6" i="25"/>
  <c r="H6" i="25"/>
  <c r="G6" i="25"/>
  <c r="F6" i="25"/>
  <c r="T208" i="25"/>
  <c r="S208" i="25"/>
  <c r="R208" i="25"/>
  <c r="Q208" i="25"/>
  <c r="P208" i="25"/>
  <c r="O208" i="25"/>
  <c r="N208" i="25"/>
  <c r="M208" i="25"/>
  <c r="L208" i="25"/>
  <c r="K208" i="25"/>
  <c r="J208" i="25"/>
  <c r="I208" i="25"/>
  <c r="H208" i="25"/>
  <c r="G208" i="25"/>
  <c r="F208" i="25"/>
  <c r="D207" i="25"/>
  <c r="C207" i="25"/>
  <c r="T205" i="25"/>
  <c r="S205" i="25"/>
  <c r="R205" i="25"/>
  <c r="Q205" i="25"/>
  <c r="P205" i="25"/>
  <c r="O205" i="25"/>
  <c r="N205" i="25"/>
  <c r="M205" i="25"/>
  <c r="L205" i="25"/>
  <c r="K205" i="25"/>
  <c r="J205" i="25"/>
  <c r="I205" i="25"/>
  <c r="H205" i="25"/>
  <c r="G205" i="25"/>
  <c r="F205" i="25"/>
  <c r="D204" i="25"/>
  <c r="C204" i="25"/>
  <c r="E204" i="25" s="1"/>
  <c r="U204" i="25" s="1"/>
  <c r="D203" i="25"/>
  <c r="C203" i="25"/>
  <c r="D202" i="25"/>
  <c r="C202" i="25"/>
  <c r="D201" i="25"/>
  <c r="C201" i="25"/>
  <c r="E201" i="25" s="1"/>
  <c r="U201" i="25" s="1"/>
  <c r="D200" i="25"/>
  <c r="C200" i="25"/>
  <c r="E200" i="25" s="1"/>
  <c r="U200" i="25" s="1"/>
  <c r="D199" i="25"/>
  <c r="C199" i="25"/>
  <c r="D198" i="25"/>
  <c r="C198" i="25"/>
  <c r="E198" i="25" s="1"/>
  <c r="D197" i="25"/>
  <c r="C197" i="25"/>
  <c r="D196" i="25"/>
  <c r="C196" i="25"/>
  <c r="Z195" i="25"/>
  <c r="D195" i="25"/>
  <c r="C195" i="25"/>
  <c r="E195" i="25" s="1"/>
  <c r="D194" i="25"/>
  <c r="C194" i="25"/>
  <c r="E194" i="25" s="1"/>
  <c r="D193" i="25"/>
  <c r="C193" i="25"/>
  <c r="E193" i="25" s="1"/>
  <c r="U193" i="25" s="1"/>
  <c r="D192" i="25"/>
  <c r="C192" i="25"/>
  <c r="D191" i="25"/>
  <c r="C191" i="25"/>
  <c r="E191" i="25" s="1"/>
  <c r="D190" i="25"/>
  <c r="C190" i="25"/>
  <c r="D189" i="25"/>
  <c r="C189" i="25"/>
  <c r="D188" i="25"/>
  <c r="C188" i="25"/>
  <c r="E188" i="25" s="1"/>
  <c r="U188" i="25" s="1"/>
  <c r="D187" i="25"/>
  <c r="C187" i="25"/>
  <c r="D186" i="25"/>
  <c r="C186" i="25"/>
  <c r="Z185" i="25"/>
  <c r="D185" i="25"/>
  <c r="C185" i="25"/>
  <c r="E185" i="25" s="1"/>
  <c r="U185" i="25" s="1"/>
  <c r="D184" i="25"/>
  <c r="C184" i="25"/>
  <c r="E184" i="25" s="1"/>
  <c r="D183" i="25"/>
  <c r="C183" i="25"/>
  <c r="D182" i="25"/>
  <c r="C182" i="25"/>
  <c r="D181" i="25"/>
  <c r="C181" i="25"/>
  <c r="E181" i="25" s="1"/>
  <c r="D180" i="25"/>
  <c r="E180" i="25" s="1"/>
  <c r="C180" i="25"/>
  <c r="D179" i="25"/>
  <c r="C179" i="25"/>
  <c r="Z178" i="25"/>
  <c r="D178" i="25"/>
  <c r="C178" i="25"/>
  <c r="E178" i="25" s="1"/>
  <c r="U178" i="25" s="1"/>
  <c r="D177" i="25"/>
  <c r="C177" i="25"/>
  <c r="E177" i="25" s="1"/>
  <c r="D176" i="25"/>
  <c r="C176" i="25"/>
  <c r="E176" i="25" s="1"/>
  <c r="U176" i="25" s="1"/>
  <c r="D175" i="25"/>
  <c r="C175" i="25"/>
  <c r="E175" i="25" s="1"/>
  <c r="U175" i="25" s="1"/>
  <c r="Z174" i="25"/>
  <c r="D174" i="25"/>
  <c r="C174" i="25"/>
  <c r="D173" i="25"/>
  <c r="C173" i="25"/>
  <c r="E173" i="25" s="1"/>
  <c r="U173" i="25" s="1"/>
  <c r="D172" i="25"/>
  <c r="C172" i="25"/>
  <c r="E172" i="25" s="1"/>
  <c r="U172" i="25" s="1"/>
  <c r="Z171" i="25"/>
  <c r="D171" i="25"/>
  <c r="C171" i="25"/>
  <c r="E171" i="25" s="1"/>
  <c r="U171" i="25" s="1"/>
  <c r="D170" i="25"/>
  <c r="C170" i="25"/>
  <c r="E170" i="25" s="1"/>
  <c r="U170" i="25" s="1"/>
  <c r="D169" i="25"/>
  <c r="C169" i="25"/>
  <c r="D168" i="25"/>
  <c r="C168" i="25"/>
  <c r="E168" i="25" s="1"/>
  <c r="D167" i="25"/>
  <c r="C167" i="25"/>
  <c r="D166" i="25"/>
  <c r="C166" i="25"/>
  <c r="E166" i="25" s="1"/>
  <c r="U166" i="25" s="1"/>
  <c r="D165" i="25"/>
  <c r="C165" i="25"/>
  <c r="D164" i="25"/>
  <c r="C164" i="25"/>
  <c r="E164" i="25" s="1"/>
  <c r="U164" i="25" s="1"/>
  <c r="D163" i="25"/>
  <c r="C163" i="25"/>
  <c r="E162" i="25"/>
  <c r="U162" i="25" s="1"/>
  <c r="D162" i="25"/>
  <c r="C162" i="25"/>
  <c r="D161" i="25"/>
  <c r="E161" i="25" s="1"/>
  <c r="C161" i="25"/>
  <c r="D160" i="25"/>
  <c r="C160" i="25"/>
  <c r="D159" i="25"/>
  <c r="C159" i="25"/>
  <c r="E159" i="25" s="1"/>
  <c r="D158" i="25"/>
  <c r="C158" i="25"/>
  <c r="E157" i="25"/>
  <c r="D157" i="25"/>
  <c r="C157" i="25"/>
  <c r="Z156" i="25"/>
  <c r="D156" i="25"/>
  <c r="C156" i="25"/>
  <c r="D155" i="25"/>
  <c r="C155" i="25"/>
  <c r="E155" i="25" s="1"/>
  <c r="D154" i="25"/>
  <c r="C154" i="25"/>
  <c r="D153" i="25"/>
  <c r="C153" i="25"/>
  <c r="D152" i="25"/>
  <c r="C152" i="25"/>
  <c r="E152" i="25" s="1"/>
  <c r="D151" i="25"/>
  <c r="C151" i="25"/>
  <c r="D150" i="25"/>
  <c r="C150" i="25"/>
  <c r="E150" i="25" s="1"/>
  <c r="U150" i="25" s="1"/>
  <c r="D149" i="25"/>
  <c r="E149" i="25" s="1"/>
  <c r="C149" i="25"/>
  <c r="Z148" i="25"/>
  <c r="D148" i="25"/>
  <c r="C148" i="25"/>
  <c r="D147" i="25"/>
  <c r="C147" i="25"/>
  <c r="Z146" i="25"/>
  <c r="D146" i="25"/>
  <c r="C146" i="25"/>
  <c r="E146" i="25" s="1"/>
  <c r="U146" i="25" s="1"/>
  <c r="D145" i="25"/>
  <c r="C145" i="25"/>
  <c r="E144" i="25"/>
  <c r="D144" i="25"/>
  <c r="C144" i="25"/>
  <c r="D143" i="25"/>
  <c r="E143" i="25" s="1"/>
  <c r="U143" i="25" s="1"/>
  <c r="C143" i="25"/>
  <c r="D142" i="25"/>
  <c r="C142" i="25"/>
  <c r="D141" i="25"/>
  <c r="C141" i="25"/>
  <c r="E141" i="25" s="1"/>
  <c r="U141" i="25" s="1"/>
  <c r="D140" i="25"/>
  <c r="C140" i="25"/>
  <c r="E140" i="25" s="1"/>
  <c r="U140" i="25" s="1"/>
  <c r="D139" i="25"/>
  <c r="C139" i="25"/>
  <c r="E139" i="25" s="1"/>
  <c r="U139" i="25" s="1"/>
  <c r="D138" i="25"/>
  <c r="C138" i="25"/>
  <c r="D137" i="25"/>
  <c r="C137" i="25"/>
  <c r="D136" i="25"/>
  <c r="C136" i="25"/>
  <c r="D135" i="25"/>
  <c r="C135" i="25"/>
  <c r="E134" i="25"/>
  <c r="D134" i="25"/>
  <c r="C134" i="25"/>
  <c r="Z133" i="25"/>
  <c r="D133" i="25"/>
  <c r="C133" i="25"/>
  <c r="E133" i="25" s="1"/>
  <c r="U133" i="25" s="1"/>
  <c r="D132" i="25"/>
  <c r="C132" i="25"/>
  <c r="E132" i="25" s="1"/>
  <c r="U132" i="25" s="1"/>
  <c r="D131" i="25"/>
  <c r="C131" i="25"/>
  <c r="Z130" i="25"/>
  <c r="D130" i="25"/>
  <c r="C130" i="25"/>
  <c r="D129" i="25"/>
  <c r="C129" i="25"/>
  <c r="Z128" i="25"/>
  <c r="D128" i="25"/>
  <c r="C128" i="25"/>
  <c r="D127" i="25"/>
  <c r="C127" i="25"/>
  <c r="E127" i="25" s="1"/>
  <c r="D126" i="25"/>
  <c r="E126" i="25" s="1"/>
  <c r="C126" i="25"/>
  <c r="D125" i="25"/>
  <c r="C125" i="25"/>
  <c r="D124" i="25"/>
  <c r="C124" i="25"/>
  <c r="D123" i="25"/>
  <c r="C123" i="25"/>
  <c r="E123" i="25" s="1"/>
  <c r="D122" i="25"/>
  <c r="C122" i="25"/>
  <c r="D121" i="25"/>
  <c r="C121" i="25"/>
  <c r="E121" i="25" s="1"/>
  <c r="U121" i="25" s="1"/>
  <c r="D120" i="25"/>
  <c r="C120" i="25"/>
  <c r="Z119" i="25"/>
  <c r="D119" i="25"/>
  <c r="C119" i="25"/>
  <c r="E119" i="25" s="1"/>
  <c r="U119" i="25" s="1"/>
  <c r="D118" i="25"/>
  <c r="C118" i="25"/>
  <c r="E118" i="25" s="1"/>
  <c r="U118" i="25" s="1"/>
  <c r="D117" i="25"/>
  <c r="C117" i="25"/>
  <c r="E117" i="25" s="1"/>
  <c r="U117" i="25" s="1"/>
  <c r="D116" i="25"/>
  <c r="C116" i="25"/>
  <c r="E116" i="25" s="1"/>
  <c r="U116" i="25" s="1"/>
  <c r="D115" i="25"/>
  <c r="C115" i="25"/>
  <c r="E114" i="25"/>
  <c r="U114" i="25" s="1"/>
  <c r="D114" i="25"/>
  <c r="C114" i="25"/>
  <c r="D113" i="25"/>
  <c r="C113" i="25"/>
  <c r="D112" i="25"/>
  <c r="C112" i="25"/>
  <c r="E112" i="25" s="1"/>
  <c r="U112" i="25" s="1"/>
  <c r="D111" i="25"/>
  <c r="C111" i="25"/>
  <c r="Z110" i="25"/>
  <c r="D110" i="25"/>
  <c r="C110" i="25"/>
  <c r="D109" i="25"/>
  <c r="C109" i="25"/>
  <c r="E109" i="25" s="1"/>
  <c r="D108" i="25"/>
  <c r="C108" i="25"/>
  <c r="E108" i="25" s="1"/>
  <c r="U108" i="25" s="1"/>
  <c r="D107" i="25"/>
  <c r="C107" i="25"/>
  <c r="E106" i="25"/>
  <c r="U106" i="25" s="1"/>
  <c r="D106" i="25"/>
  <c r="C106" i="25"/>
  <c r="Z105" i="25"/>
  <c r="D105" i="25"/>
  <c r="C105" i="25"/>
  <c r="E105" i="25" s="1"/>
  <c r="U105" i="25" s="1"/>
  <c r="D104" i="25"/>
  <c r="C104" i="25"/>
  <c r="D103" i="25"/>
  <c r="C103" i="25"/>
  <c r="D102" i="25"/>
  <c r="C102" i="25"/>
  <c r="D101" i="25"/>
  <c r="C101" i="25"/>
  <c r="E101" i="25" s="1"/>
  <c r="U101" i="25" s="1"/>
  <c r="D100" i="25"/>
  <c r="C100" i="25"/>
  <c r="Z99" i="25"/>
  <c r="D99" i="25"/>
  <c r="C99" i="25"/>
  <c r="D98" i="25"/>
  <c r="C98" i="25"/>
  <c r="E98" i="25" s="1"/>
  <c r="U98" i="25" s="1"/>
  <c r="D97" i="25"/>
  <c r="C97" i="25"/>
  <c r="E97" i="25" s="1"/>
  <c r="D96" i="25"/>
  <c r="C96" i="25"/>
  <c r="E96" i="25" s="1"/>
  <c r="U96" i="25" s="1"/>
  <c r="D95" i="25"/>
  <c r="C95" i="25"/>
  <c r="Z94" i="25"/>
  <c r="D94" i="25"/>
  <c r="C94" i="25"/>
  <c r="E94" i="25" s="1"/>
  <c r="D93" i="25"/>
  <c r="C93" i="25"/>
  <c r="Z92" i="25"/>
  <c r="D92" i="25"/>
  <c r="C92" i="25"/>
  <c r="E92" i="25" s="1"/>
  <c r="U92" i="25" s="1"/>
  <c r="D91" i="25"/>
  <c r="C91" i="25"/>
  <c r="E90" i="25"/>
  <c r="U90" i="25" s="1"/>
  <c r="D90" i="25"/>
  <c r="C90" i="25"/>
  <c r="D89" i="25"/>
  <c r="C89" i="25"/>
  <c r="Z88" i="25"/>
  <c r="D88" i="25"/>
  <c r="C88" i="25"/>
  <c r="D87" i="25"/>
  <c r="C87" i="25"/>
  <c r="D86" i="25"/>
  <c r="C86" i="25"/>
  <c r="D85" i="25"/>
  <c r="C85" i="25"/>
  <c r="E85" i="25" s="1"/>
  <c r="U85" i="25" s="1"/>
  <c r="Z84" i="25"/>
  <c r="D84" i="25"/>
  <c r="C84" i="25"/>
  <c r="D83" i="25"/>
  <c r="C83" i="25"/>
  <c r="Z82" i="25"/>
  <c r="D82" i="25"/>
  <c r="C82" i="25"/>
  <c r="D81" i="25"/>
  <c r="C81" i="25"/>
  <c r="Z80" i="25"/>
  <c r="D80" i="25"/>
  <c r="C80" i="25"/>
  <c r="E80" i="25" s="1"/>
  <c r="U80" i="25" s="1"/>
  <c r="D79" i="25"/>
  <c r="C79" i="25"/>
  <c r="D78" i="25"/>
  <c r="C78" i="25"/>
  <c r="D77" i="25"/>
  <c r="C77" i="25"/>
  <c r="D76" i="25"/>
  <c r="C76" i="25"/>
  <c r="E76" i="25" s="1"/>
  <c r="Z75" i="25"/>
  <c r="D75" i="25"/>
  <c r="C75" i="25"/>
  <c r="E75" i="25" s="1"/>
  <c r="U75" i="25" s="1"/>
  <c r="D74" i="25"/>
  <c r="C74" i="25"/>
  <c r="D73" i="25"/>
  <c r="C73" i="25"/>
  <c r="E73" i="25" s="1"/>
  <c r="D72" i="25"/>
  <c r="C72" i="25"/>
  <c r="E72" i="25" s="1"/>
  <c r="U72" i="25" s="1"/>
  <c r="D71" i="25"/>
  <c r="C71" i="25"/>
  <c r="Z70" i="25"/>
  <c r="D70" i="25"/>
  <c r="C70" i="25"/>
  <c r="D69" i="25"/>
  <c r="C69" i="25"/>
  <c r="D68" i="25"/>
  <c r="C68" i="25"/>
  <c r="E68" i="25" s="1"/>
  <c r="U68" i="25" s="1"/>
  <c r="D67" i="25"/>
  <c r="C67" i="25"/>
  <c r="E67" i="25" s="1"/>
  <c r="U67" i="25" s="1"/>
  <c r="D66" i="25"/>
  <c r="C66" i="25"/>
  <c r="E66" i="25" s="1"/>
  <c r="U66" i="25" s="1"/>
  <c r="D65" i="25"/>
  <c r="E65" i="25" s="1"/>
  <c r="U65" i="25" s="1"/>
  <c r="C65" i="25"/>
  <c r="D64" i="25"/>
  <c r="C64" i="25"/>
  <c r="E64" i="25" s="1"/>
  <c r="U64" i="25" s="1"/>
  <c r="D63" i="25"/>
  <c r="C63" i="25"/>
  <c r="E63" i="25" s="1"/>
  <c r="U63" i="25" s="1"/>
  <c r="D62" i="25"/>
  <c r="C62" i="25"/>
  <c r="D61" i="25"/>
  <c r="C61" i="25"/>
  <c r="Z60" i="25"/>
  <c r="D60" i="25"/>
  <c r="C60" i="25"/>
  <c r="E60" i="25" s="1"/>
  <c r="D59" i="25"/>
  <c r="C59" i="25"/>
  <c r="D58" i="25"/>
  <c r="C58" i="25"/>
  <c r="E58" i="25" s="1"/>
  <c r="U58" i="25" s="1"/>
  <c r="D57" i="25"/>
  <c r="C57" i="25"/>
  <c r="E57" i="25" s="1"/>
  <c r="U57" i="25" s="1"/>
  <c r="D56" i="25"/>
  <c r="C56" i="25"/>
  <c r="D55" i="25"/>
  <c r="E55" i="25" s="1"/>
  <c r="C55" i="25"/>
  <c r="Z54" i="25"/>
  <c r="D54" i="25"/>
  <c r="C54" i="25"/>
  <c r="D53" i="25"/>
  <c r="C53" i="25"/>
  <c r="U52" i="25"/>
  <c r="D52" i="25"/>
  <c r="C52" i="25"/>
  <c r="E52" i="25" s="1"/>
  <c r="D51" i="25"/>
  <c r="C51" i="25"/>
  <c r="Z50" i="25"/>
  <c r="D50" i="25"/>
  <c r="C50" i="25"/>
  <c r="D49" i="25"/>
  <c r="C49" i="25"/>
  <c r="D48" i="25"/>
  <c r="C48" i="25"/>
  <c r="Z47" i="25"/>
  <c r="D47" i="25"/>
  <c r="C47" i="25"/>
  <c r="Z46" i="25"/>
  <c r="D46" i="25"/>
  <c r="C46" i="25"/>
  <c r="E46" i="25" s="1"/>
  <c r="U46" i="25" s="1"/>
  <c r="D45" i="25"/>
  <c r="C45" i="25"/>
  <c r="D44" i="25"/>
  <c r="E44" i="25" s="1"/>
  <c r="U44" i="25" s="1"/>
  <c r="C44" i="25"/>
  <c r="D43" i="25"/>
  <c r="C43" i="25"/>
  <c r="D42" i="25"/>
  <c r="C42" i="25"/>
  <c r="Z41" i="25"/>
  <c r="D41" i="25"/>
  <c r="C41" i="25"/>
  <c r="E41" i="25" s="1"/>
  <c r="U41" i="25" s="1"/>
  <c r="Z40" i="25"/>
  <c r="D40" i="25"/>
  <c r="C40" i="25"/>
  <c r="E40" i="25" s="1"/>
  <c r="U40" i="25" s="1"/>
  <c r="D39" i="25"/>
  <c r="C39" i="25"/>
  <c r="E39" i="25" s="1"/>
  <c r="U39" i="25" s="1"/>
  <c r="Z38" i="25"/>
  <c r="D38" i="25"/>
  <c r="C38" i="25"/>
  <c r="D37" i="25"/>
  <c r="C37" i="25"/>
  <c r="E36" i="25"/>
  <c r="U36" i="25" s="1"/>
  <c r="D36" i="25"/>
  <c r="C36" i="25"/>
  <c r="D35" i="25"/>
  <c r="C35" i="25"/>
  <c r="E35" i="25" s="1"/>
  <c r="U35" i="25" s="1"/>
  <c r="D34" i="25"/>
  <c r="C34" i="25"/>
  <c r="D33" i="25"/>
  <c r="C33" i="25"/>
  <c r="E33" i="25" s="1"/>
  <c r="U33" i="25" s="1"/>
  <c r="Z32" i="25"/>
  <c r="D32" i="25"/>
  <c r="C32" i="25"/>
  <c r="D31" i="25"/>
  <c r="C31" i="25"/>
  <c r="D30" i="25"/>
  <c r="C30" i="25"/>
  <c r="Z29" i="25"/>
  <c r="D29" i="25"/>
  <c r="C29" i="25"/>
  <c r="E29" i="25" s="1"/>
  <c r="U29" i="25" s="1"/>
  <c r="Z28" i="25"/>
  <c r="D28" i="25"/>
  <c r="C28" i="25"/>
  <c r="D27" i="25"/>
  <c r="C27" i="25"/>
  <c r="E27" i="25" s="1"/>
  <c r="U27" i="25" s="1"/>
  <c r="D26" i="25"/>
  <c r="C26" i="25"/>
  <c r="Z25" i="25"/>
  <c r="D25" i="25"/>
  <c r="C25" i="25"/>
  <c r="Z24" i="25"/>
  <c r="D24" i="25"/>
  <c r="C24" i="25"/>
  <c r="E24" i="25" s="1"/>
  <c r="U24" i="25" s="1"/>
  <c r="D23" i="25"/>
  <c r="C23" i="25"/>
  <c r="D22" i="25"/>
  <c r="C22" i="25"/>
  <c r="Z21" i="25"/>
  <c r="D21" i="25"/>
  <c r="C21" i="25"/>
  <c r="E21" i="25" s="1"/>
  <c r="U21" i="25" s="1"/>
  <c r="Z20" i="25"/>
  <c r="D20" i="25"/>
  <c r="C20" i="25"/>
  <c r="E20" i="25" s="1"/>
  <c r="U20" i="25" s="1"/>
  <c r="Z19" i="25"/>
  <c r="D19" i="25"/>
  <c r="C19" i="25"/>
  <c r="D18" i="25"/>
  <c r="C18" i="25"/>
  <c r="D17" i="25"/>
  <c r="C17" i="25"/>
  <c r="E17" i="25" s="1"/>
  <c r="U17" i="25" s="1"/>
  <c r="D16" i="25"/>
  <c r="C16" i="25"/>
  <c r="E16" i="25" s="1"/>
  <c r="U16" i="25" s="1"/>
  <c r="Z15" i="25"/>
  <c r="D15" i="25"/>
  <c r="C15" i="25"/>
  <c r="E15" i="25" s="1"/>
  <c r="U15" i="25" s="1"/>
  <c r="Z14" i="25"/>
  <c r="E14" i="25"/>
  <c r="U14" i="25" s="1"/>
  <c r="D14" i="25"/>
  <c r="C14" i="25"/>
  <c r="D13" i="25"/>
  <c r="C13" i="25"/>
  <c r="D12" i="25"/>
  <c r="C12" i="25"/>
  <c r="E12" i="25" s="1"/>
  <c r="U12" i="25" s="1"/>
  <c r="Z11" i="25"/>
  <c r="D11" i="25"/>
  <c r="C11" i="25"/>
  <c r="E11" i="25" s="1"/>
  <c r="U11" i="25" s="1"/>
  <c r="E10" i="25"/>
  <c r="U10" i="25" s="1"/>
  <c r="D10" i="25"/>
  <c r="C10" i="25"/>
  <c r="D9" i="25"/>
  <c r="C9" i="25"/>
  <c r="D8" i="25"/>
  <c r="C8" i="25"/>
  <c r="H5" i="25"/>
  <c r="X110" i="25" s="1"/>
  <c r="E5" i="25"/>
  <c r="E4" i="25"/>
  <c r="S3" i="25"/>
  <c r="I3" i="25"/>
  <c r="I4" i="25" s="1"/>
  <c r="H3" i="25"/>
  <c r="H4" i="25" s="1"/>
  <c r="F3" i="25"/>
  <c r="T1" i="25"/>
  <c r="T2" i="25" s="1"/>
  <c r="S1" i="25"/>
  <c r="R1" i="25"/>
  <c r="R3" i="25" s="1"/>
  <c r="Q1" i="25"/>
  <c r="Q3" i="25" s="1"/>
  <c r="P1" i="25"/>
  <c r="P3" i="25" s="1"/>
  <c r="O1" i="25"/>
  <c r="O3" i="25" s="1"/>
  <c r="N1" i="25"/>
  <c r="N3" i="25" s="1"/>
  <c r="M1" i="25"/>
  <c r="M3" i="25" s="1"/>
  <c r="L1" i="25"/>
  <c r="L3" i="25" s="1"/>
  <c r="L4" i="25" s="1"/>
  <c r="K1" i="25"/>
  <c r="K3" i="25" s="1"/>
  <c r="K4" i="25" s="1"/>
  <c r="J1" i="25"/>
  <c r="J3" i="25" s="1"/>
  <c r="J5" i="25" s="1"/>
  <c r="Z203" i="25" s="1"/>
  <c r="H1" i="25"/>
  <c r="G1" i="25"/>
  <c r="G3" i="25" s="1"/>
  <c r="F7" i="24"/>
  <c r="E7" i="24"/>
  <c r="E8" i="24" s="1"/>
  <c r="D7" i="24"/>
  <c r="F6" i="24"/>
  <c r="E6" i="24"/>
  <c r="D6" i="24"/>
  <c r="C7" i="24"/>
  <c r="C6" i="24"/>
  <c r="F10" i="24" l="1"/>
  <c r="F8" i="24"/>
  <c r="F9" i="24"/>
  <c r="F11" i="24" s="1"/>
  <c r="E9" i="24"/>
  <c r="E11" i="24" s="1"/>
  <c r="D8" i="24"/>
  <c r="E10" i="24"/>
  <c r="M4" i="29"/>
  <c r="M5" i="29"/>
  <c r="AC112" i="29" s="1"/>
  <c r="AB31" i="29"/>
  <c r="AB59" i="29"/>
  <c r="AB102" i="29"/>
  <c r="AB39" i="29"/>
  <c r="AB14" i="29"/>
  <c r="AB82" i="29"/>
  <c r="Z95" i="29"/>
  <c r="Z40" i="29"/>
  <c r="Z36" i="29"/>
  <c r="Z32" i="29"/>
  <c r="Z8" i="29"/>
  <c r="Z61" i="29"/>
  <c r="Z105" i="29"/>
  <c r="Z37" i="29"/>
  <c r="Z29" i="29"/>
  <c r="Z16" i="29"/>
  <c r="Z86" i="29"/>
  <c r="H4" i="29"/>
  <c r="H5" i="29"/>
  <c r="E8" i="29"/>
  <c r="I4" i="29"/>
  <c r="I5" i="29"/>
  <c r="Y194" i="29" s="1"/>
  <c r="Z57" i="29"/>
  <c r="E109" i="29"/>
  <c r="U109" i="29" s="1"/>
  <c r="E149" i="29"/>
  <c r="U149" i="29" s="1"/>
  <c r="E31" i="29"/>
  <c r="U31" i="29" s="1"/>
  <c r="E125" i="29"/>
  <c r="E23" i="29"/>
  <c r="U23" i="29" s="1"/>
  <c r="E52" i="29"/>
  <c r="U52" i="29" s="1"/>
  <c r="E75" i="29"/>
  <c r="U75" i="29" s="1"/>
  <c r="E107" i="29"/>
  <c r="U118" i="29"/>
  <c r="E144" i="29"/>
  <c r="U144" i="29" s="1"/>
  <c r="E11" i="29"/>
  <c r="U11" i="29" s="1"/>
  <c r="E15" i="29"/>
  <c r="U15" i="29" s="1"/>
  <c r="E102" i="29"/>
  <c r="U102" i="29" s="1"/>
  <c r="E86" i="29"/>
  <c r="U86" i="29" s="1"/>
  <c r="E122" i="29"/>
  <c r="U122" i="29" s="1"/>
  <c r="E87" i="29"/>
  <c r="U87" i="29" s="1"/>
  <c r="E113" i="29"/>
  <c r="E158" i="29"/>
  <c r="U158" i="29" s="1"/>
  <c r="E46" i="29"/>
  <c r="U46" i="29" s="1"/>
  <c r="E71" i="29"/>
  <c r="U71" i="29" s="1"/>
  <c r="E134" i="29"/>
  <c r="U134" i="29" s="1"/>
  <c r="G4" i="29"/>
  <c r="G5" i="29"/>
  <c r="E65" i="29"/>
  <c r="U65" i="29" s="1"/>
  <c r="X204" i="29"/>
  <c r="X194" i="29"/>
  <c r="X178" i="29"/>
  <c r="X196" i="29"/>
  <c r="X195" i="29"/>
  <c r="X188" i="29"/>
  <c r="X187" i="29"/>
  <c r="X180" i="29"/>
  <c r="X179" i="29"/>
  <c r="X171" i="29"/>
  <c r="X197" i="29"/>
  <c r="X200" i="29"/>
  <c r="X199" i="29"/>
  <c r="X192" i="29"/>
  <c r="X191" i="29"/>
  <c r="X184" i="29"/>
  <c r="X183" i="29"/>
  <c r="X176" i="29"/>
  <c r="X156" i="29"/>
  <c r="X167" i="29"/>
  <c r="X181" i="29"/>
  <c r="X174" i="29"/>
  <c r="X162" i="29"/>
  <c r="X143" i="29"/>
  <c r="X201" i="29"/>
  <c r="X163" i="29"/>
  <c r="X149" i="29"/>
  <c r="X133" i="29"/>
  <c r="X155" i="29"/>
  <c r="X138" i="29"/>
  <c r="X134" i="29"/>
  <c r="X128" i="29"/>
  <c r="X116" i="29"/>
  <c r="X108" i="29"/>
  <c r="X177" i="29"/>
  <c r="X173" i="29"/>
  <c r="X147" i="29"/>
  <c r="X185" i="29"/>
  <c r="X123" i="29"/>
  <c r="X122" i="29"/>
  <c r="X120" i="29"/>
  <c r="X99" i="29"/>
  <c r="X92" i="29"/>
  <c r="X159" i="29"/>
  <c r="X157" i="29"/>
  <c r="X110" i="29"/>
  <c r="X82" i="29"/>
  <c r="X152" i="29"/>
  <c r="X145" i="29"/>
  <c r="X125" i="29"/>
  <c r="X189" i="29"/>
  <c r="X141" i="29"/>
  <c r="X129" i="29"/>
  <c r="X101" i="29"/>
  <c r="X168" i="29"/>
  <c r="X89" i="29"/>
  <c r="X76" i="29"/>
  <c r="X154" i="29"/>
  <c r="X140" i="29"/>
  <c r="X135" i="29"/>
  <c r="X132" i="29"/>
  <c r="X126" i="29"/>
  <c r="X170" i="29"/>
  <c r="X117" i="29"/>
  <c r="X71" i="29"/>
  <c r="X121" i="29"/>
  <c r="X102" i="29"/>
  <c r="X69" i="29"/>
  <c r="X53" i="29"/>
  <c r="X148" i="29"/>
  <c r="X106" i="29"/>
  <c r="X165" i="29"/>
  <c r="X130" i="29"/>
  <c r="X95" i="29"/>
  <c r="X161" i="29"/>
  <c r="X158" i="29"/>
  <c r="X115" i="29"/>
  <c r="X88" i="29"/>
  <c r="X83" i="29"/>
  <c r="X79" i="29"/>
  <c r="X72" i="29"/>
  <c r="X119" i="29"/>
  <c r="X80" i="29"/>
  <c r="X166" i="29"/>
  <c r="X96" i="29"/>
  <c r="X63" i="29"/>
  <c r="X58" i="29"/>
  <c r="X52" i="29"/>
  <c r="X38" i="29"/>
  <c r="X37" i="29"/>
  <c r="X30" i="29"/>
  <c r="X54" i="29"/>
  <c r="X94" i="29"/>
  <c r="X90" i="29"/>
  <c r="X85" i="29"/>
  <c r="X75" i="29"/>
  <c r="X64" i="29"/>
  <c r="X42" i="29"/>
  <c r="X41" i="29"/>
  <c r="X39" i="29"/>
  <c r="X34" i="29"/>
  <c r="X32" i="29"/>
  <c r="X31" i="29"/>
  <c r="X15" i="29"/>
  <c r="X14" i="29"/>
  <c r="X12" i="29"/>
  <c r="X81" i="29"/>
  <c r="X73" i="29"/>
  <c r="X44" i="29"/>
  <c r="X13" i="29"/>
  <c r="X68" i="29"/>
  <c r="X45" i="29"/>
  <c r="X160" i="29"/>
  <c r="X65" i="29"/>
  <c r="X60" i="29"/>
  <c r="X46" i="29"/>
  <c r="X193" i="29"/>
  <c r="X105" i="29"/>
  <c r="X127" i="29"/>
  <c r="X62" i="29"/>
  <c r="X50" i="29"/>
  <c r="X22" i="29"/>
  <c r="X21" i="29"/>
  <c r="X20" i="29"/>
  <c r="AB112" i="29"/>
  <c r="AB146" i="29"/>
  <c r="Y195" i="29"/>
  <c r="Y176" i="29"/>
  <c r="Y66" i="29"/>
  <c r="Y18" i="29"/>
  <c r="Y142" i="29"/>
  <c r="Y138" i="29"/>
  <c r="Y139" i="29"/>
  <c r="Y28" i="29"/>
  <c r="Y40" i="29"/>
  <c r="Y59" i="29"/>
  <c r="Y146" i="29"/>
  <c r="E9" i="29"/>
  <c r="U9" i="29" s="1"/>
  <c r="V13" i="29"/>
  <c r="AB16" i="29"/>
  <c r="X19" i="29"/>
  <c r="AB34" i="29"/>
  <c r="E38" i="29"/>
  <c r="U38" i="29" s="1"/>
  <c r="V48" i="29"/>
  <c r="AB75" i="29"/>
  <c r="Z77" i="29"/>
  <c r="V80" i="29"/>
  <c r="X91" i="29"/>
  <c r="V176" i="29"/>
  <c r="E114" i="29"/>
  <c r="U114" i="29" s="1"/>
  <c r="E12" i="29"/>
  <c r="U12" i="29" s="1"/>
  <c r="X18" i="29"/>
  <c r="AB26" i="29"/>
  <c r="E33" i="29"/>
  <c r="U33" i="29" s="1"/>
  <c r="AB36" i="29"/>
  <c r="E47" i="29"/>
  <c r="U47" i="29" s="1"/>
  <c r="E54" i="29"/>
  <c r="U54" i="29" s="1"/>
  <c r="X56" i="29"/>
  <c r="X66" i="29"/>
  <c r="AB70" i="29"/>
  <c r="X78" i="29"/>
  <c r="X97" i="29"/>
  <c r="E104" i="29"/>
  <c r="U104" i="29" s="1"/>
  <c r="E13" i="29"/>
  <c r="U13" i="29" s="1"/>
  <c r="E66" i="29"/>
  <c r="U66" i="29" s="1"/>
  <c r="E58" i="29"/>
  <c r="U58" i="29" s="1"/>
  <c r="AB15" i="29"/>
  <c r="E17" i="29"/>
  <c r="U17" i="29" s="1"/>
  <c r="Z22" i="29"/>
  <c r="E45" i="29"/>
  <c r="U45" i="29" s="1"/>
  <c r="Z50" i="29"/>
  <c r="Z58" i="29"/>
  <c r="V60" i="29"/>
  <c r="Z66" i="29"/>
  <c r="Z78" i="29"/>
  <c r="Z114" i="29"/>
  <c r="K5" i="29"/>
  <c r="AB205" i="29"/>
  <c r="AB201" i="29"/>
  <c r="AB197" i="29"/>
  <c r="AB193" i="29"/>
  <c r="AB189" i="29"/>
  <c r="AB185" i="29"/>
  <c r="AB181" i="29"/>
  <c r="AB177" i="29"/>
  <c r="AB173" i="29"/>
  <c r="AB204" i="29"/>
  <c r="AB200" i="29"/>
  <c r="AB196" i="29"/>
  <c r="AB192" i="29"/>
  <c r="AB188" i="29"/>
  <c r="AB184" i="29"/>
  <c r="AB180" i="29"/>
  <c r="AB176" i="29"/>
  <c r="AB172" i="29"/>
  <c r="AB168" i="29"/>
  <c r="AB164" i="29"/>
  <c r="AB160" i="29"/>
  <c r="AB203" i="29"/>
  <c r="AB199" i="29"/>
  <c r="AB198" i="29"/>
  <c r="AB166" i="29"/>
  <c r="AB152" i="29"/>
  <c r="AB140" i="29"/>
  <c r="AB136" i="29"/>
  <c r="AB132" i="29"/>
  <c r="AB128" i="29"/>
  <c r="AB124" i="29"/>
  <c r="AB120" i="29"/>
  <c r="AB116" i="29"/>
  <c r="AB141" i="29"/>
  <c r="AB129" i="29"/>
  <c r="AB117" i="29"/>
  <c r="AB194" i="29"/>
  <c r="AB191" i="29"/>
  <c r="AB178" i="29"/>
  <c r="AB175" i="29"/>
  <c r="AB156" i="29"/>
  <c r="AB155" i="29"/>
  <c r="AB154" i="29"/>
  <c r="AB153" i="29"/>
  <c r="AB151" i="29"/>
  <c r="AB186" i="29"/>
  <c r="AB183" i="29"/>
  <c r="AB170" i="29"/>
  <c r="AB131" i="29"/>
  <c r="AB161" i="29"/>
  <c r="AB126" i="29"/>
  <c r="AB114" i="29"/>
  <c r="AB106" i="29"/>
  <c r="AB202" i="29"/>
  <c r="AB190" i="29"/>
  <c r="AB179" i="29"/>
  <c r="AB159" i="29"/>
  <c r="AB149" i="29"/>
  <c r="AB122" i="29"/>
  <c r="AB174" i="29"/>
  <c r="AB171" i="29"/>
  <c r="AB105" i="29"/>
  <c r="AB97" i="29"/>
  <c r="AB90" i="29"/>
  <c r="AB85" i="29"/>
  <c r="AB81" i="29"/>
  <c r="AB77" i="29"/>
  <c r="AB73" i="29"/>
  <c r="AB69" i="29"/>
  <c r="AB65" i="29"/>
  <c r="AB61" i="29"/>
  <c r="AB57" i="29"/>
  <c r="AB53" i="29"/>
  <c r="AB49" i="29"/>
  <c r="AB45" i="29"/>
  <c r="AB41" i="29"/>
  <c r="AB37" i="29"/>
  <c r="AB33" i="29"/>
  <c r="AB29" i="29"/>
  <c r="AB25" i="29"/>
  <c r="AB21" i="29"/>
  <c r="AB17" i="29"/>
  <c r="AB13" i="29"/>
  <c r="AB9" i="29"/>
  <c r="AB137" i="29"/>
  <c r="AB125" i="29"/>
  <c r="AB104" i="29"/>
  <c r="AB96" i="29"/>
  <c r="AB150" i="29"/>
  <c r="AB145" i="29"/>
  <c r="AB138" i="29"/>
  <c r="AB167" i="29"/>
  <c r="AB121" i="29"/>
  <c r="AB118" i="29"/>
  <c r="AB99" i="29"/>
  <c r="AB92" i="29"/>
  <c r="AB195" i="29"/>
  <c r="AB148" i="29"/>
  <c r="AB157" i="29"/>
  <c r="AB143" i="29"/>
  <c r="AB123" i="29"/>
  <c r="AB100" i="29"/>
  <c r="AB91" i="29"/>
  <c r="AB162" i="29"/>
  <c r="AB135" i="29"/>
  <c r="AB147" i="29"/>
  <c r="AB113" i="29"/>
  <c r="AB108" i="29"/>
  <c r="AB182" i="29"/>
  <c r="AB133" i="29"/>
  <c r="AB139" i="29"/>
  <c r="AB130" i="29"/>
  <c r="AB127" i="29"/>
  <c r="AB109" i="29"/>
  <c r="AB95" i="29"/>
  <c r="AB94" i="29"/>
  <c r="AB93" i="29"/>
  <c r="AB67" i="29"/>
  <c r="AB66" i="29"/>
  <c r="AB80" i="29"/>
  <c r="AB64" i="29"/>
  <c r="AB48" i="29"/>
  <c r="AB165" i="29"/>
  <c r="AB119" i="29"/>
  <c r="AB115" i="29"/>
  <c r="AB101" i="29"/>
  <c r="AB84" i="29"/>
  <c r="AB187" i="29"/>
  <c r="AB158" i="29"/>
  <c r="AB111" i="29"/>
  <c r="AB89" i="29"/>
  <c r="AB68" i="29"/>
  <c r="AB144" i="29"/>
  <c r="AB60" i="29"/>
  <c r="AB52" i="29"/>
  <c r="AB50" i="29"/>
  <c r="AB40" i="29"/>
  <c r="AB24" i="29"/>
  <c r="AB163" i="29"/>
  <c r="AB76" i="29"/>
  <c r="AB54" i="29"/>
  <c r="AB43" i="29"/>
  <c r="AB55" i="29"/>
  <c r="AB88" i="29"/>
  <c r="AB83" i="29"/>
  <c r="AB11" i="29"/>
  <c r="AB10" i="29"/>
  <c r="AB86" i="29"/>
  <c r="AB110" i="29"/>
  <c r="AB46" i="29"/>
  <c r="AB8" i="29"/>
  <c r="AB134" i="29"/>
  <c r="AB79" i="29"/>
  <c r="AB71" i="29"/>
  <c r="AB169" i="29"/>
  <c r="AB56" i="29"/>
  <c r="AB47" i="29"/>
  <c r="AB142" i="29"/>
  <c r="AB87" i="29"/>
  <c r="AB72" i="29"/>
  <c r="AB63" i="29"/>
  <c r="AB58" i="29"/>
  <c r="AB51" i="29"/>
  <c r="AB38" i="29"/>
  <c r="AB32" i="29"/>
  <c r="AB30" i="29"/>
  <c r="AB27" i="29"/>
  <c r="AB23" i="29"/>
  <c r="E81" i="29"/>
  <c r="U81" i="29" s="1"/>
  <c r="AB103" i="29"/>
  <c r="V203" i="29"/>
  <c r="V199" i="29"/>
  <c r="V195" i="29"/>
  <c r="V191" i="29"/>
  <c r="V187" i="29"/>
  <c r="V183" i="29"/>
  <c r="V179" i="29"/>
  <c r="V175" i="29"/>
  <c r="V171" i="29"/>
  <c r="V202" i="29"/>
  <c r="V198" i="29"/>
  <c r="V194" i="29"/>
  <c r="V190" i="29"/>
  <c r="V186" i="29"/>
  <c r="V182" i="29"/>
  <c r="V178" i="29"/>
  <c r="V174" i="29"/>
  <c r="V170" i="29"/>
  <c r="V166" i="29"/>
  <c r="V162" i="29"/>
  <c r="V167" i="29"/>
  <c r="V196" i="29"/>
  <c r="V159" i="29"/>
  <c r="V158" i="29"/>
  <c r="V142" i="29"/>
  <c r="V138" i="29"/>
  <c r="V134" i="29"/>
  <c r="V130" i="29"/>
  <c r="V126" i="29"/>
  <c r="V122" i="29"/>
  <c r="V118" i="29"/>
  <c r="V114" i="29"/>
  <c r="V200" i="29"/>
  <c r="V193" i="29"/>
  <c r="V180" i="29"/>
  <c r="V177" i="29"/>
  <c r="V161" i="29"/>
  <c r="V205" i="29"/>
  <c r="V144" i="29"/>
  <c r="V184" i="29"/>
  <c r="V181" i="29"/>
  <c r="V201" i="29"/>
  <c r="V165" i="29"/>
  <c r="V151" i="29"/>
  <c r="V150" i="29"/>
  <c r="V140" i="29"/>
  <c r="V168" i="29"/>
  <c r="V139" i="29"/>
  <c r="V137" i="29"/>
  <c r="V136" i="29"/>
  <c r="V133" i="29"/>
  <c r="V131" i="29"/>
  <c r="V109" i="29"/>
  <c r="V188" i="29"/>
  <c r="V197" i="29"/>
  <c r="V192" i="29"/>
  <c r="V173" i="29"/>
  <c r="V145" i="29"/>
  <c r="V127" i="29"/>
  <c r="V204" i="29"/>
  <c r="V163" i="29"/>
  <c r="V148" i="29"/>
  <c r="V132" i="29"/>
  <c r="V119" i="29"/>
  <c r="V112" i="29"/>
  <c r="V100" i="29"/>
  <c r="V93" i="29"/>
  <c r="V87" i="29"/>
  <c r="V83" i="29"/>
  <c r="V79" i="29"/>
  <c r="V75" i="29"/>
  <c r="V71" i="29"/>
  <c r="V67" i="29"/>
  <c r="V63" i="29"/>
  <c r="V59" i="29"/>
  <c r="V55" i="29"/>
  <c r="V51" i="29"/>
  <c r="V47" i="29"/>
  <c r="V43" i="29"/>
  <c r="V39" i="29"/>
  <c r="V35" i="29"/>
  <c r="V31" i="29"/>
  <c r="V27" i="29"/>
  <c r="V23" i="29"/>
  <c r="V19" i="29"/>
  <c r="V15" i="29"/>
  <c r="V11" i="29"/>
  <c r="V169" i="29"/>
  <c r="V121" i="29"/>
  <c r="V111" i="29"/>
  <c r="V185" i="29"/>
  <c r="V157" i="29"/>
  <c r="V155" i="29"/>
  <c r="V152" i="29"/>
  <c r="V135" i="29"/>
  <c r="V124" i="29"/>
  <c r="V153" i="29"/>
  <c r="V128" i="29"/>
  <c r="V103" i="29"/>
  <c r="V102" i="29"/>
  <c r="V189" i="29"/>
  <c r="V172" i="29"/>
  <c r="V156" i="29"/>
  <c r="V141" i="29"/>
  <c r="V160" i="29"/>
  <c r="V98" i="29"/>
  <c r="V88" i="29"/>
  <c r="V86" i="29"/>
  <c r="V85" i="29"/>
  <c r="V78" i="29"/>
  <c r="V154" i="29"/>
  <c r="V143" i="29"/>
  <c r="V123" i="29"/>
  <c r="V120" i="29"/>
  <c r="V116" i="29"/>
  <c r="V107" i="29"/>
  <c r="V99" i="29"/>
  <c r="V149" i="29"/>
  <c r="V147" i="29"/>
  <c r="V129" i="29"/>
  <c r="V108" i="29"/>
  <c r="V91" i="29"/>
  <c r="V73" i="29"/>
  <c r="V72" i="29"/>
  <c r="V164" i="29"/>
  <c r="V117" i="29"/>
  <c r="V113" i="29"/>
  <c r="V101" i="29"/>
  <c r="V92" i="29"/>
  <c r="V110" i="29"/>
  <c r="V65" i="29"/>
  <c r="V106" i="29"/>
  <c r="V66" i="29"/>
  <c r="V95" i="29"/>
  <c r="V57" i="29"/>
  <c r="V28" i="29"/>
  <c r="V26" i="29"/>
  <c r="V25" i="29"/>
  <c r="V18" i="29"/>
  <c r="V53" i="29"/>
  <c r="V44" i="29"/>
  <c r="V41" i="29"/>
  <c r="V34" i="29"/>
  <c r="V14" i="29"/>
  <c r="V70" i="29"/>
  <c r="V52" i="29"/>
  <c r="V36" i="29"/>
  <c r="V30" i="29"/>
  <c r="V29" i="29"/>
  <c r="V17" i="29"/>
  <c r="V16" i="29"/>
  <c r="V104" i="29"/>
  <c r="V96" i="29"/>
  <c r="V94" i="29"/>
  <c r="V90" i="29"/>
  <c r="V64" i="29"/>
  <c r="V58" i="29"/>
  <c r="V40" i="29"/>
  <c r="V38" i="29"/>
  <c r="V37" i="29"/>
  <c r="V32" i="29"/>
  <c r="V42" i="29"/>
  <c r="V33" i="29"/>
  <c r="V115" i="29"/>
  <c r="V81" i="29"/>
  <c r="V76" i="29"/>
  <c r="V68" i="29"/>
  <c r="V54" i="29"/>
  <c r="V146" i="29"/>
  <c r="V105" i="29"/>
  <c r="V82" i="29"/>
  <c r="V61" i="29"/>
  <c r="V56" i="29"/>
  <c r="X9" i="29"/>
  <c r="V12" i="29"/>
  <c r="AB18" i="29"/>
  <c r="V21" i="29"/>
  <c r="X28" i="29"/>
  <c r="Z33" i="29"/>
  <c r="Z52" i="29"/>
  <c r="Z56" i="29"/>
  <c r="Z62" i="29"/>
  <c r="V74" i="29"/>
  <c r="AB78" i="29"/>
  <c r="X84" i="29"/>
  <c r="E93" i="29"/>
  <c r="U93" i="29" s="1"/>
  <c r="E115" i="29"/>
  <c r="U115" i="29" s="1"/>
  <c r="Z202" i="29"/>
  <c r="Z198" i="29"/>
  <c r="Z194" i="29"/>
  <c r="Z190" i="29"/>
  <c r="Z186" i="29"/>
  <c r="Z182" i="29"/>
  <c r="Z178" i="29"/>
  <c r="Z174" i="29"/>
  <c r="Z170" i="29"/>
  <c r="Z166" i="29"/>
  <c r="Z162" i="29"/>
  <c r="Z158" i="29"/>
  <c r="Z154" i="29"/>
  <c r="Z205" i="29"/>
  <c r="Z201" i="29"/>
  <c r="Z197" i="29"/>
  <c r="Z193" i="29"/>
  <c r="Z189" i="29"/>
  <c r="Z185" i="29"/>
  <c r="Z181" i="29"/>
  <c r="Z177" i="29"/>
  <c r="Z173" i="29"/>
  <c r="Z169" i="29"/>
  <c r="Z165" i="29"/>
  <c r="Z161" i="29"/>
  <c r="Z157" i="29"/>
  <c r="Z153" i="29"/>
  <c r="Z149" i="29"/>
  <c r="Z145" i="29"/>
  <c r="Z196" i="29"/>
  <c r="Z195" i="29"/>
  <c r="Z188" i="29"/>
  <c r="Z187" i="29"/>
  <c r="Z180" i="29"/>
  <c r="Z179" i="29"/>
  <c r="Z172" i="29"/>
  <c r="Z171" i="29"/>
  <c r="Z204" i="29"/>
  <c r="Z203" i="29"/>
  <c r="Z184" i="29"/>
  <c r="Z168" i="29"/>
  <c r="Z163" i="29"/>
  <c r="Z142" i="29"/>
  <c r="Z130" i="29"/>
  <c r="Z118" i="29"/>
  <c r="Z112" i="29"/>
  <c r="Z108" i="29"/>
  <c r="Z104" i="29"/>
  <c r="Z207" i="29"/>
  <c r="Z191" i="29"/>
  <c r="Z160" i="29"/>
  <c r="Z147" i="29"/>
  <c r="Z146" i="29"/>
  <c r="Z132" i="29"/>
  <c r="Z152" i="29"/>
  <c r="Z107" i="29"/>
  <c r="Z101" i="29"/>
  <c r="Z97" i="29"/>
  <c r="Z93" i="29"/>
  <c r="Z89" i="29"/>
  <c r="Z192" i="29"/>
  <c r="Z175" i="29"/>
  <c r="Z156" i="29"/>
  <c r="Z148" i="29"/>
  <c r="Z125" i="29"/>
  <c r="Z124" i="29"/>
  <c r="Z123" i="29"/>
  <c r="Z159" i="29"/>
  <c r="Z135" i="29"/>
  <c r="Z134" i="29"/>
  <c r="Z109" i="29"/>
  <c r="Z98" i="29"/>
  <c r="Z91" i="29"/>
  <c r="Z136" i="29"/>
  <c r="Z106" i="29"/>
  <c r="Z155" i="29"/>
  <c r="Z200" i="29"/>
  <c r="Z176" i="29"/>
  <c r="Z137" i="29"/>
  <c r="Z151" i="29"/>
  <c r="Z131" i="29"/>
  <c r="Z116" i="29"/>
  <c r="Z115" i="29"/>
  <c r="Z100" i="29"/>
  <c r="Z87" i="29"/>
  <c r="Z83" i="29"/>
  <c r="Z79" i="29"/>
  <c r="Z75" i="29"/>
  <c r="Z71" i="29"/>
  <c r="Z67" i="29"/>
  <c r="Z63" i="29"/>
  <c r="Z59" i="29"/>
  <c r="Z55" i="29"/>
  <c r="Z51" i="29"/>
  <c r="Z47" i="29"/>
  <c r="Z43" i="29"/>
  <c r="Z39" i="29"/>
  <c r="Z35" i="29"/>
  <c r="Z31" i="29"/>
  <c r="Z27" i="29"/>
  <c r="Z23" i="29"/>
  <c r="Z19" i="29"/>
  <c r="Z15" i="29"/>
  <c r="Z11" i="29"/>
  <c r="Z167" i="29"/>
  <c r="Z143" i="29"/>
  <c r="Z199" i="29"/>
  <c r="Z183" i="29"/>
  <c r="Z120" i="29"/>
  <c r="Z99" i="29"/>
  <c r="Z74" i="29"/>
  <c r="Z73" i="29"/>
  <c r="Z138" i="29"/>
  <c r="Z164" i="29"/>
  <c r="Z129" i="29"/>
  <c r="Z117" i="29"/>
  <c r="Z113" i="29"/>
  <c r="Z121" i="29"/>
  <c r="Z68" i="29"/>
  <c r="Z141" i="29"/>
  <c r="Z139" i="29"/>
  <c r="Z133" i="29"/>
  <c r="Z127" i="29"/>
  <c r="Z103" i="29"/>
  <c r="Z128" i="29"/>
  <c r="Z88" i="29"/>
  <c r="Z72" i="29"/>
  <c r="Z119" i="29"/>
  <c r="Z80" i="29"/>
  <c r="Z150" i="29"/>
  <c r="Z111" i="29"/>
  <c r="Z92" i="29"/>
  <c r="Z84" i="29"/>
  <c r="Z49" i="29"/>
  <c r="Z48" i="29"/>
  <c r="Z46" i="29"/>
  <c r="Z144" i="29"/>
  <c r="Z96" i="29"/>
  <c r="Z102" i="29"/>
  <c r="Z94" i="29"/>
  <c r="Z90" i="29"/>
  <c r="Z81" i="29"/>
  <c r="Z70" i="29"/>
  <c r="Z53" i="29"/>
  <c r="Z42" i="29"/>
  <c r="Z34" i="29"/>
  <c r="Z14" i="29"/>
  <c r="Z13" i="29"/>
  <c r="Z10" i="29"/>
  <c r="Z44" i="29"/>
  <c r="Z12" i="29"/>
  <c r="Z9" i="29"/>
  <c r="Z76" i="29"/>
  <c r="Z65" i="29"/>
  <c r="Z60" i="29"/>
  <c r="Z54" i="29"/>
  <c r="Z45" i="29"/>
  <c r="Z126" i="29"/>
  <c r="Z110" i="29"/>
  <c r="Z122" i="29"/>
  <c r="Z26" i="29"/>
  <c r="Z18" i="29"/>
  <c r="Z17" i="29"/>
  <c r="J4" i="29"/>
  <c r="AB12" i="29"/>
  <c r="X17" i="29"/>
  <c r="AB22" i="29"/>
  <c r="X25" i="29"/>
  <c r="Z28" i="29"/>
  <c r="AB35" i="29"/>
  <c r="E37" i="29"/>
  <c r="U37" i="29" s="1"/>
  <c r="E41" i="29"/>
  <c r="U41" i="29" s="1"/>
  <c r="X74" i="29"/>
  <c r="E85" i="29"/>
  <c r="U85" i="29" s="1"/>
  <c r="E90" i="29"/>
  <c r="U90" i="29" s="1"/>
  <c r="AB98" i="29"/>
  <c r="AB107" i="29"/>
  <c r="P4" i="29"/>
  <c r="V8" i="29"/>
  <c r="Y21" i="29"/>
  <c r="Z25" i="29"/>
  <c r="C207" i="29"/>
  <c r="L210" i="29" s="1"/>
  <c r="E27" i="29"/>
  <c r="AB28" i="29"/>
  <c r="V45" i="29"/>
  <c r="X47" i="29"/>
  <c r="V49" i="29"/>
  <c r="AB62" i="29"/>
  <c r="Z64" i="29"/>
  <c r="V69" i="29"/>
  <c r="E79" i="29"/>
  <c r="U79" i="29" s="1"/>
  <c r="Z82" i="29"/>
  <c r="X111" i="29"/>
  <c r="E53" i="29"/>
  <c r="U53" i="29" s="1"/>
  <c r="E73" i="29"/>
  <c r="U73" i="29" s="1"/>
  <c r="AB19" i="29"/>
  <c r="AB42" i="29"/>
  <c r="AB44" i="29"/>
  <c r="X8" i="29"/>
  <c r="Z21" i="29"/>
  <c r="V24" i="29"/>
  <c r="Z30" i="29"/>
  <c r="Y37" i="29"/>
  <c r="Z41" i="29"/>
  <c r="E55" i="29"/>
  <c r="U55" i="29" s="1"/>
  <c r="Z69" i="29"/>
  <c r="AB74" i="29"/>
  <c r="Z85" i="29"/>
  <c r="X93" i="29"/>
  <c r="X131" i="29"/>
  <c r="Z140" i="29"/>
  <c r="U202" i="29"/>
  <c r="U137" i="29"/>
  <c r="U130" i="29"/>
  <c r="U150" i="29"/>
  <c r="U141" i="29"/>
  <c r="AC15" i="29"/>
  <c r="AC31" i="29"/>
  <c r="AC33" i="29"/>
  <c r="AC35" i="29"/>
  <c r="AC39" i="29"/>
  <c r="AC40" i="29"/>
  <c r="U80" i="29"/>
  <c r="U89" i="29"/>
  <c r="AC119" i="29"/>
  <c r="E101" i="29"/>
  <c r="U101" i="29" s="1"/>
  <c r="U107" i="29"/>
  <c r="U112" i="29"/>
  <c r="U125" i="29"/>
  <c r="E133" i="29"/>
  <c r="U133" i="29" s="1"/>
  <c r="U136" i="29"/>
  <c r="AC142" i="29"/>
  <c r="E29" i="29"/>
  <c r="U29" i="29" s="1"/>
  <c r="E96" i="29"/>
  <c r="U96" i="29" s="1"/>
  <c r="E185" i="29"/>
  <c r="U185" i="29" s="1"/>
  <c r="D207" i="29"/>
  <c r="P208" i="29" s="1"/>
  <c r="AC77" i="29"/>
  <c r="AC115" i="29"/>
  <c r="N5" i="29"/>
  <c r="E21" i="29"/>
  <c r="U21" i="29" s="1"/>
  <c r="AC55" i="29"/>
  <c r="E57" i="29"/>
  <c r="U57" i="29" s="1"/>
  <c r="AC79" i="29"/>
  <c r="E121" i="29"/>
  <c r="U121" i="29" s="1"/>
  <c r="AC201" i="29"/>
  <c r="AC193" i="29"/>
  <c r="AC189" i="29"/>
  <c r="AC185" i="29"/>
  <c r="AC181" i="29"/>
  <c r="AC177" i="29"/>
  <c r="AC173" i="29"/>
  <c r="AC169" i="29"/>
  <c r="AC161" i="29"/>
  <c r="AC204" i="29"/>
  <c r="AC196" i="29"/>
  <c r="AC192" i="29"/>
  <c r="AC188" i="29"/>
  <c r="AC184" i="29"/>
  <c r="AC180" i="29"/>
  <c r="AC176" i="29"/>
  <c r="AC172" i="29"/>
  <c r="AC164" i="29"/>
  <c r="AC156" i="29"/>
  <c r="AC148" i="29"/>
  <c r="AC144" i="29"/>
  <c r="AC199" i="29"/>
  <c r="AC198" i="29"/>
  <c r="AC145" i="29"/>
  <c r="AC194" i="29"/>
  <c r="AC191" i="29"/>
  <c r="AC175" i="29"/>
  <c r="AC154" i="29"/>
  <c r="AC151" i="29"/>
  <c r="AC111" i="29"/>
  <c r="AC107" i="29"/>
  <c r="AC103" i="29"/>
  <c r="AC150" i="29"/>
  <c r="AC202" i="29"/>
  <c r="AC167" i="29"/>
  <c r="AC137" i="29"/>
  <c r="AC166" i="29"/>
  <c r="AC146" i="29"/>
  <c r="AC125" i="29"/>
  <c r="AC113" i="29"/>
  <c r="AC100" i="29"/>
  <c r="AC96" i="29"/>
  <c r="AC92" i="29"/>
  <c r="AC88" i="29"/>
  <c r="AC183" i="29"/>
  <c r="AC121" i="29"/>
  <c r="AC149" i="29"/>
  <c r="AC104" i="29"/>
  <c r="AC139" i="29"/>
  <c r="AC127" i="29"/>
  <c r="AC89" i="29"/>
  <c r="AC187" i="29"/>
  <c r="AC182" i="29"/>
  <c r="AC128" i="29"/>
  <c r="AC133" i="29"/>
  <c r="AC122" i="29"/>
  <c r="AC120" i="29"/>
  <c r="AC110" i="29"/>
  <c r="AC86" i="29"/>
  <c r="AC82" i="29"/>
  <c r="AC78" i="29"/>
  <c r="AC74" i="29"/>
  <c r="AC66" i="29"/>
  <c r="AC58" i="29"/>
  <c r="AC50" i="29"/>
  <c r="AC46" i="29"/>
  <c r="AC42" i="29"/>
  <c r="AC38" i="29"/>
  <c r="AC34" i="29"/>
  <c r="AC30" i="29"/>
  <c r="AC26" i="29"/>
  <c r="AC18" i="29"/>
  <c r="AC10" i="29"/>
  <c r="AC203" i="29"/>
  <c r="AC162" i="29"/>
  <c r="AC138" i="29"/>
  <c r="AC135" i="29"/>
  <c r="AC126" i="29"/>
  <c r="AC102" i="29"/>
  <c r="AC101" i="29"/>
  <c r="AC170" i="29"/>
  <c r="AC159" i="29"/>
  <c r="AC130" i="29"/>
  <c r="AC109" i="29"/>
  <c r="AC80" i="29"/>
  <c r="AC65" i="29"/>
  <c r="AC64" i="29"/>
  <c r="AC136" i="29"/>
  <c r="AC124" i="29"/>
  <c r="AC114" i="29"/>
  <c r="AC158" i="29"/>
  <c r="AC73" i="29"/>
  <c r="AC60" i="29"/>
  <c r="AC123" i="29"/>
  <c r="AC99" i="29"/>
  <c r="AC61" i="29"/>
  <c r="AC56" i="29"/>
  <c r="AC53" i="29"/>
  <c r="AC134" i="29"/>
  <c r="E83" i="29"/>
  <c r="U83" i="29" s="1"/>
  <c r="O5" i="29"/>
  <c r="AC8" i="29"/>
  <c r="AC9" i="29"/>
  <c r="E49" i="29"/>
  <c r="U49" i="29" s="1"/>
  <c r="E69" i="29"/>
  <c r="U69" i="29" s="1"/>
  <c r="E92" i="29"/>
  <c r="U92" i="29" s="1"/>
  <c r="U98" i="29"/>
  <c r="E127" i="29"/>
  <c r="U127" i="29" s="1"/>
  <c r="U152" i="29"/>
  <c r="E181" i="29"/>
  <c r="U181" i="29" s="1"/>
  <c r="E25" i="29"/>
  <c r="U25" i="29" s="1"/>
  <c r="AC47" i="29"/>
  <c r="AC97" i="29"/>
  <c r="E156" i="29"/>
  <c r="U156" i="29" s="1"/>
  <c r="AC11" i="29"/>
  <c r="E20" i="29"/>
  <c r="U20" i="29" s="1"/>
  <c r="AC45" i="29"/>
  <c r="E74" i="29"/>
  <c r="U74" i="29" s="1"/>
  <c r="U78" i="29"/>
  <c r="AC106" i="29"/>
  <c r="E153" i="29"/>
  <c r="U153" i="29" s="1"/>
  <c r="U189" i="29"/>
  <c r="E139" i="29"/>
  <c r="U139" i="29" s="1"/>
  <c r="U113" i="29"/>
  <c r="U117" i="29"/>
  <c r="E94" i="29"/>
  <c r="U94" i="29" s="1"/>
  <c r="U128" i="29"/>
  <c r="E197" i="29"/>
  <c r="U197" i="29" s="1"/>
  <c r="E91" i="29"/>
  <c r="U91" i="29" s="1"/>
  <c r="E103" i="29"/>
  <c r="U103" i="29" s="1"/>
  <c r="U126" i="29"/>
  <c r="U145" i="29"/>
  <c r="U148" i="29"/>
  <c r="E155" i="29"/>
  <c r="U155" i="29" s="1"/>
  <c r="E82" i="29"/>
  <c r="U82" i="29" s="1"/>
  <c r="E99" i="29"/>
  <c r="U99" i="29" s="1"/>
  <c r="E135" i="29"/>
  <c r="U135" i="29" s="1"/>
  <c r="U173" i="29"/>
  <c r="E61" i="29"/>
  <c r="U61" i="29" s="1"/>
  <c r="E77" i="29"/>
  <c r="U77" i="29" s="1"/>
  <c r="U116" i="29"/>
  <c r="U120" i="29"/>
  <c r="U132" i="29"/>
  <c r="U138" i="29"/>
  <c r="U154" i="29"/>
  <c r="E123" i="29"/>
  <c r="U123" i="29" s="1"/>
  <c r="E140" i="29"/>
  <c r="U140" i="29" s="1"/>
  <c r="U162" i="29"/>
  <c r="E168" i="29"/>
  <c r="U168" i="29" s="1"/>
  <c r="E179" i="29"/>
  <c r="U179" i="29" s="1"/>
  <c r="E110" i="29"/>
  <c r="U110" i="29" s="1"/>
  <c r="E146" i="29"/>
  <c r="U146" i="29" s="1"/>
  <c r="U178" i="29"/>
  <c r="E106" i="29"/>
  <c r="U106" i="29" s="1"/>
  <c r="U157" i="29"/>
  <c r="E169" i="29"/>
  <c r="U169" i="29" s="1"/>
  <c r="E143" i="29"/>
  <c r="U143" i="29" s="1"/>
  <c r="E163" i="29"/>
  <c r="U163" i="29" s="1"/>
  <c r="E171" i="29"/>
  <c r="U171" i="29" s="1"/>
  <c r="E174" i="29"/>
  <c r="U174" i="29" s="1"/>
  <c r="E188" i="29"/>
  <c r="U188" i="29" s="1"/>
  <c r="U194" i="29"/>
  <c r="I210" i="29"/>
  <c r="U119" i="29"/>
  <c r="U161" i="29"/>
  <c r="U165" i="29"/>
  <c r="E95" i="29"/>
  <c r="U95" i="29" s="1"/>
  <c r="E129" i="29"/>
  <c r="U129" i="29" s="1"/>
  <c r="U177" i="29"/>
  <c r="E167" i="29"/>
  <c r="U167" i="29" s="1"/>
  <c r="E199" i="29"/>
  <c r="U199" i="29" s="1"/>
  <c r="U201" i="29"/>
  <c r="E151" i="29"/>
  <c r="U151" i="29" s="1"/>
  <c r="U166" i="29"/>
  <c r="E172" i="29"/>
  <c r="U172" i="29" s="1"/>
  <c r="E182" i="29"/>
  <c r="U182" i="29" s="1"/>
  <c r="E184" i="29"/>
  <c r="U184" i="29" s="1"/>
  <c r="E195" i="29"/>
  <c r="U195" i="29" s="1"/>
  <c r="U170" i="29"/>
  <c r="E175" i="29"/>
  <c r="U175" i="29" s="1"/>
  <c r="E191" i="29"/>
  <c r="U191" i="29" s="1"/>
  <c r="E187" i="29"/>
  <c r="U187" i="29" s="1"/>
  <c r="E190" i="29"/>
  <c r="U190" i="29" s="1"/>
  <c r="E196" i="29"/>
  <c r="U196" i="29" s="1"/>
  <c r="J210" i="29"/>
  <c r="E180" i="29"/>
  <c r="U180" i="29" s="1"/>
  <c r="E198" i="29"/>
  <c r="U198" i="29" s="1"/>
  <c r="E200" i="29"/>
  <c r="U200" i="29" s="1"/>
  <c r="K210" i="29"/>
  <c r="E147" i="29"/>
  <c r="U147" i="29" s="1"/>
  <c r="E183" i="29"/>
  <c r="U183" i="29" s="1"/>
  <c r="E203" i="29"/>
  <c r="U203" i="29" s="1"/>
  <c r="U205" i="29"/>
  <c r="U193" i="29"/>
  <c r="M208" i="29"/>
  <c r="E159" i="29"/>
  <c r="U159" i="29" s="1"/>
  <c r="E176" i="29"/>
  <c r="U176" i="29" s="1"/>
  <c r="E186" i="29"/>
  <c r="U186" i="29" s="1"/>
  <c r="E192" i="29"/>
  <c r="U192" i="29" s="1"/>
  <c r="L208" i="29"/>
  <c r="AB207" i="29"/>
  <c r="P210" i="29"/>
  <c r="E164" i="29"/>
  <c r="U164" i="29" s="1"/>
  <c r="V207" i="29"/>
  <c r="F208" i="29"/>
  <c r="F209" i="29" s="1"/>
  <c r="R208" i="29"/>
  <c r="F210" i="29"/>
  <c r="E160" i="29"/>
  <c r="U160" i="29" s="1"/>
  <c r="AA207" i="29"/>
  <c r="H210" i="29"/>
  <c r="E204" i="29"/>
  <c r="U204" i="29" s="1"/>
  <c r="E178" i="27"/>
  <c r="E204" i="27"/>
  <c r="E57" i="27"/>
  <c r="U57" i="27" s="1"/>
  <c r="U53" i="27"/>
  <c r="U94" i="27"/>
  <c r="E152" i="27"/>
  <c r="U152" i="27" s="1"/>
  <c r="Y90" i="27"/>
  <c r="Y31" i="27"/>
  <c r="Y35" i="27"/>
  <c r="E45" i="27"/>
  <c r="U45" i="27" s="1"/>
  <c r="Y62" i="27"/>
  <c r="U95" i="27"/>
  <c r="Y38" i="27"/>
  <c r="U9" i="27"/>
  <c r="E13" i="27"/>
  <c r="U13" i="27" s="1"/>
  <c r="U54" i="27"/>
  <c r="Y70" i="27"/>
  <c r="E179" i="27"/>
  <c r="U179" i="27" s="1"/>
  <c r="Y82" i="27"/>
  <c r="U50" i="27"/>
  <c r="U75" i="27"/>
  <c r="U105" i="27"/>
  <c r="E203" i="27"/>
  <c r="U203" i="27" s="1"/>
  <c r="E123" i="27"/>
  <c r="U123" i="27" s="1"/>
  <c r="E48" i="27"/>
  <c r="U48" i="27" s="1"/>
  <c r="E52" i="27"/>
  <c r="U52" i="27" s="1"/>
  <c r="U93" i="27"/>
  <c r="E12" i="27"/>
  <c r="U12" i="27" s="1"/>
  <c r="U22" i="27"/>
  <c r="Y44" i="27"/>
  <c r="U78" i="27"/>
  <c r="E136" i="27"/>
  <c r="U136" i="27" s="1"/>
  <c r="Y109" i="27"/>
  <c r="U14" i="27"/>
  <c r="Y9" i="27"/>
  <c r="E10" i="27"/>
  <c r="U10" i="27" s="1"/>
  <c r="Y59" i="27"/>
  <c r="Y87" i="27"/>
  <c r="E96" i="27"/>
  <c r="U96" i="27" s="1"/>
  <c r="E181" i="27"/>
  <c r="E11" i="27"/>
  <c r="U11" i="27" s="1"/>
  <c r="U178" i="27"/>
  <c r="E25" i="27"/>
  <c r="U25" i="27" s="1"/>
  <c r="U32" i="27"/>
  <c r="U46" i="27"/>
  <c r="Y50" i="27"/>
  <c r="U55" i="27"/>
  <c r="U68" i="27"/>
  <c r="U83" i="27"/>
  <c r="Y121" i="27"/>
  <c r="Y10" i="27"/>
  <c r="Y28" i="27"/>
  <c r="E47" i="27"/>
  <c r="U47" i="27" s="1"/>
  <c r="E56" i="27"/>
  <c r="U56" i="27" s="1"/>
  <c r="E64" i="27"/>
  <c r="U64" i="27" s="1"/>
  <c r="Y68" i="27"/>
  <c r="E97" i="27"/>
  <c r="U97" i="27" s="1"/>
  <c r="E150" i="27"/>
  <c r="U150" i="27" s="1"/>
  <c r="E166" i="27"/>
  <c r="U166" i="27" s="1"/>
  <c r="E182" i="27"/>
  <c r="U182" i="27" s="1"/>
  <c r="E197" i="27"/>
  <c r="H4" i="27"/>
  <c r="H5" i="27"/>
  <c r="E39" i="27"/>
  <c r="U39" i="27" s="1"/>
  <c r="E116" i="27"/>
  <c r="U116" i="27" s="1"/>
  <c r="E126" i="27"/>
  <c r="U126" i="27" s="1"/>
  <c r="Y133" i="27"/>
  <c r="E145" i="27"/>
  <c r="U145" i="27" s="1"/>
  <c r="Y149" i="27"/>
  <c r="Y178" i="27"/>
  <c r="E20" i="27"/>
  <c r="U20" i="27" s="1"/>
  <c r="E142" i="27"/>
  <c r="U142" i="27" s="1"/>
  <c r="E101" i="27"/>
  <c r="U101" i="27" s="1"/>
  <c r="F5" i="27"/>
  <c r="F4" i="27"/>
  <c r="G5" i="27"/>
  <c r="W205" i="27" s="1"/>
  <c r="E16" i="27"/>
  <c r="U16" i="27" s="1"/>
  <c r="E104" i="27"/>
  <c r="U104" i="27" s="1"/>
  <c r="Y107" i="27"/>
  <c r="Y113" i="27"/>
  <c r="E29" i="27"/>
  <c r="U29" i="27" s="1"/>
  <c r="E122" i="27"/>
  <c r="U122" i="27" s="1"/>
  <c r="Y18" i="27"/>
  <c r="E21" i="27"/>
  <c r="U21" i="27" s="1"/>
  <c r="E30" i="27"/>
  <c r="U30" i="27" s="1"/>
  <c r="E66" i="27"/>
  <c r="U66" i="27" s="1"/>
  <c r="Y71" i="27"/>
  <c r="E81" i="27"/>
  <c r="U81" i="27" s="1"/>
  <c r="Y83" i="27"/>
  <c r="E108" i="27"/>
  <c r="U108" i="27" s="1"/>
  <c r="E114" i="27"/>
  <c r="U114" i="27" s="1"/>
  <c r="Y138" i="27"/>
  <c r="E44" i="27"/>
  <c r="U44" i="27" s="1"/>
  <c r="E60" i="27"/>
  <c r="U60" i="27" s="1"/>
  <c r="E23" i="27"/>
  <c r="U23" i="27" s="1"/>
  <c r="E28" i="27"/>
  <c r="U28" i="27" s="1"/>
  <c r="E139" i="27"/>
  <c r="U139" i="27" s="1"/>
  <c r="E147" i="27"/>
  <c r="U147" i="27" s="1"/>
  <c r="E36" i="27"/>
  <c r="U36" i="27" s="1"/>
  <c r="Y203" i="27"/>
  <c r="Y199" i="27"/>
  <c r="Y195" i="27"/>
  <c r="Y191" i="27"/>
  <c r="Y187" i="27"/>
  <c r="Y183" i="27"/>
  <c r="Y179" i="27"/>
  <c r="Y175" i="27"/>
  <c r="Y171" i="27"/>
  <c r="Y167" i="27"/>
  <c r="Y163" i="27"/>
  <c r="Y159" i="27"/>
  <c r="Y155" i="27"/>
  <c r="Y151" i="27"/>
  <c r="Y147" i="27"/>
  <c r="Y143" i="27"/>
  <c r="Y139" i="27"/>
  <c r="Y135" i="27"/>
  <c r="Y131" i="27"/>
  <c r="Y127" i="27"/>
  <c r="Y123" i="27"/>
  <c r="Y119" i="27"/>
  <c r="Y204" i="27"/>
  <c r="Y200" i="27"/>
  <c r="Y196" i="27"/>
  <c r="Y192" i="27"/>
  <c r="Y188" i="27"/>
  <c r="Y184" i="27"/>
  <c r="Y180" i="27"/>
  <c r="Y176" i="27"/>
  <c r="Y172" i="27"/>
  <c r="Y168" i="27"/>
  <c r="Y164" i="27"/>
  <c r="Y160" i="27"/>
  <c r="Y156" i="27"/>
  <c r="Y152" i="27"/>
  <c r="Y148" i="27"/>
  <c r="Y144" i="27"/>
  <c r="Y140" i="27"/>
  <c r="Y136" i="27"/>
  <c r="Y132" i="27"/>
  <c r="Y193" i="27"/>
  <c r="Y182" i="27"/>
  <c r="Y169" i="27"/>
  <c r="Y198" i="27"/>
  <c r="Y185" i="27"/>
  <c r="Y194" i="27"/>
  <c r="Y181" i="27"/>
  <c r="Y201" i="27"/>
  <c r="Y190" i="27"/>
  <c r="Y129" i="27"/>
  <c r="Y114" i="27"/>
  <c r="Y106" i="27"/>
  <c r="Y97" i="27"/>
  <c r="Y93" i="27"/>
  <c r="Y89" i="27"/>
  <c r="Y85" i="27"/>
  <c r="Y81" i="27"/>
  <c r="Y77" i="27"/>
  <c r="Y73" i="27"/>
  <c r="Y69" i="27"/>
  <c r="Y65" i="27"/>
  <c r="Y61" i="27"/>
  <c r="Y57" i="27"/>
  <c r="Y53" i="27"/>
  <c r="Y49" i="27"/>
  <c r="Y45" i="27"/>
  <c r="Y41" i="27"/>
  <c r="Y37" i="27"/>
  <c r="Y170" i="27"/>
  <c r="Y161" i="27"/>
  <c r="Y154" i="27"/>
  <c r="Y150" i="27"/>
  <c r="Y141" i="27"/>
  <c r="Y118" i="27"/>
  <c r="Y145" i="27"/>
  <c r="Y125" i="27"/>
  <c r="Y116" i="27"/>
  <c r="Y111" i="27"/>
  <c r="Y104" i="27"/>
  <c r="Y78" i="27"/>
  <c r="Y54" i="27"/>
  <c r="Y33" i="27"/>
  <c r="Y29" i="27"/>
  <c r="Y25" i="27"/>
  <c r="Y21" i="27"/>
  <c r="Y17" i="27"/>
  <c r="Y13" i="27"/>
  <c r="Y197" i="27"/>
  <c r="Y177" i="27"/>
  <c r="Y165" i="27"/>
  <c r="Y207" i="27"/>
  <c r="Y162" i="27"/>
  <c r="Y158" i="27"/>
  <c r="Y134" i="27"/>
  <c r="Y103" i="27"/>
  <c r="Y98" i="27"/>
  <c r="Y95" i="27"/>
  <c r="Y22" i="27"/>
  <c r="Y12" i="27"/>
  <c r="Y8" i="27"/>
  <c r="Y124" i="27"/>
  <c r="Y120" i="27"/>
  <c r="Y174" i="27"/>
  <c r="Y166" i="27"/>
  <c r="Y101" i="27"/>
  <c r="Y51" i="27"/>
  <c r="Y42" i="27"/>
  <c r="Y39" i="27"/>
  <c r="Y36" i="27"/>
  <c r="Y19" i="27"/>
  <c r="Y137" i="27"/>
  <c r="Y112" i="27"/>
  <c r="Y75" i="27"/>
  <c r="Y66" i="27"/>
  <c r="Y63" i="27"/>
  <c r="Y60" i="27"/>
  <c r="Y48" i="27"/>
  <c r="Y26" i="27"/>
  <c r="Y202" i="27"/>
  <c r="Y189" i="27"/>
  <c r="Y173" i="27"/>
  <c r="Y122" i="27"/>
  <c r="Y110" i="27"/>
  <c r="Y96" i="27"/>
  <c r="Y108" i="27"/>
  <c r="Y43" i="27"/>
  <c r="Y27" i="27"/>
  <c r="Y20" i="27"/>
  <c r="Y142" i="27"/>
  <c r="Y128" i="27"/>
  <c r="Y126" i="27"/>
  <c r="Y67" i="27"/>
  <c r="Y58" i="27"/>
  <c r="Y55" i="27"/>
  <c r="Y52" i="27"/>
  <c r="Y46" i="27"/>
  <c r="Y40" i="27"/>
  <c r="Y34" i="27"/>
  <c r="Y157" i="27"/>
  <c r="Y153" i="27"/>
  <c r="Y115" i="27"/>
  <c r="Y100" i="27"/>
  <c r="Y94" i="27"/>
  <c r="Y88" i="27"/>
  <c r="Y14" i="27"/>
  <c r="Y16" i="27"/>
  <c r="Y32" i="27"/>
  <c r="E99" i="27"/>
  <c r="U99" i="27" s="1"/>
  <c r="Y130" i="27"/>
  <c r="Y23" i="27"/>
  <c r="Y30" i="27"/>
  <c r="E35" i="27"/>
  <c r="U35" i="27" s="1"/>
  <c r="E40" i="27"/>
  <c r="U40" i="27" s="1"/>
  <c r="Y56" i="27"/>
  <c r="Y76" i="27"/>
  <c r="Y86" i="27"/>
  <c r="E38" i="27"/>
  <c r="U38" i="27" s="1"/>
  <c r="E43" i="27"/>
  <c r="U43" i="27" s="1"/>
  <c r="Y74" i="27"/>
  <c r="Y91" i="27"/>
  <c r="E140" i="27"/>
  <c r="U140" i="27" s="1"/>
  <c r="E171" i="27"/>
  <c r="U171" i="27" s="1"/>
  <c r="E90" i="27"/>
  <c r="U90" i="27" s="1"/>
  <c r="D205" i="27"/>
  <c r="D208" i="27"/>
  <c r="N209" i="27" s="1"/>
  <c r="E8" i="27"/>
  <c r="E26" i="27"/>
  <c r="U26" i="27" s="1"/>
  <c r="E41" i="27"/>
  <c r="U41" i="27" s="1"/>
  <c r="Y64" i="27"/>
  <c r="Y79" i="27"/>
  <c r="Y84" i="27"/>
  <c r="E87" i="27"/>
  <c r="U87" i="27" s="1"/>
  <c r="Y99" i="27"/>
  <c r="Y105" i="27"/>
  <c r="Y117" i="27"/>
  <c r="Y186" i="27"/>
  <c r="E196" i="27"/>
  <c r="U196" i="27" s="1"/>
  <c r="C205" i="27"/>
  <c r="L211" i="27" s="1"/>
  <c r="E106" i="27"/>
  <c r="U106" i="27" s="1"/>
  <c r="E131" i="27"/>
  <c r="U131" i="27" s="1"/>
  <c r="E154" i="27"/>
  <c r="U154" i="27" s="1"/>
  <c r="U63" i="27"/>
  <c r="E120" i="27"/>
  <c r="U120" i="27" s="1"/>
  <c r="U134" i="27"/>
  <c r="U137" i="27"/>
  <c r="U168" i="27"/>
  <c r="U202" i="27"/>
  <c r="U19" i="27"/>
  <c r="E177" i="27"/>
  <c r="U177" i="27" s="1"/>
  <c r="U184" i="27"/>
  <c r="E109" i="27"/>
  <c r="U109" i="27" s="1"/>
  <c r="E132" i="27"/>
  <c r="U132" i="27" s="1"/>
  <c r="U158" i="27"/>
  <c r="E162" i="27"/>
  <c r="U162" i="27" s="1"/>
  <c r="E169" i="27"/>
  <c r="U169" i="27" s="1"/>
  <c r="U181" i="27"/>
  <c r="E199" i="27"/>
  <c r="U199" i="27" s="1"/>
  <c r="E107" i="27"/>
  <c r="U107" i="27" s="1"/>
  <c r="U121" i="27"/>
  <c r="E125" i="27"/>
  <c r="U125" i="27" s="1"/>
  <c r="E127" i="27"/>
  <c r="U127" i="27" s="1"/>
  <c r="U143" i="27"/>
  <c r="E135" i="27"/>
  <c r="U135" i="27" s="1"/>
  <c r="E149" i="27"/>
  <c r="U149" i="27" s="1"/>
  <c r="E115" i="27"/>
  <c r="U115" i="27" s="1"/>
  <c r="E130" i="27"/>
  <c r="U130" i="27" s="1"/>
  <c r="E138" i="27"/>
  <c r="U138" i="27" s="1"/>
  <c r="E156" i="27"/>
  <c r="U156" i="27" s="1"/>
  <c r="E174" i="27"/>
  <c r="U174" i="27" s="1"/>
  <c r="U193" i="27"/>
  <c r="U189" i="27"/>
  <c r="U185" i="27"/>
  <c r="U197" i="27"/>
  <c r="U190" i="27"/>
  <c r="E100" i="27"/>
  <c r="U100" i="27" s="1"/>
  <c r="E102" i="27"/>
  <c r="U102" i="27" s="1"/>
  <c r="E111" i="27"/>
  <c r="U111" i="27" s="1"/>
  <c r="U133" i="27"/>
  <c r="E165" i="27"/>
  <c r="U165" i="27" s="1"/>
  <c r="E172" i="27"/>
  <c r="U172" i="27" s="1"/>
  <c r="E188" i="27"/>
  <c r="U188" i="27" s="1"/>
  <c r="E175" i="27"/>
  <c r="U175" i="27" s="1"/>
  <c r="U200" i="27"/>
  <c r="E170" i="27"/>
  <c r="U170" i="27" s="1"/>
  <c r="E180" i="27"/>
  <c r="U180" i="27" s="1"/>
  <c r="E194" i="27"/>
  <c r="U194" i="27" s="1"/>
  <c r="E148" i="27"/>
  <c r="U148" i="27" s="1"/>
  <c r="E157" i="27"/>
  <c r="U157" i="27" s="1"/>
  <c r="E163" i="27"/>
  <c r="U163" i="27" s="1"/>
  <c r="E173" i="27"/>
  <c r="U173" i="27" s="1"/>
  <c r="U201" i="27"/>
  <c r="E110" i="27"/>
  <c r="U110" i="27" s="1"/>
  <c r="E159" i="27"/>
  <c r="U159" i="27" s="1"/>
  <c r="U198" i="27"/>
  <c r="U204" i="27"/>
  <c r="O211" i="27"/>
  <c r="E117" i="27"/>
  <c r="U117" i="27" s="1"/>
  <c r="E124" i="27"/>
  <c r="U124" i="27" s="1"/>
  <c r="E128" i="27"/>
  <c r="U128" i="27" s="1"/>
  <c r="E164" i="27"/>
  <c r="U164" i="27" s="1"/>
  <c r="S209" i="27"/>
  <c r="E146" i="27"/>
  <c r="U146" i="27" s="1"/>
  <c r="E186" i="27"/>
  <c r="U186" i="27" s="1"/>
  <c r="T211" i="27"/>
  <c r="Y205" i="27"/>
  <c r="F209" i="27"/>
  <c r="F210" i="27" s="1"/>
  <c r="R209" i="27"/>
  <c r="E187" i="27"/>
  <c r="U187" i="27" s="1"/>
  <c r="E191" i="27"/>
  <c r="U191" i="27" s="1"/>
  <c r="U207" i="27"/>
  <c r="G5" i="25"/>
  <c r="G4" i="25"/>
  <c r="E53" i="25"/>
  <c r="U53" i="25" s="1"/>
  <c r="X19" i="25"/>
  <c r="X23" i="25"/>
  <c r="E71" i="25"/>
  <c r="U71" i="25" s="1"/>
  <c r="E38" i="25"/>
  <c r="U38" i="25" s="1"/>
  <c r="X63" i="25"/>
  <c r="T3" i="25"/>
  <c r="Z16" i="25"/>
  <c r="Z23" i="25"/>
  <c r="Z34" i="25"/>
  <c r="E47" i="25"/>
  <c r="U47" i="25" s="1"/>
  <c r="E59" i="25"/>
  <c r="U59" i="25" s="1"/>
  <c r="E81" i="25"/>
  <c r="U81" i="25" s="1"/>
  <c r="X93" i="25"/>
  <c r="Z137" i="25"/>
  <c r="E151" i="25"/>
  <c r="U151" i="25" s="1"/>
  <c r="Z183" i="25"/>
  <c r="X185" i="25"/>
  <c r="E50" i="25"/>
  <c r="U50" i="25" s="1"/>
  <c r="Z68" i="25"/>
  <c r="E77" i="25"/>
  <c r="U77" i="25" s="1"/>
  <c r="Z124" i="25"/>
  <c r="E197" i="25"/>
  <c r="U197" i="25" s="1"/>
  <c r="I5" i="25"/>
  <c r="X49" i="25"/>
  <c r="E154" i="25"/>
  <c r="U154" i="25" s="1"/>
  <c r="E183" i="25"/>
  <c r="U183" i="25" s="1"/>
  <c r="X31" i="25"/>
  <c r="E28" i="25"/>
  <c r="Z35" i="25"/>
  <c r="E48" i="25"/>
  <c r="U48" i="25" s="1"/>
  <c r="E78" i="25"/>
  <c r="U78" i="25" s="1"/>
  <c r="Z90" i="25"/>
  <c r="E110" i="25"/>
  <c r="U110" i="25" s="1"/>
  <c r="Z117" i="25"/>
  <c r="E125" i="25"/>
  <c r="U125" i="25" s="1"/>
  <c r="U161" i="25"/>
  <c r="E23" i="25"/>
  <c r="U23" i="25" s="1"/>
  <c r="U168" i="25"/>
  <c r="Z10" i="25"/>
  <c r="E32" i="25"/>
  <c r="U32" i="25" s="1"/>
  <c r="E45" i="25"/>
  <c r="U45" i="25" s="1"/>
  <c r="Z52" i="25"/>
  <c r="Z65" i="25"/>
  <c r="E70" i="25"/>
  <c r="U70" i="25" s="1"/>
  <c r="E95" i="25"/>
  <c r="U95" i="25" s="1"/>
  <c r="E103" i="25"/>
  <c r="Z106" i="25"/>
  <c r="E135" i="25"/>
  <c r="U135" i="25" s="1"/>
  <c r="U194" i="25"/>
  <c r="Z207" i="25"/>
  <c r="E203" i="25"/>
  <c r="U203" i="25" s="1"/>
  <c r="Z198" i="25"/>
  <c r="E189" i="25"/>
  <c r="U189" i="25" s="1"/>
  <c r="X204" i="25"/>
  <c r="X203" i="25"/>
  <c r="X196" i="25"/>
  <c r="X189" i="25"/>
  <c r="X178" i="25"/>
  <c r="X171" i="25"/>
  <c r="X160" i="25"/>
  <c r="X153" i="25"/>
  <c r="X142" i="25"/>
  <c r="X135" i="25"/>
  <c r="X124" i="25"/>
  <c r="X117" i="25"/>
  <c r="X106" i="25"/>
  <c r="X99" i="25"/>
  <c r="X200" i="25"/>
  <c r="X182" i="25"/>
  <c r="X164" i="25"/>
  <c r="X193" i="25"/>
  <c r="X186" i="25"/>
  <c r="X175" i="25"/>
  <c r="X168" i="25"/>
  <c r="X157" i="25"/>
  <c r="X150" i="25"/>
  <c r="X139" i="25"/>
  <c r="X132" i="25"/>
  <c r="X121" i="25"/>
  <c r="X114" i="25"/>
  <c r="X103" i="25"/>
  <c r="X96" i="25"/>
  <c r="X84" i="25"/>
  <c r="X78" i="25"/>
  <c r="X72" i="25"/>
  <c r="X201" i="25"/>
  <c r="X177" i="25"/>
  <c r="X172" i="25"/>
  <c r="X167" i="25"/>
  <c r="X147" i="25"/>
  <c r="X194" i="25"/>
  <c r="X165" i="25"/>
  <c r="X128" i="25"/>
  <c r="X98" i="25"/>
  <c r="X95" i="25"/>
  <c r="X86" i="25"/>
  <c r="X82" i="25"/>
  <c r="X73" i="25"/>
  <c r="X68" i="25"/>
  <c r="X62" i="25"/>
  <c r="X56" i="25"/>
  <c r="X50" i="25"/>
  <c r="X199" i="25"/>
  <c r="X170" i="25"/>
  <c r="X120" i="25"/>
  <c r="X109" i="25"/>
  <c r="X101" i="25"/>
  <c r="X90" i="25"/>
  <c r="X192" i="25"/>
  <c r="X163" i="25"/>
  <c r="X155" i="25"/>
  <c r="X131" i="25"/>
  <c r="X122" i="25"/>
  <c r="X102" i="25"/>
  <c r="X83" i="25"/>
  <c r="X80" i="25"/>
  <c r="X70" i="25"/>
  <c r="X61" i="25"/>
  <c r="X52" i="25"/>
  <c r="X47" i="25"/>
  <c r="X41" i="25"/>
  <c r="X35" i="25"/>
  <c r="X190" i="25"/>
  <c r="X188" i="25"/>
  <c r="X184" i="25"/>
  <c r="X133" i="25"/>
  <c r="X129" i="25"/>
  <c r="X118" i="25"/>
  <c r="X100" i="25"/>
  <c r="X66" i="25"/>
  <c r="X57" i="25"/>
  <c r="X42" i="25"/>
  <c r="X36" i="25"/>
  <c r="X151" i="25"/>
  <c r="X140" i="25"/>
  <c r="X116" i="25"/>
  <c r="X91" i="25"/>
  <c r="X77" i="25"/>
  <c r="X74" i="25"/>
  <c r="X53" i="25"/>
  <c r="X48" i="25"/>
  <c r="X30" i="25"/>
  <c r="X197" i="25"/>
  <c r="X187" i="25"/>
  <c r="X145" i="25"/>
  <c r="X143" i="25"/>
  <c r="X134" i="25"/>
  <c r="X125" i="25"/>
  <c r="X107" i="25"/>
  <c r="X105" i="25"/>
  <c r="X44" i="25"/>
  <c r="X38" i="25"/>
  <c r="X32" i="25"/>
  <c r="X25" i="25"/>
  <c r="X16" i="25"/>
  <c r="X29" i="25"/>
  <c r="X12" i="25"/>
  <c r="X202" i="25"/>
  <c r="X64" i="25"/>
  <c r="X39" i="25"/>
  <c r="X17" i="25"/>
  <c r="X8" i="25"/>
  <c r="X22" i="25"/>
  <c r="X149" i="25"/>
  <c r="X87" i="25"/>
  <c r="X76" i="25"/>
  <c r="X58" i="25"/>
  <c r="X21" i="25"/>
  <c r="X179" i="25"/>
  <c r="X45" i="25"/>
  <c r="X33" i="25"/>
  <c r="X26" i="25"/>
  <c r="X113" i="25"/>
  <c r="X138" i="25"/>
  <c r="X136" i="25"/>
  <c r="X111" i="25"/>
  <c r="X89" i="25"/>
  <c r="X85" i="25"/>
  <c r="X69" i="25"/>
  <c r="X162" i="25"/>
  <c r="X81" i="25"/>
  <c r="X27" i="25"/>
  <c r="X54" i="25"/>
  <c r="X156" i="25"/>
  <c r="X34" i="25"/>
  <c r="E91" i="25"/>
  <c r="U91" i="25" s="1"/>
  <c r="Y96" i="25"/>
  <c r="E99" i="25"/>
  <c r="U99" i="25" s="1"/>
  <c r="X148" i="25"/>
  <c r="Y156" i="25"/>
  <c r="Y174" i="25"/>
  <c r="C208" i="25"/>
  <c r="C205" i="25"/>
  <c r="M211" i="25" s="1"/>
  <c r="X9" i="25"/>
  <c r="E13" i="25"/>
  <c r="U13" i="25" s="1"/>
  <c r="Y14" i="25"/>
  <c r="E207" i="25"/>
  <c r="U207" i="25" s="1"/>
  <c r="D205" i="25"/>
  <c r="D208" i="25"/>
  <c r="N209" i="25" s="1"/>
  <c r="E22" i="25"/>
  <c r="U22" i="25" s="1"/>
  <c r="E26" i="25"/>
  <c r="U26" i="25" s="1"/>
  <c r="E30" i="25"/>
  <c r="U30" i="25" s="1"/>
  <c r="Y32" i="25"/>
  <c r="X43" i="25"/>
  <c r="Y130" i="25"/>
  <c r="E169" i="25"/>
  <c r="U169" i="25" s="1"/>
  <c r="X183" i="25"/>
  <c r="E8" i="25"/>
  <c r="Y11" i="25"/>
  <c r="X20" i="25"/>
  <c r="Y43" i="25"/>
  <c r="X59" i="25"/>
  <c r="E89" i="25"/>
  <c r="U89" i="25" s="1"/>
  <c r="Y94" i="25"/>
  <c r="X108" i="25"/>
  <c r="Y114" i="25"/>
  <c r="Y163" i="25"/>
  <c r="Y172" i="25"/>
  <c r="E51" i="25"/>
  <c r="U51" i="25" s="1"/>
  <c r="E79" i="25"/>
  <c r="U79" i="25" s="1"/>
  <c r="E83" i="25"/>
  <c r="U83" i="25" s="1"/>
  <c r="E86" i="25"/>
  <c r="U86" i="25" s="1"/>
  <c r="X97" i="25"/>
  <c r="X55" i="25"/>
  <c r="X92" i="25"/>
  <c r="X137" i="25"/>
  <c r="X169" i="25"/>
  <c r="X181" i="25"/>
  <c r="X207" i="25"/>
  <c r="O211" i="25"/>
  <c r="Z204" i="25"/>
  <c r="Z193" i="25"/>
  <c r="Z186" i="25"/>
  <c r="Z175" i="25"/>
  <c r="Z168" i="25"/>
  <c r="Z157" i="25"/>
  <c r="Z150" i="25"/>
  <c r="Z139" i="25"/>
  <c r="Z132" i="25"/>
  <c r="Z121" i="25"/>
  <c r="Z114" i="25"/>
  <c r="Z103" i="25"/>
  <c r="Z96" i="25"/>
  <c r="Z197" i="25"/>
  <c r="Z190" i="25"/>
  <c r="Z179" i="25"/>
  <c r="Z172" i="25"/>
  <c r="Z161" i="25"/>
  <c r="Z154" i="25"/>
  <c r="Z143" i="25"/>
  <c r="Z136" i="25"/>
  <c r="Z125" i="25"/>
  <c r="Z118" i="25"/>
  <c r="Z107" i="25"/>
  <c r="Z100" i="25"/>
  <c r="Z89" i="25"/>
  <c r="Z85" i="25"/>
  <c r="Z79" i="25"/>
  <c r="Z73" i="25"/>
  <c r="Z199" i="25"/>
  <c r="Z189" i="25"/>
  <c r="Z170" i="25"/>
  <c r="Z165" i="25"/>
  <c r="Z160" i="25"/>
  <c r="Z192" i="25"/>
  <c r="Z187" i="25"/>
  <c r="Z182" i="25"/>
  <c r="Z180" i="25"/>
  <c r="Z158" i="25"/>
  <c r="Z134" i="25"/>
  <c r="Z112" i="25"/>
  <c r="Z101" i="25"/>
  <c r="Z78" i="25"/>
  <c r="Z69" i="25"/>
  <c r="Z63" i="25"/>
  <c r="Z57" i="25"/>
  <c r="Z51" i="25"/>
  <c r="Z163" i="25"/>
  <c r="Z153" i="25"/>
  <c r="Z145" i="25"/>
  <c r="Z142" i="25"/>
  <c r="Z131" i="25"/>
  <c r="Z126" i="25"/>
  <c r="Z123" i="25"/>
  <c r="Z104" i="25"/>
  <c r="Z93" i="25"/>
  <c r="Z87" i="25"/>
  <c r="Z83" i="25"/>
  <c r="Z74" i="25"/>
  <c r="Z200" i="25"/>
  <c r="Z151" i="25"/>
  <c r="Z140" i="25"/>
  <c r="Z129" i="25"/>
  <c r="Z116" i="25"/>
  <c r="Z109" i="25"/>
  <c r="Z91" i="25"/>
  <c r="Z86" i="25"/>
  <c r="Z77" i="25"/>
  <c r="Z53" i="25"/>
  <c r="Z48" i="25"/>
  <c r="Z42" i="25"/>
  <c r="Z36" i="25"/>
  <c r="Z30" i="25"/>
  <c r="Z196" i="25"/>
  <c r="Z194" i="25"/>
  <c r="Z169" i="25"/>
  <c r="Z138" i="25"/>
  <c r="Z127" i="25"/>
  <c r="Z98" i="25"/>
  <c r="Z71" i="25"/>
  <c r="Z62" i="25"/>
  <c r="Z43" i="25"/>
  <c r="Z37" i="25"/>
  <c r="Z202" i="25"/>
  <c r="Z173" i="25"/>
  <c r="Z167" i="25"/>
  <c r="Z149" i="25"/>
  <c r="Z81" i="25"/>
  <c r="Z67" i="25"/>
  <c r="Z58" i="25"/>
  <c r="Z49" i="25"/>
  <c r="Z31" i="25"/>
  <c r="Z177" i="25"/>
  <c r="Z147" i="25"/>
  <c r="Z66" i="25"/>
  <c r="Z12" i="25"/>
  <c r="Z45" i="25"/>
  <c r="Z39" i="25"/>
  <c r="Z33" i="25"/>
  <c r="Z13" i="25"/>
  <c r="Z59" i="25"/>
  <c r="Z9" i="25"/>
  <c r="Z181" i="25"/>
  <c r="Z97" i="25"/>
  <c r="Z18" i="25"/>
  <c r="Z111" i="25"/>
  <c r="Z64" i="25"/>
  <c r="Z61" i="25"/>
  <c r="Z26" i="25"/>
  <c r="Z17" i="25"/>
  <c r="Z8" i="25"/>
  <c r="Z122" i="25"/>
  <c r="Z115" i="25"/>
  <c r="Z113" i="25"/>
  <c r="Z108" i="25"/>
  <c r="Z102" i="25"/>
  <c r="Z56" i="25"/>
  <c r="Z27" i="25"/>
  <c r="Z176" i="25"/>
  <c r="Z184" i="25"/>
  <c r="Z162" i="25"/>
  <c r="Z120" i="25"/>
  <c r="Z22" i="25"/>
  <c r="Z159" i="25"/>
  <c r="Z155" i="25"/>
  <c r="Z72" i="25"/>
  <c r="W40" i="25"/>
  <c r="Z44" i="25"/>
  <c r="W51" i="25"/>
  <c r="W62" i="25"/>
  <c r="W67" i="25"/>
  <c r="W81" i="25"/>
  <c r="Z95" i="25"/>
  <c r="E104" i="25"/>
  <c r="U104" i="25" s="1"/>
  <c r="E107" i="25"/>
  <c r="U107" i="25" s="1"/>
  <c r="X115" i="25"/>
  <c r="W123" i="25"/>
  <c r="E129" i="25"/>
  <c r="U129" i="25" s="1"/>
  <c r="X144" i="25"/>
  <c r="Y152" i="25"/>
  <c r="Z166" i="25"/>
  <c r="X173" i="25"/>
  <c r="E179" i="25"/>
  <c r="U179" i="25" s="1"/>
  <c r="X191" i="25"/>
  <c r="E142" i="25"/>
  <c r="U142" i="25" s="1"/>
  <c r="X174" i="25"/>
  <c r="X195" i="25"/>
  <c r="X14" i="25"/>
  <c r="E199" i="25"/>
  <c r="U199" i="25" s="1"/>
  <c r="Y34" i="25"/>
  <c r="E102" i="25"/>
  <c r="U102" i="25" s="1"/>
  <c r="X119" i="25"/>
  <c r="Y68" i="25"/>
  <c r="Y75" i="25"/>
  <c r="X94" i="25"/>
  <c r="X159" i="25"/>
  <c r="X46" i="25"/>
  <c r="X71" i="25"/>
  <c r="E131" i="25"/>
  <c r="U131" i="25" s="1"/>
  <c r="X154" i="25"/>
  <c r="X13" i="25"/>
  <c r="E69" i="25"/>
  <c r="U69" i="25" s="1"/>
  <c r="X152" i="25"/>
  <c r="Y166" i="25"/>
  <c r="W200" i="25"/>
  <c r="W194" i="25"/>
  <c r="W188" i="25"/>
  <c r="W182" i="25"/>
  <c r="W176" i="25"/>
  <c r="W170" i="25"/>
  <c r="W164" i="25"/>
  <c r="W158" i="25"/>
  <c r="W152" i="25"/>
  <c r="W146" i="25"/>
  <c r="W140" i="25"/>
  <c r="W134" i="25"/>
  <c r="W128" i="25"/>
  <c r="W122" i="25"/>
  <c r="W116" i="25"/>
  <c r="W110" i="25"/>
  <c r="W104" i="25"/>
  <c r="W98" i="25"/>
  <c r="W92" i="25"/>
  <c r="W86" i="25"/>
  <c r="W202" i="25"/>
  <c r="W196" i="25"/>
  <c r="W190" i="25"/>
  <c r="W184" i="25"/>
  <c r="W178" i="25"/>
  <c r="W172" i="25"/>
  <c r="W166" i="25"/>
  <c r="W160" i="25"/>
  <c r="W154" i="25"/>
  <c r="W148" i="25"/>
  <c r="W142" i="25"/>
  <c r="W136" i="25"/>
  <c r="W130" i="25"/>
  <c r="W124" i="25"/>
  <c r="W118" i="25"/>
  <c r="W112" i="25"/>
  <c r="W106" i="25"/>
  <c r="W100" i="25"/>
  <c r="W94" i="25"/>
  <c r="W185" i="25"/>
  <c r="W167" i="25"/>
  <c r="W149" i="25"/>
  <c r="W131" i="25"/>
  <c r="W113" i="25"/>
  <c r="W95" i="25"/>
  <c r="W189" i="25"/>
  <c r="W171" i="25"/>
  <c r="W203" i="25"/>
  <c r="W155" i="25"/>
  <c r="W201" i="25"/>
  <c r="W177" i="25"/>
  <c r="W147" i="25"/>
  <c r="W133" i="25"/>
  <c r="W125" i="25"/>
  <c r="W117" i="25"/>
  <c r="W77" i="25"/>
  <c r="W165" i="25"/>
  <c r="W150" i="25"/>
  <c r="W139" i="25"/>
  <c r="W82" i="25"/>
  <c r="W73" i="25"/>
  <c r="W198" i="25"/>
  <c r="W186" i="25"/>
  <c r="W161" i="25"/>
  <c r="W144" i="25"/>
  <c r="W120" i="25"/>
  <c r="W111" i="25"/>
  <c r="W93" i="25"/>
  <c r="W192" i="25"/>
  <c r="W163" i="25"/>
  <c r="W109" i="25"/>
  <c r="W102" i="25"/>
  <c r="W83" i="25"/>
  <c r="W80" i="25"/>
  <c r="W70" i="25"/>
  <c r="W61" i="25"/>
  <c r="W52" i="25"/>
  <c r="W47" i="25"/>
  <c r="W41" i="25"/>
  <c r="W35" i="25"/>
  <c r="W29" i="25"/>
  <c r="W23" i="25"/>
  <c r="W17" i="25"/>
  <c r="W11" i="25"/>
  <c r="W129" i="25"/>
  <c r="W66" i="25"/>
  <c r="W57" i="25"/>
  <c r="W195" i="25"/>
  <c r="W175" i="25"/>
  <c r="W173" i="25"/>
  <c r="W156" i="25"/>
  <c r="W141" i="25"/>
  <c r="W127" i="25"/>
  <c r="W103" i="25"/>
  <c r="W78" i="25"/>
  <c r="W71" i="25"/>
  <c r="W63" i="25"/>
  <c r="W55" i="25"/>
  <c r="W20" i="25"/>
  <c r="W50" i="25"/>
  <c r="W44" i="25"/>
  <c r="W38" i="25"/>
  <c r="W32" i="25"/>
  <c r="W12" i="25"/>
  <c r="W199" i="25"/>
  <c r="W69" i="25"/>
  <c r="W179" i="25"/>
  <c r="W45" i="25"/>
  <c r="W39" i="25"/>
  <c r="W36" i="25"/>
  <c r="W30" i="25"/>
  <c r="W26" i="25"/>
  <c r="W197" i="25"/>
  <c r="W187" i="25"/>
  <c r="W145" i="25"/>
  <c r="W143" i="25"/>
  <c r="W107" i="25"/>
  <c r="W105" i="25"/>
  <c r="W25" i="25"/>
  <c r="W16" i="25"/>
  <c r="W138" i="25"/>
  <c r="W91" i="25"/>
  <c r="W89" i="25"/>
  <c r="W85" i="25"/>
  <c r="W74" i="25"/>
  <c r="W42" i="25"/>
  <c r="W87" i="25"/>
  <c r="W76" i="25"/>
  <c r="W58" i="25"/>
  <c r="W53" i="25"/>
  <c r="W21" i="25"/>
  <c r="W153" i="25"/>
  <c r="W151" i="25"/>
  <c r="W64" i="25"/>
  <c r="W48" i="25"/>
  <c r="W33" i="25"/>
  <c r="W10" i="25"/>
  <c r="W15" i="25"/>
  <c r="Y37" i="25"/>
  <c r="Z55" i="25"/>
  <c r="W60" i="25"/>
  <c r="W65" i="25"/>
  <c r="X40" i="25"/>
  <c r="X51" i="25"/>
  <c r="X60" i="25"/>
  <c r="X65" i="25"/>
  <c r="X67" i="25"/>
  <c r="X79" i="25"/>
  <c r="W84" i="25"/>
  <c r="E87" i="25"/>
  <c r="U87" i="25" s="1"/>
  <c r="E93" i="25"/>
  <c r="U93" i="25" s="1"/>
  <c r="X112" i="25"/>
  <c r="X123" i="25"/>
  <c r="W126" i="25"/>
  <c r="W132" i="25"/>
  <c r="W135" i="25"/>
  <c r="X141" i="25"/>
  <c r="Y144" i="25"/>
  <c r="Z152" i="25"/>
  <c r="X161" i="25"/>
  <c r="Z164" i="25"/>
  <c r="E167" i="25"/>
  <c r="U167" i="25" s="1"/>
  <c r="Z188" i="25"/>
  <c r="Z191" i="25"/>
  <c r="Z201" i="25"/>
  <c r="E136" i="25"/>
  <c r="U136" i="25" s="1"/>
  <c r="Y207" i="25"/>
  <c r="Y201" i="25"/>
  <c r="Y195" i="25"/>
  <c r="Y189" i="25"/>
  <c r="Y183" i="25"/>
  <c r="Y177" i="25"/>
  <c r="Y171" i="25"/>
  <c r="Y165" i="25"/>
  <c r="Y159" i="25"/>
  <c r="Y153" i="25"/>
  <c r="Y147" i="25"/>
  <c r="Y141" i="25"/>
  <c r="Y135" i="25"/>
  <c r="Y129" i="25"/>
  <c r="Y123" i="25"/>
  <c r="Y117" i="25"/>
  <c r="Y111" i="25"/>
  <c r="Y105" i="25"/>
  <c r="Y99" i="25"/>
  <c r="Y93" i="25"/>
  <c r="Y87" i="25"/>
  <c r="Y203" i="25"/>
  <c r="Y197" i="25"/>
  <c r="Y191" i="25"/>
  <c r="Y185" i="25"/>
  <c r="Y179" i="25"/>
  <c r="Y173" i="25"/>
  <c r="Y167" i="25"/>
  <c r="Y161" i="25"/>
  <c r="Y155" i="25"/>
  <c r="Y149" i="25"/>
  <c r="Y143" i="25"/>
  <c r="Y137" i="25"/>
  <c r="Y131" i="25"/>
  <c r="Y125" i="25"/>
  <c r="Y119" i="25"/>
  <c r="Y113" i="25"/>
  <c r="Y107" i="25"/>
  <c r="Y101" i="25"/>
  <c r="Y95" i="25"/>
  <c r="Y89" i="25"/>
  <c r="Y200" i="25"/>
  <c r="Y182" i="25"/>
  <c r="Y164" i="25"/>
  <c r="Y146" i="25"/>
  <c r="Y128" i="25"/>
  <c r="Y110" i="25"/>
  <c r="Y92" i="25"/>
  <c r="Y193" i="25"/>
  <c r="Y186" i="25"/>
  <c r="Y175" i="25"/>
  <c r="Y168" i="25"/>
  <c r="Y157" i="25"/>
  <c r="Y194" i="25"/>
  <c r="Y199" i="25"/>
  <c r="Y170" i="25"/>
  <c r="Y160" i="25"/>
  <c r="Y150" i="25"/>
  <c r="Y139" i="25"/>
  <c r="Y120" i="25"/>
  <c r="Y109" i="25"/>
  <c r="Y106" i="25"/>
  <c r="Y90" i="25"/>
  <c r="Y192" i="25"/>
  <c r="Y187" i="25"/>
  <c r="Y180" i="25"/>
  <c r="Y158" i="25"/>
  <c r="Y134" i="25"/>
  <c r="Y112" i="25"/>
  <c r="Y78" i="25"/>
  <c r="Y190" i="25"/>
  <c r="Y188" i="25"/>
  <c r="Y184" i="25"/>
  <c r="Y142" i="25"/>
  <c r="Y133" i="25"/>
  <c r="Y118" i="25"/>
  <c r="Y100" i="25"/>
  <c r="Y66" i="25"/>
  <c r="Y57" i="25"/>
  <c r="Y151" i="25"/>
  <c r="Y140" i="25"/>
  <c r="Y116" i="25"/>
  <c r="Y91" i="25"/>
  <c r="Y86" i="25"/>
  <c r="Y77" i="25"/>
  <c r="Y74" i="25"/>
  <c r="Y53" i="25"/>
  <c r="Y48" i="25"/>
  <c r="Y42" i="25"/>
  <c r="Y36" i="25"/>
  <c r="Y30" i="25"/>
  <c r="Y24" i="25"/>
  <c r="Y18" i="25"/>
  <c r="Y12" i="25"/>
  <c r="Y62" i="25"/>
  <c r="Y196" i="25"/>
  <c r="Y169" i="25"/>
  <c r="Y138" i="25"/>
  <c r="Y127" i="25"/>
  <c r="Y98" i="25"/>
  <c r="Y71" i="25"/>
  <c r="Y76" i="25"/>
  <c r="Y58" i="25"/>
  <c r="Y50" i="25"/>
  <c r="Y47" i="25"/>
  <c r="Y41" i="25"/>
  <c r="Y35" i="25"/>
  <c r="Y29" i="25"/>
  <c r="Y21" i="25"/>
  <c r="Y45" i="25"/>
  <c r="Y39" i="25"/>
  <c r="Y17" i="25"/>
  <c r="Y8" i="25"/>
  <c r="Y81" i="25"/>
  <c r="Y22" i="25"/>
  <c r="Y13" i="25"/>
  <c r="Y27" i="25"/>
  <c r="Y136" i="25"/>
  <c r="Y85" i="25"/>
  <c r="Y69" i="25"/>
  <c r="Y162" i="25"/>
  <c r="Y122" i="25"/>
  <c r="Y115" i="25"/>
  <c r="Y202" i="25"/>
  <c r="Y64" i="25"/>
  <c r="Y61" i="25"/>
  <c r="Y33" i="25"/>
  <c r="Y26" i="25"/>
  <c r="Y126" i="25"/>
  <c r="Y108" i="25"/>
  <c r="Y102" i="25"/>
  <c r="Y83" i="25"/>
  <c r="Y67" i="25"/>
  <c r="Y59" i="25"/>
  <c r="Y56" i="25"/>
  <c r="Y51" i="25"/>
  <c r="E18" i="25"/>
  <c r="U18" i="25" s="1"/>
  <c r="Y52" i="25"/>
  <c r="Y54" i="25"/>
  <c r="E61" i="25"/>
  <c r="U61" i="25" s="1"/>
  <c r="X88" i="25"/>
  <c r="Y145" i="25"/>
  <c r="Y73" i="25"/>
  <c r="X75" i="25"/>
  <c r="Y80" i="25"/>
  <c r="Y88" i="25"/>
  <c r="E122" i="25"/>
  <c r="U122" i="25" s="1"/>
  <c r="X127" i="25"/>
  <c r="X130" i="25"/>
  <c r="Y148" i="25"/>
  <c r="X180" i="25"/>
  <c r="Y9" i="25"/>
  <c r="X11" i="25"/>
  <c r="Y16" i="25"/>
  <c r="E187" i="25"/>
  <c r="U187" i="25" s="1"/>
  <c r="L211" i="25"/>
  <c r="X18" i="25"/>
  <c r="Y20" i="25"/>
  <c r="X28" i="25"/>
  <c r="E62" i="25"/>
  <c r="U62" i="25" s="1"/>
  <c r="E115" i="25"/>
  <c r="U115" i="25" s="1"/>
  <c r="E128" i="25"/>
  <c r="U128" i="25" s="1"/>
  <c r="X24" i="25"/>
  <c r="Y28" i="25"/>
  <c r="E74" i="25"/>
  <c r="U74" i="25" s="1"/>
  <c r="Y97" i="25"/>
  <c r="Y103" i="25"/>
  <c r="X146" i="25"/>
  <c r="Y154" i="25"/>
  <c r="X166" i="25"/>
  <c r="Y178" i="25"/>
  <c r="F4" i="25"/>
  <c r="F5" i="25"/>
  <c r="X37" i="25"/>
  <c r="E42" i="25"/>
  <c r="U42" i="25" s="1"/>
  <c r="Y44" i="25"/>
  <c r="Y55" i="25"/>
  <c r="Y181" i="25"/>
  <c r="Z76" i="25"/>
  <c r="W79" i="25"/>
  <c r="J4" i="25"/>
  <c r="X10" i="25"/>
  <c r="X15" i="25"/>
  <c r="E25" i="25"/>
  <c r="U25" i="25" s="1"/>
  <c r="E9" i="25"/>
  <c r="U9" i="25" s="1"/>
  <c r="Y10" i="25"/>
  <c r="Y15" i="25"/>
  <c r="W19" i="25"/>
  <c r="W31" i="25"/>
  <c r="E34" i="25"/>
  <c r="U34" i="25" s="1"/>
  <c r="Y40" i="25"/>
  <c r="W49" i="25"/>
  <c r="E56" i="25"/>
  <c r="U56" i="25" s="1"/>
  <c r="Y60" i="25"/>
  <c r="Y65" i="25"/>
  <c r="W72" i="25"/>
  <c r="Y79" i="25"/>
  <c r="Y84" i="25"/>
  <c r="X104" i="25"/>
  <c r="E113" i="25"/>
  <c r="U113" i="25" s="1"/>
  <c r="E124" i="25"/>
  <c r="U124" i="25" s="1"/>
  <c r="X126" i="25"/>
  <c r="Y132" i="25"/>
  <c r="Z135" i="25"/>
  <c r="Z141" i="25"/>
  <c r="Z144" i="25"/>
  <c r="E148" i="25"/>
  <c r="U148" i="25" s="1"/>
  <c r="X158" i="25"/>
  <c r="X176" i="25"/>
  <c r="X198" i="25"/>
  <c r="E100" i="25"/>
  <c r="U100" i="25" s="1"/>
  <c r="U73" i="25"/>
  <c r="U103" i="25"/>
  <c r="U109" i="25"/>
  <c r="U134" i="25"/>
  <c r="E145" i="25"/>
  <c r="U145" i="25" s="1"/>
  <c r="E156" i="25"/>
  <c r="U156" i="25" s="1"/>
  <c r="E160" i="25"/>
  <c r="U160" i="25" s="1"/>
  <c r="U195" i="25"/>
  <c r="E111" i="25"/>
  <c r="U111" i="25" s="1"/>
  <c r="E120" i="25"/>
  <c r="U120" i="25" s="1"/>
  <c r="E165" i="25"/>
  <c r="U165" i="25" s="1"/>
  <c r="U60" i="25"/>
  <c r="E84" i="25"/>
  <c r="U84" i="25" s="1"/>
  <c r="U94" i="25"/>
  <c r="U127" i="25"/>
  <c r="E130" i="25"/>
  <c r="U130" i="25" s="1"/>
  <c r="E147" i="25"/>
  <c r="U147" i="25" s="1"/>
  <c r="E158" i="25"/>
  <c r="U158" i="25" s="1"/>
  <c r="E163" i="25"/>
  <c r="U163" i="25" s="1"/>
  <c r="U177" i="25"/>
  <c r="E190" i="25"/>
  <c r="U190" i="25" s="1"/>
  <c r="E192" i="25"/>
  <c r="U192" i="25" s="1"/>
  <c r="U191" i="25"/>
  <c r="U152" i="25"/>
  <c r="U126" i="25"/>
  <c r="U76" i="25"/>
  <c r="U198" i="25"/>
  <c r="U28" i="25"/>
  <c r="U55" i="25"/>
  <c r="E19" i="25"/>
  <c r="U19" i="25" s="1"/>
  <c r="E31" i="25"/>
  <c r="U31" i="25" s="1"/>
  <c r="E37" i="25"/>
  <c r="U37" i="25" s="1"/>
  <c r="E43" i="25"/>
  <c r="U43" i="25" s="1"/>
  <c r="E49" i="25"/>
  <c r="U49" i="25" s="1"/>
  <c r="E54" i="25"/>
  <c r="U54" i="25" s="1"/>
  <c r="E88" i="25"/>
  <c r="U88" i="25" s="1"/>
  <c r="U123" i="25"/>
  <c r="E137" i="25"/>
  <c r="U137" i="25" s="1"/>
  <c r="U180" i="25"/>
  <c r="U97" i="25"/>
  <c r="U184" i="25"/>
  <c r="U144" i="25"/>
  <c r="U155" i="25"/>
  <c r="U159" i="25"/>
  <c r="E82" i="25"/>
  <c r="U82" i="25" s="1"/>
  <c r="E153" i="25"/>
  <c r="U153" i="25" s="1"/>
  <c r="E182" i="25"/>
  <c r="U182" i="25" s="1"/>
  <c r="R211" i="25"/>
  <c r="E138" i="25"/>
  <c r="U138" i="25" s="1"/>
  <c r="E174" i="25"/>
  <c r="U174" i="25" s="1"/>
  <c r="W205" i="25"/>
  <c r="S211" i="25"/>
  <c r="U149" i="25"/>
  <c r="U157" i="25"/>
  <c r="U181" i="25"/>
  <c r="E186" i="25"/>
  <c r="U186" i="25" s="1"/>
  <c r="E196" i="25"/>
  <c r="U196" i="25" s="1"/>
  <c r="X205" i="25"/>
  <c r="T211" i="25"/>
  <c r="E202" i="25"/>
  <c r="U202" i="25" s="1"/>
  <c r="I211" i="25"/>
  <c r="Y205" i="25"/>
  <c r="J211" i="25"/>
  <c r="Z205" i="25"/>
  <c r="G209" i="25"/>
  <c r="D9" i="24"/>
  <c r="D10" i="24"/>
  <c r="C8" i="24"/>
  <c r="C9" i="24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28" i="22"/>
  <c r="C229" i="22"/>
  <c r="C230" i="22"/>
  <c r="C231" i="22"/>
  <c r="C232" i="22"/>
  <c r="C233" i="22"/>
  <c r="C234" i="22"/>
  <c r="C235" i="22"/>
  <c r="C236" i="22"/>
  <c r="C237" i="22"/>
  <c r="C238" i="22"/>
  <c r="C239" i="22"/>
  <c r="C240" i="22"/>
  <c r="C241" i="22"/>
  <c r="C242" i="22"/>
  <c r="C243" i="22"/>
  <c r="C244" i="22"/>
  <c r="C245" i="22"/>
  <c r="C246" i="22"/>
  <c r="C247" i="22"/>
  <c r="C248" i="22"/>
  <c r="C249" i="22"/>
  <c r="C250" i="22"/>
  <c r="C251" i="22"/>
  <c r="C252" i="22"/>
  <c r="C253" i="22"/>
  <c r="C254" i="22"/>
  <c r="C255" i="22"/>
  <c r="C256" i="22"/>
  <c r="C257" i="22"/>
  <c r="C258" i="22"/>
  <c r="C259" i="22"/>
  <c r="C260" i="22"/>
  <c r="C261" i="22"/>
  <c r="C262" i="22"/>
  <c r="C263" i="22"/>
  <c r="C264" i="22"/>
  <c r="C265" i="22"/>
  <c r="C266" i="22"/>
  <c r="C267" i="22"/>
  <c r="C268" i="22"/>
  <c r="C269" i="22"/>
  <c r="C270" i="22"/>
  <c r="C271" i="22"/>
  <c r="C272" i="22"/>
  <c r="C273" i="22"/>
  <c r="C274" i="22"/>
  <c r="C275" i="22"/>
  <c r="C276" i="22"/>
  <c r="C277" i="22"/>
  <c r="C278" i="22"/>
  <c r="C279" i="22"/>
  <c r="C280" i="22"/>
  <c r="C281" i="22"/>
  <c r="C282" i="22"/>
  <c r="C283" i="22"/>
  <c r="C284" i="22"/>
  <c r="C285" i="22"/>
  <c r="C286" i="22"/>
  <c r="C287" i="22"/>
  <c r="C288" i="22"/>
  <c r="C289" i="22"/>
  <c r="C290" i="22"/>
  <c r="C291" i="22"/>
  <c r="C292" i="22"/>
  <c r="C293" i="22"/>
  <c r="C294" i="22"/>
  <c r="C295" i="22"/>
  <c r="C296" i="22"/>
  <c r="C297" i="22"/>
  <c r="C298" i="22"/>
  <c r="C299" i="22"/>
  <c r="C300" i="22"/>
  <c r="C301" i="22"/>
  <c r="C302" i="22"/>
  <c r="C303" i="22"/>
  <c r="C304" i="22"/>
  <c r="C305" i="22"/>
  <c r="C306" i="22"/>
  <c r="C307" i="22"/>
  <c r="C308" i="22"/>
  <c r="C309" i="22"/>
  <c r="C310" i="22"/>
  <c r="C311" i="22"/>
  <c r="C312" i="22"/>
  <c r="C313" i="22"/>
  <c r="C314" i="22"/>
  <c r="C315" i="22"/>
  <c r="C316" i="22"/>
  <c r="C317" i="22"/>
  <c r="C318" i="22"/>
  <c r="C319" i="22"/>
  <c r="C320" i="22"/>
  <c r="C321" i="22"/>
  <c r="C322" i="22"/>
  <c r="C323" i="22"/>
  <c r="C324" i="22"/>
  <c r="C325" i="22"/>
  <c r="C326" i="22"/>
  <c r="C327" i="22"/>
  <c r="C328" i="22"/>
  <c r="C329" i="22"/>
  <c r="C330" i="22"/>
  <c r="C331" i="22"/>
  <c r="C332" i="22"/>
  <c r="C333" i="22"/>
  <c r="C334" i="22"/>
  <c r="C335" i="22"/>
  <c r="C336" i="22"/>
  <c r="C337" i="22"/>
  <c r="C338" i="22"/>
  <c r="C339" i="22"/>
  <c r="C340" i="22"/>
  <c r="C341" i="22"/>
  <c r="C342" i="22"/>
  <c r="C343" i="22"/>
  <c r="C344" i="22"/>
  <c r="C345" i="22"/>
  <c r="C346" i="22"/>
  <c r="C347" i="22"/>
  <c r="C348" i="22"/>
  <c r="C349" i="22"/>
  <c r="C350" i="22"/>
  <c r="C351" i="22"/>
  <c r="C352" i="22"/>
  <c r="C353" i="22"/>
  <c r="C354" i="22"/>
  <c r="C355" i="22"/>
  <c r="C356" i="22"/>
  <c r="C357" i="22"/>
  <c r="C358" i="22"/>
  <c r="C359" i="22"/>
  <c r="C360" i="22"/>
  <c r="C361" i="22"/>
  <c r="C362" i="22"/>
  <c r="C363" i="22"/>
  <c r="C364" i="22"/>
  <c r="C365" i="22"/>
  <c r="C366" i="22"/>
  <c r="C367" i="22"/>
  <c r="C368" i="22"/>
  <c r="C369" i="22"/>
  <c r="C370" i="22"/>
  <c r="C371" i="22"/>
  <c r="C372" i="22"/>
  <c r="C373" i="22"/>
  <c r="C374" i="22"/>
  <c r="C375" i="22"/>
  <c r="C376" i="22"/>
  <c r="C377" i="22"/>
  <c r="C378" i="22"/>
  <c r="C379" i="22"/>
  <c r="C380" i="22"/>
  <c r="C381" i="22"/>
  <c r="C382" i="22"/>
  <c r="C383" i="22"/>
  <c r="C384" i="22"/>
  <c r="C385" i="22"/>
  <c r="C386" i="22"/>
  <c r="C387" i="22"/>
  <c r="C388" i="22"/>
  <c r="C389" i="22"/>
  <c r="C390" i="22"/>
  <c r="C391" i="22"/>
  <c r="C392" i="22"/>
  <c r="C393" i="22"/>
  <c r="C394" i="22"/>
  <c r="C395" i="22"/>
  <c r="C396" i="22"/>
  <c r="C397" i="22"/>
  <c r="C398" i="22"/>
  <c r="C399" i="22"/>
  <c r="C400" i="22"/>
  <c r="C401" i="22"/>
  <c r="C402" i="22"/>
  <c r="C403" i="22"/>
  <c r="C404" i="22"/>
  <c r="C405" i="22"/>
  <c r="C406" i="22"/>
  <c r="C407" i="22"/>
  <c r="C408" i="22"/>
  <c r="C409" i="22"/>
  <c r="C410" i="22"/>
  <c r="C411" i="22"/>
  <c r="C412" i="22"/>
  <c r="C413" i="22"/>
  <c r="C414" i="22"/>
  <c r="C415" i="22"/>
  <c r="C416" i="22"/>
  <c r="C417" i="22"/>
  <c r="C418" i="22"/>
  <c r="C419" i="22"/>
  <c r="C420" i="22"/>
  <c r="C421" i="22"/>
  <c r="C422" i="22"/>
  <c r="C423" i="22"/>
  <c r="C424" i="22"/>
  <c r="C425" i="22"/>
  <c r="C426" i="22"/>
  <c r="C427" i="22"/>
  <c r="C428" i="22"/>
  <c r="C429" i="22"/>
  <c r="C430" i="22"/>
  <c r="C431" i="22"/>
  <c r="C432" i="22"/>
  <c r="C433" i="22"/>
  <c r="C434" i="22"/>
  <c r="C435" i="22"/>
  <c r="C436" i="22"/>
  <c r="C437" i="22"/>
  <c r="C438" i="22"/>
  <c r="C439" i="22"/>
  <c r="C440" i="22"/>
  <c r="C441" i="22"/>
  <c r="C442" i="22"/>
  <c r="C443" i="22"/>
  <c r="C444" i="22"/>
  <c r="C445" i="22"/>
  <c r="C446" i="22"/>
  <c r="C447" i="22"/>
  <c r="C448" i="22"/>
  <c r="C449" i="22"/>
  <c r="C450" i="22"/>
  <c r="C451" i="22"/>
  <c r="C452" i="22"/>
  <c r="C453" i="22"/>
  <c r="C454" i="22"/>
  <c r="C455" i="22"/>
  <c r="C456" i="22"/>
  <c r="C457" i="22"/>
  <c r="C458" i="22"/>
  <c r="C459" i="22"/>
  <c r="C460" i="22"/>
  <c r="C461" i="22"/>
  <c r="C462" i="22"/>
  <c r="C463" i="22"/>
  <c r="C464" i="22"/>
  <c r="C465" i="22"/>
  <c r="C466" i="22"/>
  <c r="C467" i="22"/>
  <c r="C468" i="22"/>
  <c r="C469" i="22"/>
  <c r="C470" i="22"/>
  <c r="C471" i="22"/>
  <c r="C472" i="22"/>
  <c r="C473" i="22"/>
  <c r="C474" i="22"/>
  <c r="C475" i="22"/>
  <c r="C476" i="22"/>
  <c r="C477" i="22"/>
  <c r="C478" i="22"/>
  <c r="C479" i="22"/>
  <c r="C480" i="22"/>
  <c r="C481" i="22"/>
  <c r="C482" i="22"/>
  <c r="C483" i="22"/>
  <c r="C484" i="22"/>
  <c r="C485" i="22"/>
  <c r="C486" i="22"/>
  <c r="C487" i="22"/>
  <c r="C488" i="22"/>
  <c r="C489" i="22"/>
  <c r="C490" i="22"/>
  <c r="C491" i="22"/>
  <c r="C492" i="22"/>
  <c r="C493" i="22"/>
  <c r="C494" i="22"/>
  <c r="C495" i="22"/>
  <c r="C496" i="22"/>
  <c r="C497" i="22"/>
  <c r="C498" i="22"/>
  <c r="C499" i="22"/>
  <c r="C500" i="22"/>
  <c r="C501" i="22"/>
  <c r="C502" i="22"/>
  <c r="C503" i="22"/>
  <c r="C504" i="22"/>
  <c r="C505" i="22"/>
  <c r="C506" i="22"/>
  <c r="C507" i="22"/>
  <c r="C508" i="22"/>
  <c r="C509" i="22"/>
  <c r="C510" i="22"/>
  <c r="C511" i="22"/>
  <c r="C512" i="22"/>
  <c r="C513" i="22"/>
  <c r="C514" i="22"/>
  <c r="C515" i="22"/>
  <c r="C516" i="22"/>
  <c r="C517" i="22"/>
  <c r="C518" i="22"/>
  <c r="C519" i="22"/>
  <c r="C520" i="22"/>
  <c r="C521" i="22"/>
  <c r="C522" i="22"/>
  <c r="C523" i="22"/>
  <c r="C524" i="22"/>
  <c r="C525" i="22"/>
  <c r="C526" i="22"/>
  <c r="C527" i="22"/>
  <c r="C528" i="22"/>
  <c r="C529" i="22"/>
  <c r="C530" i="22"/>
  <c r="C531" i="22"/>
  <c r="C532" i="22"/>
  <c r="C533" i="22"/>
  <c r="C534" i="22"/>
  <c r="C535" i="22"/>
  <c r="C536" i="22"/>
  <c r="C537" i="22"/>
  <c r="C538" i="22"/>
  <c r="C539" i="22"/>
  <c r="C540" i="22"/>
  <c r="C541" i="22"/>
  <c r="C542" i="22"/>
  <c r="C543" i="22"/>
  <c r="C544" i="22"/>
  <c r="C545" i="22"/>
  <c r="C546" i="22"/>
  <c r="C547" i="22"/>
  <c r="C548" i="22"/>
  <c r="C549" i="22"/>
  <c r="C550" i="22"/>
  <c r="C551" i="22"/>
  <c r="C552" i="22"/>
  <c r="C553" i="22"/>
  <c r="C554" i="22"/>
  <c r="C555" i="22"/>
  <c r="C556" i="22"/>
  <c r="C557" i="22"/>
  <c r="C558" i="22"/>
  <c r="C559" i="22"/>
  <c r="C560" i="22"/>
  <c r="C561" i="22"/>
  <c r="C562" i="22"/>
  <c r="C563" i="22"/>
  <c r="C564" i="22"/>
  <c r="C565" i="22"/>
  <c r="C566" i="22"/>
  <c r="C567" i="22"/>
  <c r="C568" i="22"/>
  <c r="C569" i="22"/>
  <c r="C570" i="22"/>
  <c r="C571" i="22"/>
  <c r="C572" i="22"/>
  <c r="C573" i="22"/>
  <c r="C574" i="22"/>
  <c r="C575" i="22"/>
  <c r="C576" i="22"/>
  <c r="C577" i="22"/>
  <c r="C578" i="22"/>
  <c r="C579" i="22"/>
  <c r="C580" i="22"/>
  <c r="C581" i="22"/>
  <c r="C582" i="22"/>
  <c r="C583" i="22"/>
  <c r="C584" i="22"/>
  <c r="C585" i="22"/>
  <c r="C586" i="22"/>
  <c r="C587" i="22"/>
  <c r="C588" i="22"/>
  <c r="C589" i="22"/>
  <c r="C590" i="22"/>
  <c r="C591" i="22"/>
  <c r="C592" i="22"/>
  <c r="C593" i="22"/>
  <c r="C594" i="22"/>
  <c r="C595" i="22"/>
  <c r="C596" i="22"/>
  <c r="C597" i="22"/>
  <c r="C598" i="22"/>
  <c r="C599" i="22"/>
  <c r="C600" i="22"/>
  <c r="C601" i="22"/>
  <c r="C602" i="22"/>
  <c r="C603" i="22"/>
  <c r="C604" i="22"/>
  <c r="C605" i="22"/>
  <c r="C606" i="22"/>
  <c r="C607" i="22"/>
  <c r="C608" i="22"/>
  <c r="C609" i="22"/>
  <c r="C610" i="22"/>
  <c r="C611" i="22"/>
  <c r="C612" i="22"/>
  <c r="C613" i="22"/>
  <c r="C614" i="22"/>
  <c r="C615" i="22"/>
  <c r="C616" i="22"/>
  <c r="C617" i="22"/>
  <c r="C618" i="22"/>
  <c r="C619" i="22"/>
  <c r="C620" i="22"/>
  <c r="C621" i="22"/>
  <c r="C622" i="22"/>
  <c r="C623" i="22"/>
  <c r="C624" i="22"/>
  <c r="C625" i="22"/>
  <c r="C626" i="22"/>
  <c r="C627" i="22"/>
  <c r="C628" i="22"/>
  <c r="C629" i="22"/>
  <c r="C630" i="22"/>
  <c r="C631" i="22"/>
  <c r="C632" i="22"/>
  <c r="C633" i="22"/>
  <c r="C634" i="22"/>
  <c r="C635" i="22"/>
  <c r="C636" i="22"/>
  <c r="C637" i="22"/>
  <c r="C638" i="22"/>
  <c r="C639" i="22"/>
  <c r="C640" i="22"/>
  <c r="C641" i="22"/>
  <c r="C642" i="22"/>
  <c r="C643" i="22"/>
  <c r="C644" i="22"/>
  <c r="C645" i="22"/>
  <c r="C646" i="22"/>
  <c r="C647" i="22"/>
  <c r="C648" i="22"/>
  <c r="C649" i="22"/>
  <c r="C650" i="22"/>
  <c r="C651" i="22"/>
  <c r="C652" i="22"/>
  <c r="C653" i="22"/>
  <c r="C654" i="22"/>
  <c r="C655" i="22"/>
  <c r="C656" i="22"/>
  <c r="C657" i="22"/>
  <c r="C658" i="22"/>
  <c r="C659" i="22"/>
  <c r="C660" i="22"/>
  <c r="C661" i="22"/>
  <c r="C662" i="22"/>
  <c r="C663" i="22"/>
  <c r="C664" i="22"/>
  <c r="C665" i="22"/>
  <c r="C666" i="22"/>
  <c r="C667" i="22"/>
  <c r="C668" i="22"/>
  <c r="C669" i="22"/>
  <c r="C670" i="22"/>
  <c r="C671" i="22"/>
  <c r="C672" i="22"/>
  <c r="C673" i="22"/>
  <c r="C674" i="22"/>
  <c r="C675" i="22"/>
  <c r="C676" i="22"/>
  <c r="C677" i="22"/>
  <c r="C678" i="22"/>
  <c r="C679" i="22"/>
  <c r="C680" i="22"/>
  <c r="C681" i="22"/>
  <c r="C682" i="22"/>
  <c r="C683" i="22"/>
  <c r="C684" i="22"/>
  <c r="C685" i="22"/>
  <c r="C686" i="22"/>
  <c r="C687" i="22"/>
  <c r="C688" i="22"/>
  <c r="C689" i="22"/>
  <c r="C690" i="22"/>
  <c r="C691" i="22"/>
  <c r="C692" i="22"/>
  <c r="C693" i="22"/>
  <c r="C694" i="22"/>
  <c r="C695" i="22"/>
  <c r="C696" i="22"/>
  <c r="C697" i="22"/>
  <c r="C698" i="22"/>
  <c r="C699" i="22"/>
  <c r="C700" i="22"/>
  <c r="C701" i="22"/>
  <c r="C702" i="22"/>
  <c r="C703" i="22"/>
  <c r="C704" i="22"/>
  <c r="C705" i="22"/>
  <c r="C706" i="22"/>
  <c r="C707" i="22"/>
  <c r="C708" i="22"/>
  <c r="C709" i="22"/>
  <c r="C710" i="22"/>
  <c r="C711" i="22"/>
  <c r="C712" i="22"/>
  <c r="C713" i="22"/>
  <c r="C714" i="22"/>
  <c r="C715" i="22"/>
  <c r="C716" i="22"/>
  <c r="C717" i="22"/>
  <c r="C718" i="22"/>
  <c r="C719" i="22"/>
  <c r="C720" i="22"/>
  <c r="C721" i="22"/>
  <c r="C722" i="22"/>
  <c r="C723" i="22"/>
  <c r="C724" i="22"/>
  <c r="C725" i="22"/>
  <c r="C726" i="22"/>
  <c r="C727" i="22"/>
  <c r="C728" i="22"/>
  <c r="C729" i="22"/>
  <c r="C730" i="22"/>
  <c r="C731" i="22"/>
  <c r="C732" i="22"/>
  <c r="C733" i="22"/>
  <c r="C734" i="22"/>
  <c r="C735" i="22"/>
  <c r="C736" i="22"/>
  <c r="C737" i="22"/>
  <c r="C738" i="22"/>
  <c r="C739" i="22"/>
  <c r="C740" i="22"/>
  <c r="C741" i="22"/>
  <c r="C742" i="22"/>
  <c r="C743" i="22"/>
  <c r="C744" i="22"/>
  <c r="C745" i="22"/>
  <c r="C746" i="22"/>
  <c r="C747" i="22"/>
  <c r="C748" i="22"/>
  <c r="C749" i="22"/>
  <c r="C750" i="22"/>
  <c r="C751" i="22"/>
  <c r="C752" i="22"/>
  <c r="C753" i="22"/>
  <c r="C754" i="22"/>
  <c r="C755" i="22"/>
  <c r="C756" i="22"/>
  <c r="C757" i="22"/>
  <c r="C758" i="22"/>
  <c r="C759" i="22"/>
  <c r="C760" i="22"/>
  <c r="C761" i="22"/>
  <c r="C762" i="22"/>
  <c r="C763" i="22"/>
  <c r="C764" i="22"/>
  <c r="C765" i="22"/>
  <c r="C766" i="22"/>
  <c r="C767" i="22"/>
  <c r="C768" i="22"/>
  <c r="C769" i="22"/>
  <c r="C770" i="22"/>
  <c r="C771" i="22"/>
  <c r="C772" i="22"/>
  <c r="C773" i="22"/>
  <c r="C774" i="22"/>
  <c r="C775" i="22"/>
  <c r="C776" i="22"/>
  <c r="C777" i="22"/>
  <c r="C778" i="22"/>
  <c r="C779" i="22"/>
  <c r="C780" i="22"/>
  <c r="C781" i="22"/>
  <c r="C782" i="22"/>
  <c r="C783" i="22"/>
  <c r="C784" i="22"/>
  <c r="C785" i="22"/>
  <c r="C786" i="22"/>
  <c r="C787" i="22"/>
  <c r="C788" i="22"/>
  <c r="C789" i="22"/>
  <c r="C2" i="22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D205" i="21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E12" i="24" l="1"/>
  <c r="E14" i="24"/>
  <c r="F12" i="24"/>
  <c r="F14" i="24"/>
  <c r="D11" i="24"/>
  <c r="Y105" i="29"/>
  <c r="Y131" i="29"/>
  <c r="Y60" i="29"/>
  <c r="Y85" i="29"/>
  <c r="Y80" i="29"/>
  <c r="Y95" i="29"/>
  <c r="Y199" i="29"/>
  <c r="Y98" i="29"/>
  <c r="Y30" i="29"/>
  <c r="Y78" i="29"/>
  <c r="Y192" i="29"/>
  <c r="Y168" i="29"/>
  <c r="Y133" i="29"/>
  <c r="Y161" i="29"/>
  <c r="Y174" i="29"/>
  <c r="X57" i="29"/>
  <c r="X112" i="29"/>
  <c r="X136" i="29"/>
  <c r="X48" i="29"/>
  <c r="X51" i="29"/>
  <c r="X11" i="29"/>
  <c r="X55" i="29"/>
  <c r="X26" i="29"/>
  <c r="X77" i="29"/>
  <c r="X10" i="29"/>
  <c r="X61" i="29"/>
  <c r="X24" i="29"/>
  <c r="X27" i="29"/>
  <c r="Y17" i="29"/>
  <c r="Y97" i="29"/>
  <c r="Y44" i="29"/>
  <c r="Y67" i="29"/>
  <c r="Y22" i="29"/>
  <c r="Y188" i="29"/>
  <c r="Y201" i="29"/>
  <c r="Y106" i="29"/>
  <c r="Y143" i="29"/>
  <c r="Y74" i="29"/>
  <c r="Y205" i="29"/>
  <c r="Y179" i="29"/>
  <c r="Y137" i="29"/>
  <c r="Y24" i="29"/>
  <c r="Y12" i="29"/>
  <c r="Y15" i="29"/>
  <c r="Y84" i="29"/>
  <c r="Y72" i="29"/>
  <c r="Y93" i="29"/>
  <c r="Y112" i="29"/>
  <c r="AF112" i="29" s="1"/>
  <c r="Y109" i="29"/>
  <c r="Y42" i="29"/>
  <c r="Y110" i="29"/>
  <c r="Y115" i="29"/>
  <c r="Y171" i="29"/>
  <c r="Y147" i="29"/>
  <c r="Y173" i="29"/>
  <c r="Y186" i="29"/>
  <c r="AC68" i="29"/>
  <c r="AC141" i="29"/>
  <c r="AC186" i="29"/>
  <c r="AC54" i="29"/>
  <c r="AC132" i="29"/>
  <c r="AC174" i="29"/>
  <c r="AC147" i="29"/>
  <c r="AC153" i="29"/>
  <c r="AC152" i="29"/>
  <c r="AC200" i="29"/>
  <c r="AC197" i="29"/>
  <c r="Y25" i="29"/>
  <c r="Y118" i="29"/>
  <c r="Y31" i="29"/>
  <c r="Y89" i="29"/>
  <c r="AF89" i="29" s="1"/>
  <c r="Y79" i="29"/>
  <c r="Y69" i="29"/>
  <c r="Y116" i="29"/>
  <c r="Y134" i="29"/>
  <c r="Y46" i="29"/>
  <c r="Y144" i="29"/>
  <c r="Y127" i="29"/>
  <c r="Y184" i="29"/>
  <c r="Y154" i="29"/>
  <c r="Y177" i="29"/>
  <c r="Y190" i="29"/>
  <c r="X114" i="29"/>
  <c r="X118" i="29"/>
  <c r="AF118" i="29" s="1"/>
  <c r="X33" i="29"/>
  <c r="X100" i="29"/>
  <c r="X153" i="29"/>
  <c r="X67" i="29"/>
  <c r="X70" i="29"/>
  <c r="X87" i="29"/>
  <c r="X207" i="29"/>
  <c r="X169" i="29"/>
  <c r="X144" i="29"/>
  <c r="X190" i="29"/>
  <c r="X205" i="29"/>
  <c r="X186" i="29"/>
  <c r="Y71" i="29"/>
  <c r="Y41" i="29"/>
  <c r="Y132" i="29"/>
  <c r="Y70" i="29"/>
  <c r="Y125" i="29"/>
  <c r="Y99" i="29"/>
  <c r="Y87" i="29"/>
  <c r="Y175" i="29"/>
  <c r="Y170" i="29"/>
  <c r="Y82" i="29"/>
  <c r="Y57" i="29"/>
  <c r="Y11" i="29"/>
  <c r="Y32" i="29"/>
  <c r="Y111" i="29"/>
  <c r="Y83" i="29"/>
  <c r="Y92" i="29"/>
  <c r="Y140" i="29"/>
  <c r="Y135" i="29"/>
  <c r="Y50" i="29"/>
  <c r="Y157" i="29"/>
  <c r="Y145" i="29"/>
  <c r="AF145" i="29" s="1"/>
  <c r="Y187" i="29"/>
  <c r="Y155" i="29"/>
  <c r="Y181" i="29"/>
  <c r="Y49" i="29"/>
  <c r="Y20" i="29"/>
  <c r="Y9" i="29"/>
  <c r="Y51" i="29"/>
  <c r="Y55" i="29"/>
  <c r="Y36" i="29"/>
  <c r="Y8" i="29"/>
  <c r="Y61" i="29"/>
  <c r="Y103" i="29"/>
  <c r="Y77" i="29"/>
  <c r="Y48" i="29"/>
  <c r="Y29" i="29"/>
  <c r="Y16" i="29"/>
  <c r="Y63" i="29"/>
  <c r="Y27" i="29"/>
  <c r="Y96" i="29"/>
  <c r="Y45" i="29"/>
  <c r="Y26" i="29"/>
  <c r="Y129" i="29"/>
  <c r="Y56" i="29"/>
  <c r="Y19" i="29"/>
  <c r="Y156" i="29"/>
  <c r="Y52" i="29"/>
  <c r="Y107" i="29"/>
  <c r="Y158" i="29"/>
  <c r="Y165" i="29"/>
  <c r="Y23" i="29"/>
  <c r="Y160" i="29"/>
  <c r="Y119" i="29"/>
  <c r="Y90" i="29"/>
  <c r="Y38" i="29"/>
  <c r="Y166" i="29"/>
  <c r="Y141" i="29"/>
  <c r="Y182" i="29"/>
  <c r="N210" i="29"/>
  <c r="AC81" i="29"/>
  <c r="AC84" i="29"/>
  <c r="AC117" i="29"/>
  <c r="AC14" i="29"/>
  <c r="AC62" i="29"/>
  <c r="AC195" i="29"/>
  <c r="AC171" i="29"/>
  <c r="AC190" i="29"/>
  <c r="AC155" i="29"/>
  <c r="AC160" i="29"/>
  <c r="AC157" i="29"/>
  <c r="AC205" i="29"/>
  <c r="X49" i="29"/>
  <c r="Y122" i="29"/>
  <c r="Y13" i="29"/>
  <c r="Y33" i="29"/>
  <c r="Y123" i="29"/>
  <c r="Y88" i="29"/>
  <c r="Y102" i="29"/>
  <c r="Y151" i="29"/>
  <c r="Y152" i="29"/>
  <c r="Y54" i="29"/>
  <c r="Y180" i="29"/>
  <c r="Y200" i="29"/>
  <c r="Y196" i="29"/>
  <c r="Y162" i="29"/>
  <c r="Y185" i="29"/>
  <c r="Y198" i="29"/>
  <c r="X103" i="29"/>
  <c r="X43" i="29"/>
  <c r="X35" i="29"/>
  <c r="X16" i="29"/>
  <c r="X104" i="29"/>
  <c r="X98" i="29"/>
  <c r="X113" i="29"/>
  <c r="X107" i="29"/>
  <c r="X86" i="29"/>
  <c r="X146" i="29"/>
  <c r="X182" i="29"/>
  <c r="X198" i="29"/>
  <c r="X203" i="29"/>
  <c r="X202" i="29"/>
  <c r="Y47" i="29"/>
  <c r="Y153" i="29"/>
  <c r="Y43" i="29"/>
  <c r="Y35" i="29"/>
  <c r="Y150" i="29"/>
  <c r="Y101" i="29"/>
  <c r="Y167" i="29"/>
  <c r="Y94" i="29"/>
  <c r="Y10" i="29"/>
  <c r="Y58" i="29"/>
  <c r="Y183" i="29"/>
  <c r="Y148" i="29"/>
  <c r="Y113" i="29"/>
  <c r="Y163" i="29"/>
  <c r="Y189" i="29"/>
  <c r="Y202" i="29"/>
  <c r="AC131" i="29"/>
  <c r="AC95" i="29"/>
  <c r="AC87" i="29"/>
  <c r="AC75" i="29"/>
  <c r="AC163" i="29"/>
  <c r="AC41" i="29"/>
  <c r="AC37" i="29"/>
  <c r="AC29" i="29"/>
  <c r="AC23" i="29"/>
  <c r="AC16" i="29"/>
  <c r="AC90" i="29"/>
  <c r="AC69" i="29"/>
  <c r="AC116" i="29"/>
  <c r="AC36" i="29"/>
  <c r="AC32" i="29"/>
  <c r="AC25" i="29"/>
  <c r="AC19" i="29"/>
  <c r="AC93" i="29"/>
  <c r="AC85" i="29"/>
  <c r="AC28" i="29"/>
  <c r="AC105" i="29"/>
  <c r="AC76" i="29"/>
  <c r="AC43" i="29"/>
  <c r="AC21" i="29"/>
  <c r="AC72" i="29"/>
  <c r="AC24" i="29"/>
  <c r="AC98" i="29"/>
  <c r="AC94" i="29"/>
  <c r="AC59" i="29"/>
  <c r="AC44" i="29"/>
  <c r="AC12" i="29"/>
  <c r="AC57" i="29"/>
  <c r="AC63" i="29"/>
  <c r="AC27" i="29"/>
  <c r="AC67" i="29"/>
  <c r="AC17" i="29"/>
  <c r="AC91" i="29"/>
  <c r="AC20" i="29"/>
  <c r="AC49" i="29"/>
  <c r="AC13" i="29"/>
  <c r="Y121" i="29"/>
  <c r="Y204" i="29"/>
  <c r="Y197" i="29"/>
  <c r="Y81" i="29"/>
  <c r="Y149" i="29"/>
  <c r="Y126" i="29"/>
  <c r="Y203" i="29"/>
  <c r="Y120" i="29"/>
  <c r="AF120" i="29" s="1"/>
  <c r="Y64" i="29"/>
  <c r="Y91" i="29"/>
  <c r="Y207" i="29"/>
  <c r="U8" i="29"/>
  <c r="Y65" i="29"/>
  <c r="Y104" i="29"/>
  <c r="Y75" i="29"/>
  <c r="Y34" i="29"/>
  <c r="Y124" i="29"/>
  <c r="Y178" i="29"/>
  <c r="Y76" i="29"/>
  <c r="Y73" i="29"/>
  <c r="Y68" i="29"/>
  <c r="Y108" i="29"/>
  <c r="Y86" i="29"/>
  <c r="Y136" i="29"/>
  <c r="Y169" i="29"/>
  <c r="T210" i="29"/>
  <c r="AC207" i="29"/>
  <c r="AC83" i="29"/>
  <c r="AC129" i="29"/>
  <c r="AC51" i="29"/>
  <c r="AC118" i="29"/>
  <c r="AC71" i="29"/>
  <c r="AC22" i="29"/>
  <c r="AC70" i="29"/>
  <c r="AC140" i="29"/>
  <c r="AC179" i="29"/>
  <c r="AC143" i="29"/>
  <c r="AC178" i="29"/>
  <c r="AC168" i="29"/>
  <c r="AC165" i="29"/>
  <c r="AC108" i="29"/>
  <c r="AC48" i="29"/>
  <c r="AC52" i="29"/>
  <c r="X23" i="29"/>
  <c r="Y114" i="29"/>
  <c r="Y53" i="29"/>
  <c r="Y39" i="29"/>
  <c r="Y172" i="29"/>
  <c r="Y128" i="29"/>
  <c r="Y100" i="29"/>
  <c r="Y130" i="29"/>
  <c r="Y14" i="29"/>
  <c r="Y62" i="29"/>
  <c r="Y191" i="29"/>
  <c r="Y159" i="29"/>
  <c r="Y117" i="29"/>
  <c r="Y164" i="29"/>
  <c r="Y193" i="29"/>
  <c r="X150" i="29"/>
  <c r="X109" i="29"/>
  <c r="X59" i="29"/>
  <c r="X40" i="29"/>
  <c r="X36" i="29"/>
  <c r="X29" i="29"/>
  <c r="X137" i="29"/>
  <c r="X151" i="29"/>
  <c r="X142" i="29"/>
  <c r="X124" i="29"/>
  <c r="X164" i="29"/>
  <c r="X139" i="29"/>
  <c r="AF139" i="29" s="1"/>
  <c r="X175" i="29"/>
  <c r="X172" i="29"/>
  <c r="AE204" i="29"/>
  <c r="AE200" i="29"/>
  <c r="AE196" i="29"/>
  <c r="AE192" i="29"/>
  <c r="AE188" i="29"/>
  <c r="AE184" i="29"/>
  <c r="AE180" i="29"/>
  <c r="AE176" i="29"/>
  <c r="AE172" i="29"/>
  <c r="AE203" i="29"/>
  <c r="AE199" i="29"/>
  <c r="AE195" i="29"/>
  <c r="AE191" i="29"/>
  <c r="AE187" i="29"/>
  <c r="AE183" i="29"/>
  <c r="AE179" i="29"/>
  <c r="AE175" i="29"/>
  <c r="AE171" i="29"/>
  <c r="AE167" i="29"/>
  <c r="AE163" i="29"/>
  <c r="AE159" i="29"/>
  <c r="AE197" i="29"/>
  <c r="AE189" i="29"/>
  <c r="AF189" i="29" s="1"/>
  <c r="AE181" i="29"/>
  <c r="AE173" i="29"/>
  <c r="AE202" i="29"/>
  <c r="AE144" i="29"/>
  <c r="AE139" i="29"/>
  <c r="AE135" i="29"/>
  <c r="AE131" i="29"/>
  <c r="AE127" i="29"/>
  <c r="AE123" i="29"/>
  <c r="AE119" i="29"/>
  <c r="AE115" i="29"/>
  <c r="AE201" i="29"/>
  <c r="AE194" i="29"/>
  <c r="AE178" i="29"/>
  <c r="AE164" i="29"/>
  <c r="AE156" i="29"/>
  <c r="AE152" i="29"/>
  <c r="AE151" i="29"/>
  <c r="AE150" i="29"/>
  <c r="AE158" i="29"/>
  <c r="AE157" i="29"/>
  <c r="AE185" i="29"/>
  <c r="AE149" i="29"/>
  <c r="AE182" i="29"/>
  <c r="AE193" i="29"/>
  <c r="AE177" i="29"/>
  <c r="AE162" i="29"/>
  <c r="AE142" i="29"/>
  <c r="AE136" i="29"/>
  <c r="AE130" i="29"/>
  <c r="AE169" i="29"/>
  <c r="AE153" i="29"/>
  <c r="AE120" i="29"/>
  <c r="AE170" i="29"/>
  <c r="AE155" i="29"/>
  <c r="AE145" i="29"/>
  <c r="AE138" i="29"/>
  <c r="AF138" i="29" s="1"/>
  <c r="AE126" i="29"/>
  <c r="AE103" i="29"/>
  <c r="AE102" i="29"/>
  <c r="AE95" i="29"/>
  <c r="AE84" i="29"/>
  <c r="AE80" i="29"/>
  <c r="AE76" i="29"/>
  <c r="AE72" i="29"/>
  <c r="AE68" i="29"/>
  <c r="AE64" i="29"/>
  <c r="AE60" i="29"/>
  <c r="AE56" i="29"/>
  <c r="AE52" i="29"/>
  <c r="AE48" i="29"/>
  <c r="AE44" i="29"/>
  <c r="AE40" i="29"/>
  <c r="AE36" i="29"/>
  <c r="AE32" i="29"/>
  <c r="AE28" i="29"/>
  <c r="AE24" i="29"/>
  <c r="AE20" i="29"/>
  <c r="AE16" i="29"/>
  <c r="AE12" i="29"/>
  <c r="AE8" i="29"/>
  <c r="AE88" i="29"/>
  <c r="AE166" i="29"/>
  <c r="AE160" i="29"/>
  <c r="AE190" i="29"/>
  <c r="AE146" i="29"/>
  <c r="AE141" i="29"/>
  <c r="AE129" i="29"/>
  <c r="AE186" i="29"/>
  <c r="AE165" i="29"/>
  <c r="AE154" i="29"/>
  <c r="AE148" i="29"/>
  <c r="AE134" i="29"/>
  <c r="AE108" i="29"/>
  <c r="AE147" i="29"/>
  <c r="AE117" i="29"/>
  <c r="AE113" i="29"/>
  <c r="AE92" i="29"/>
  <c r="AE133" i="29"/>
  <c r="AE174" i="29"/>
  <c r="AE109" i="29"/>
  <c r="AE118" i="29"/>
  <c r="AE114" i="29"/>
  <c r="AE205" i="29"/>
  <c r="AE198" i="29"/>
  <c r="AE124" i="29"/>
  <c r="AE110" i="29"/>
  <c r="AE104" i="29"/>
  <c r="AE81" i="29"/>
  <c r="AE79" i="29"/>
  <c r="AE63" i="29"/>
  <c r="AE161" i="29"/>
  <c r="AE97" i="29"/>
  <c r="AE96" i="29"/>
  <c r="AE85" i="29"/>
  <c r="AE83" i="29"/>
  <c r="AE82" i="29"/>
  <c r="AE78" i="29"/>
  <c r="AE77" i="29"/>
  <c r="AE62" i="29"/>
  <c r="AE61" i="29"/>
  <c r="AE46" i="29"/>
  <c r="AE45" i="29"/>
  <c r="AE99" i="29"/>
  <c r="AE89" i="29"/>
  <c r="AE132" i="29"/>
  <c r="AE121" i="29"/>
  <c r="AE59" i="29"/>
  <c r="AE57" i="29"/>
  <c r="AE55" i="29"/>
  <c r="AE54" i="29"/>
  <c r="AE107" i="29"/>
  <c r="AE90" i="29"/>
  <c r="AE74" i="29"/>
  <c r="AE69" i="29"/>
  <c r="AE58" i="29"/>
  <c r="AE38" i="29"/>
  <c r="AE37" i="29"/>
  <c r="AE22" i="29"/>
  <c r="AE21" i="29"/>
  <c r="AE168" i="29"/>
  <c r="AE125" i="29"/>
  <c r="AE93" i="29"/>
  <c r="AE75" i="29"/>
  <c r="AE65" i="29"/>
  <c r="AE86" i="29"/>
  <c r="AE73" i="29"/>
  <c r="AE71" i="29"/>
  <c r="AE47" i="29"/>
  <c r="AE140" i="29"/>
  <c r="AE137" i="29"/>
  <c r="AE112" i="29"/>
  <c r="AE143" i="29"/>
  <c r="AE128" i="29"/>
  <c r="AE105" i="29"/>
  <c r="AE91" i="29"/>
  <c r="AE49" i="29"/>
  <c r="AE116" i="29"/>
  <c r="AE111" i="29"/>
  <c r="AE98" i="29"/>
  <c r="AE94" i="29"/>
  <c r="AE70" i="29"/>
  <c r="AE67" i="29"/>
  <c r="AE53" i="29"/>
  <c r="AE43" i="29"/>
  <c r="AE42" i="29"/>
  <c r="AE87" i="29"/>
  <c r="AE35" i="29"/>
  <c r="AE33" i="29"/>
  <c r="AE27" i="29"/>
  <c r="AE101" i="29"/>
  <c r="AE18" i="29"/>
  <c r="AE9" i="29"/>
  <c r="AE66" i="29"/>
  <c r="AE50" i="29"/>
  <c r="AE31" i="29"/>
  <c r="AE15" i="29"/>
  <c r="AE29" i="29"/>
  <c r="AE26" i="29"/>
  <c r="AE19" i="29"/>
  <c r="AE106" i="29"/>
  <c r="AE122" i="29"/>
  <c r="AE23" i="29"/>
  <c r="AE51" i="29"/>
  <c r="AE34" i="29"/>
  <c r="AE100" i="29"/>
  <c r="AE13" i="29"/>
  <c r="AE10" i="29"/>
  <c r="AE11" i="29"/>
  <c r="AE30" i="29"/>
  <c r="AE17" i="29"/>
  <c r="AE41" i="29"/>
  <c r="AE39" i="29"/>
  <c r="AE25" i="29"/>
  <c r="AE14" i="29"/>
  <c r="Q208" i="29"/>
  <c r="W203" i="29"/>
  <c r="W199" i="29"/>
  <c r="W195" i="29"/>
  <c r="W191" i="29"/>
  <c r="AF191" i="29" s="1"/>
  <c r="W187" i="29"/>
  <c r="AF187" i="29" s="1"/>
  <c r="W183" i="29"/>
  <c r="W179" i="29"/>
  <c r="W175" i="29"/>
  <c r="W171" i="29"/>
  <c r="W167" i="29"/>
  <c r="W163" i="29"/>
  <c r="W159" i="29"/>
  <c r="W155" i="29"/>
  <c r="W202" i="29"/>
  <c r="AF202" i="29" s="1"/>
  <c r="W198" i="29"/>
  <c r="W194" i="29"/>
  <c r="W190" i="29"/>
  <c r="W186" i="29"/>
  <c r="W182" i="29"/>
  <c r="W178" i="29"/>
  <c r="W174" i="29"/>
  <c r="W170" i="29"/>
  <c r="W166" i="29"/>
  <c r="W162" i="29"/>
  <c r="W158" i="29"/>
  <c r="W154" i="29"/>
  <c r="W150" i="29"/>
  <c r="W146" i="29"/>
  <c r="W169" i="29"/>
  <c r="AF169" i="29" s="1"/>
  <c r="W168" i="29"/>
  <c r="W196" i="29"/>
  <c r="W197" i="29"/>
  <c r="W161" i="29"/>
  <c r="W160" i="29"/>
  <c r="W157" i="29"/>
  <c r="W148" i="29"/>
  <c r="W205" i="29"/>
  <c r="W137" i="29"/>
  <c r="AF137" i="29" s="1"/>
  <c r="W131" i="29"/>
  <c r="W125" i="29"/>
  <c r="W119" i="29"/>
  <c r="AF119" i="29" s="1"/>
  <c r="W113" i="29"/>
  <c r="W109" i="29"/>
  <c r="W105" i="29"/>
  <c r="AF105" i="29" s="1"/>
  <c r="W184" i="29"/>
  <c r="W181" i="29"/>
  <c r="W201" i="29"/>
  <c r="W192" i="29"/>
  <c r="W189" i="29"/>
  <c r="W176" i="29"/>
  <c r="W173" i="29"/>
  <c r="W134" i="29"/>
  <c r="W188" i="29"/>
  <c r="AF188" i="29" s="1"/>
  <c r="W151" i="29"/>
  <c r="W143" i="29"/>
  <c r="W142" i="29"/>
  <c r="W141" i="29"/>
  <c r="W140" i="29"/>
  <c r="W135" i="29"/>
  <c r="W132" i="29"/>
  <c r="W130" i="29"/>
  <c r="W129" i="29"/>
  <c r="W118" i="29"/>
  <c r="W117" i="29"/>
  <c r="W102" i="29"/>
  <c r="AF102" i="29" s="1"/>
  <c r="W98" i="29"/>
  <c r="W94" i="29"/>
  <c r="W90" i="29"/>
  <c r="AF90" i="29" s="1"/>
  <c r="W200" i="29"/>
  <c r="W177" i="29"/>
  <c r="W152" i="29"/>
  <c r="W193" i="29"/>
  <c r="W165" i="29"/>
  <c r="W133" i="29"/>
  <c r="W121" i="29"/>
  <c r="AF121" i="29" s="1"/>
  <c r="W114" i="29"/>
  <c r="W111" i="29"/>
  <c r="W185" i="29"/>
  <c r="W180" i="29"/>
  <c r="W144" i="29"/>
  <c r="W123" i="29"/>
  <c r="W122" i="29"/>
  <c r="W120" i="29"/>
  <c r="W99" i="29"/>
  <c r="W92" i="29"/>
  <c r="W149" i="29"/>
  <c r="W136" i="29"/>
  <c r="W172" i="29"/>
  <c r="W156" i="29"/>
  <c r="AF156" i="29" s="1"/>
  <c r="W95" i="29"/>
  <c r="W88" i="29"/>
  <c r="W84" i="29"/>
  <c r="W80" i="29"/>
  <c r="W76" i="29"/>
  <c r="W72" i="29"/>
  <c r="W68" i="29"/>
  <c r="W64" i="29"/>
  <c r="W60" i="29"/>
  <c r="W56" i="29"/>
  <c r="W52" i="29"/>
  <c r="W48" i="29"/>
  <c r="AF48" i="29" s="1"/>
  <c r="W44" i="29"/>
  <c r="W40" i="29"/>
  <c r="W36" i="29"/>
  <c r="W32" i="29"/>
  <c r="W28" i="29"/>
  <c r="W24" i="29"/>
  <c r="W20" i="29"/>
  <c r="W16" i="29"/>
  <c r="W12" i="29"/>
  <c r="W8" i="29"/>
  <c r="W147" i="29"/>
  <c r="AF147" i="29" s="1"/>
  <c r="W128" i="29"/>
  <c r="AF128" i="29" s="1"/>
  <c r="W106" i="29"/>
  <c r="W83" i="29"/>
  <c r="W77" i="29"/>
  <c r="W145" i="29"/>
  <c r="W112" i="29"/>
  <c r="W138" i="29"/>
  <c r="W126" i="29"/>
  <c r="W108" i="29"/>
  <c r="W164" i="29"/>
  <c r="W101" i="29"/>
  <c r="W100" i="29"/>
  <c r="AF100" i="29" s="1"/>
  <c r="W71" i="29"/>
  <c r="AF71" i="29" s="1"/>
  <c r="W70" i="29"/>
  <c r="W55" i="29"/>
  <c r="W54" i="29"/>
  <c r="W103" i="29"/>
  <c r="W78" i="29"/>
  <c r="W66" i="29"/>
  <c r="W87" i="29"/>
  <c r="W139" i="29"/>
  <c r="W67" i="29"/>
  <c r="AF67" i="29" s="1"/>
  <c r="W31" i="29"/>
  <c r="W30" i="29"/>
  <c r="W115" i="29"/>
  <c r="AF115" i="29" s="1"/>
  <c r="W79" i="29"/>
  <c r="W116" i="29"/>
  <c r="W51" i="29"/>
  <c r="W29" i="29"/>
  <c r="W27" i="29"/>
  <c r="W17" i="29"/>
  <c r="W73" i="29"/>
  <c r="W104" i="29"/>
  <c r="W96" i="29"/>
  <c r="W63" i="29"/>
  <c r="W58" i="29"/>
  <c r="W38" i="29"/>
  <c r="AF38" i="29" s="1"/>
  <c r="W37" i="29"/>
  <c r="W13" i="29"/>
  <c r="W85" i="29"/>
  <c r="W75" i="29"/>
  <c r="W53" i="29"/>
  <c r="W42" i="29"/>
  <c r="W41" i="29"/>
  <c r="W39" i="29"/>
  <c r="W35" i="29"/>
  <c r="W34" i="29"/>
  <c r="W33" i="29"/>
  <c r="W15" i="29"/>
  <c r="W14" i="29"/>
  <c r="W81" i="29"/>
  <c r="W59" i="29"/>
  <c r="W43" i="29"/>
  <c r="W45" i="29"/>
  <c r="W74" i="29"/>
  <c r="W69" i="29"/>
  <c r="W49" i="29"/>
  <c r="W153" i="29"/>
  <c r="AF153" i="29" s="1"/>
  <c r="W127" i="29"/>
  <c r="W61" i="29"/>
  <c r="AF61" i="29" s="1"/>
  <c r="W46" i="29"/>
  <c r="W57" i="29"/>
  <c r="W11" i="29"/>
  <c r="W93" i="29"/>
  <c r="W82" i="29"/>
  <c r="W47" i="29"/>
  <c r="W21" i="29"/>
  <c r="W107" i="29"/>
  <c r="W25" i="29"/>
  <c r="W204" i="29"/>
  <c r="AF204" i="29" s="1"/>
  <c r="W97" i="29"/>
  <c r="W86" i="29"/>
  <c r="W26" i="29"/>
  <c r="AF26" i="29" s="1"/>
  <c r="W10" i="29"/>
  <c r="W89" i="29"/>
  <c r="W62" i="29"/>
  <c r="W9" i="29"/>
  <c r="W18" i="29"/>
  <c r="W110" i="29"/>
  <c r="W50" i="29"/>
  <c r="W22" i="29"/>
  <c r="W65" i="29"/>
  <c r="AF65" i="29" s="1"/>
  <c r="W91" i="29"/>
  <c r="W23" i="29"/>
  <c r="W19" i="29"/>
  <c r="AF19" i="29" s="1"/>
  <c r="W124" i="29"/>
  <c r="T208" i="29"/>
  <c r="AD204" i="29"/>
  <c r="AD202" i="29"/>
  <c r="AD199" i="29"/>
  <c r="AD198" i="29"/>
  <c r="AD191" i="29"/>
  <c r="AD190" i="29"/>
  <c r="AD183" i="29"/>
  <c r="AF183" i="29" s="1"/>
  <c r="AD182" i="29"/>
  <c r="AD175" i="29"/>
  <c r="AD174" i="29"/>
  <c r="AD200" i="29"/>
  <c r="AD195" i="29"/>
  <c r="AD194" i="29"/>
  <c r="AD187" i="29"/>
  <c r="AD186" i="29"/>
  <c r="AD179" i="29"/>
  <c r="AD178" i="29"/>
  <c r="AD171" i="29"/>
  <c r="AD170" i="29"/>
  <c r="AD169" i="29"/>
  <c r="AD151" i="29"/>
  <c r="AD181" i="29"/>
  <c r="AD168" i="29"/>
  <c r="AD155" i="29"/>
  <c r="AD154" i="29"/>
  <c r="AD153" i="29"/>
  <c r="AD207" i="29"/>
  <c r="AD201" i="29"/>
  <c r="AD164" i="29"/>
  <c r="AD156" i="29"/>
  <c r="AD152" i="29"/>
  <c r="AD150" i="29"/>
  <c r="AD140" i="29"/>
  <c r="AD134" i="29"/>
  <c r="AD128" i="29"/>
  <c r="AD122" i="29"/>
  <c r="AD116" i="29"/>
  <c r="AD188" i="29"/>
  <c r="AD172" i="29"/>
  <c r="AD158" i="29"/>
  <c r="AD157" i="29"/>
  <c r="AD185" i="29"/>
  <c r="AD192" i="29"/>
  <c r="AD180" i="29"/>
  <c r="AF180" i="29" s="1"/>
  <c r="AD161" i="29"/>
  <c r="AD205" i="29"/>
  <c r="AD177" i="29"/>
  <c r="AD148" i="29"/>
  <c r="AD124" i="29"/>
  <c r="AD123" i="29"/>
  <c r="AD112" i="29"/>
  <c r="AD105" i="29"/>
  <c r="AD197" i="29"/>
  <c r="AD173" i="29"/>
  <c r="AD159" i="29"/>
  <c r="AD167" i="29"/>
  <c r="AD139" i="29"/>
  <c r="AD137" i="29"/>
  <c r="AD127" i="29"/>
  <c r="AD125" i="29"/>
  <c r="AD96" i="29"/>
  <c r="AD89" i="29"/>
  <c r="AD176" i="29"/>
  <c r="AD145" i="29"/>
  <c r="AD138" i="29"/>
  <c r="AD126" i="29"/>
  <c r="AD103" i="29"/>
  <c r="AD102" i="29"/>
  <c r="AD95" i="29"/>
  <c r="AD84" i="29"/>
  <c r="AD80" i="29"/>
  <c r="AD166" i="29"/>
  <c r="AD162" i="29"/>
  <c r="AD160" i="29"/>
  <c r="AD109" i="29"/>
  <c r="AD98" i="29"/>
  <c r="AD91" i="29"/>
  <c r="AD165" i="29"/>
  <c r="AD163" i="29"/>
  <c r="AD144" i="29"/>
  <c r="AD129" i="29"/>
  <c r="AD108" i="29"/>
  <c r="AD70" i="29"/>
  <c r="AD69" i="29"/>
  <c r="AD68" i="29"/>
  <c r="AD147" i="29"/>
  <c r="AD149" i="29"/>
  <c r="AD141" i="29"/>
  <c r="AD133" i="29"/>
  <c r="AD130" i="29"/>
  <c r="AD121" i="29"/>
  <c r="AD136" i="29"/>
  <c r="AD118" i="29"/>
  <c r="AD114" i="29"/>
  <c r="AD193" i="29"/>
  <c r="AD189" i="29"/>
  <c r="AD142" i="29"/>
  <c r="AD119" i="29"/>
  <c r="AD115" i="29"/>
  <c r="AD110" i="29"/>
  <c r="AD104" i="29"/>
  <c r="AD81" i="29"/>
  <c r="AD79" i="29"/>
  <c r="AD63" i="29"/>
  <c r="AD47" i="29"/>
  <c r="AD111" i="29"/>
  <c r="AD92" i="29"/>
  <c r="AD73" i="29"/>
  <c r="AD60" i="29"/>
  <c r="AD117" i="29"/>
  <c r="AD113" i="29"/>
  <c r="AD99" i="29"/>
  <c r="AD61" i="29"/>
  <c r="AD56" i="29"/>
  <c r="AD132" i="29"/>
  <c r="AD62" i="29"/>
  <c r="AD59" i="29"/>
  <c r="AD57" i="29"/>
  <c r="AD55" i="29"/>
  <c r="AD54" i="29"/>
  <c r="AD39" i="29"/>
  <c r="AD23" i="29"/>
  <c r="AD196" i="29"/>
  <c r="AD107" i="29"/>
  <c r="AD90" i="29"/>
  <c r="AD85" i="29"/>
  <c r="AD76" i="29"/>
  <c r="AD74" i="29"/>
  <c r="AD184" i="29"/>
  <c r="AD135" i="29"/>
  <c r="AD88" i="29"/>
  <c r="AD10" i="29"/>
  <c r="AD9" i="29"/>
  <c r="AD8" i="29"/>
  <c r="AD131" i="29"/>
  <c r="AD65" i="29"/>
  <c r="AD46" i="29"/>
  <c r="AD97" i="29"/>
  <c r="AD86" i="29"/>
  <c r="AD77" i="29"/>
  <c r="AD71" i="29"/>
  <c r="AD48" i="29"/>
  <c r="AD20" i="29"/>
  <c r="AD120" i="29"/>
  <c r="AD82" i="29"/>
  <c r="AD203" i="29"/>
  <c r="AD75" i="29"/>
  <c r="AD64" i="29"/>
  <c r="AD44" i="29"/>
  <c r="AD41" i="29"/>
  <c r="AD34" i="29"/>
  <c r="AD14" i="29"/>
  <c r="AD13" i="29"/>
  <c r="AD12" i="29"/>
  <c r="AD45" i="29"/>
  <c r="AD32" i="29"/>
  <c r="AD24" i="29"/>
  <c r="AD25" i="29"/>
  <c r="AD87" i="29"/>
  <c r="AD52" i="29"/>
  <c r="AD35" i="29"/>
  <c r="AD33" i="29"/>
  <c r="AD22" i="29"/>
  <c r="AD101" i="29"/>
  <c r="AD78" i="29"/>
  <c r="AD58" i="29"/>
  <c r="AD18" i="29"/>
  <c r="AD66" i="29"/>
  <c r="AD50" i="29"/>
  <c r="AD36" i="29"/>
  <c r="AD31" i="29"/>
  <c r="AD15" i="29"/>
  <c r="AD100" i="29"/>
  <c r="AD94" i="29"/>
  <c r="AD16" i="29"/>
  <c r="AD28" i="29"/>
  <c r="AD143" i="29"/>
  <c r="AD40" i="29"/>
  <c r="AD38" i="29"/>
  <c r="AD29" i="29"/>
  <c r="AD26" i="29"/>
  <c r="AD19" i="29"/>
  <c r="AD106" i="29"/>
  <c r="AD43" i="29"/>
  <c r="AD42" i="29"/>
  <c r="AD146" i="29"/>
  <c r="AD83" i="29"/>
  <c r="AD53" i="29"/>
  <c r="AD51" i="29"/>
  <c r="AD27" i="29"/>
  <c r="AD72" i="29"/>
  <c r="AD67" i="29"/>
  <c r="AD49" i="29"/>
  <c r="AD37" i="29"/>
  <c r="AD21" i="29"/>
  <c r="AD11" i="29"/>
  <c r="AD93" i="29"/>
  <c r="AD30" i="29"/>
  <c r="AD17" i="29"/>
  <c r="AF17" i="29" s="1"/>
  <c r="E207" i="29"/>
  <c r="U27" i="29"/>
  <c r="H208" i="29"/>
  <c r="G210" i="29"/>
  <c r="Q210" i="29"/>
  <c r="S210" i="29"/>
  <c r="R210" i="29"/>
  <c r="O210" i="29"/>
  <c r="M210" i="29"/>
  <c r="AF39" i="29"/>
  <c r="AA205" i="29"/>
  <c r="AA203" i="29"/>
  <c r="AA204" i="29"/>
  <c r="AA197" i="29"/>
  <c r="AA189" i="29"/>
  <c r="AA181" i="29"/>
  <c r="AA173" i="29"/>
  <c r="AA201" i="29"/>
  <c r="AA193" i="29"/>
  <c r="AA185" i="29"/>
  <c r="AA177" i="29"/>
  <c r="AA168" i="29"/>
  <c r="AA167" i="29"/>
  <c r="AA165" i="29"/>
  <c r="AA153" i="29"/>
  <c r="AA146" i="29"/>
  <c r="AA196" i="29"/>
  <c r="AA190" i="29"/>
  <c r="AA187" i="29"/>
  <c r="AA174" i="29"/>
  <c r="AA171" i="29"/>
  <c r="AA163" i="29"/>
  <c r="AA162" i="29"/>
  <c r="AA135" i="29"/>
  <c r="AA123" i="29"/>
  <c r="AA164" i="29"/>
  <c r="AA152" i="29"/>
  <c r="AA194" i="29"/>
  <c r="AA191" i="29"/>
  <c r="AA188" i="29"/>
  <c r="AA178" i="29"/>
  <c r="AA199" i="29"/>
  <c r="AA200" i="29"/>
  <c r="AA166" i="29"/>
  <c r="AA145" i="29"/>
  <c r="AA144" i="29"/>
  <c r="AA138" i="29"/>
  <c r="AA192" i="29"/>
  <c r="AA186" i="29"/>
  <c r="AA158" i="29"/>
  <c r="AA175" i="29"/>
  <c r="AA161" i="29"/>
  <c r="AA202" i="29"/>
  <c r="AA179" i="29"/>
  <c r="AA180" i="29"/>
  <c r="AA172" i="29"/>
  <c r="AA198" i="29"/>
  <c r="AA136" i="29"/>
  <c r="AA124" i="29"/>
  <c r="AA108" i="29"/>
  <c r="AA107" i="29"/>
  <c r="AA106" i="29"/>
  <c r="AA155" i="29"/>
  <c r="AA149" i="29"/>
  <c r="AA105" i="29"/>
  <c r="AA97" i="29"/>
  <c r="AA90" i="29"/>
  <c r="AA85" i="29"/>
  <c r="AA81" i="29"/>
  <c r="AA176" i="29"/>
  <c r="AA150" i="29"/>
  <c r="AA139" i="29"/>
  <c r="AA127" i="29"/>
  <c r="AA126" i="29"/>
  <c r="AA147" i="29"/>
  <c r="AA143" i="29"/>
  <c r="AA119" i="29"/>
  <c r="AA117" i="29"/>
  <c r="AA114" i="29"/>
  <c r="AA113" i="29"/>
  <c r="AA112" i="29"/>
  <c r="AA111" i="29"/>
  <c r="AA93" i="29"/>
  <c r="AA154" i="29"/>
  <c r="AF154" i="29" s="1"/>
  <c r="AA195" i="29"/>
  <c r="AA132" i="29"/>
  <c r="AA72" i="29"/>
  <c r="AA157" i="29"/>
  <c r="AA170" i="29"/>
  <c r="AA151" i="29"/>
  <c r="AA129" i="29"/>
  <c r="AA102" i="29"/>
  <c r="AA101" i="29"/>
  <c r="AA121" i="29"/>
  <c r="AA182" i="29"/>
  <c r="AA159" i="29"/>
  <c r="AA141" i="29"/>
  <c r="AA133" i="29"/>
  <c r="AA103" i="29"/>
  <c r="AA156" i="29"/>
  <c r="AA130" i="29"/>
  <c r="AA109" i="29"/>
  <c r="AA95" i="29"/>
  <c r="AA94" i="29"/>
  <c r="AA67" i="29"/>
  <c r="AA66" i="29"/>
  <c r="AF66" i="29" s="1"/>
  <c r="AA65" i="29"/>
  <c r="AA51" i="29"/>
  <c r="AA50" i="29"/>
  <c r="AA49" i="29"/>
  <c r="AA183" i="29"/>
  <c r="AA169" i="29"/>
  <c r="AA142" i="29"/>
  <c r="AA137" i="29"/>
  <c r="AA98" i="29"/>
  <c r="AA83" i="29"/>
  <c r="AA80" i="29"/>
  <c r="AA79" i="29"/>
  <c r="AA115" i="29"/>
  <c r="AA104" i="29"/>
  <c r="AA92" i="29"/>
  <c r="AA84" i="29"/>
  <c r="AA96" i="29"/>
  <c r="AA89" i="29"/>
  <c r="AA73" i="29"/>
  <c r="AA68" i="29"/>
  <c r="AA47" i="29"/>
  <c r="AA43" i="29"/>
  <c r="AA42" i="29"/>
  <c r="AA41" i="29"/>
  <c r="AF41" i="29" s="1"/>
  <c r="AA27" i="29"/>
  <c r="AA26" i="29"/>
  <c r="AA25" i="29"/>
  <c r="AA99" i="29"/>
  <c r="AA160" i="29"/>
  <c r="AA148" i="29"/>
  <c r="AA100" i="29"/>
  <c r="AA75" i="29"/>
  <c r="AA59" i="29"/>
  <c r="AA44" i="29"/>
  <c r="AA12" i="29"/>
  <c r="AA8" i="29"/>
  <c r="AA118" i="29"/>
  <c r="AA76" i="29"/>
  <c r="AA60" i="29"/>
  <c r="AA54" i="29"/>
  <c r="AA45" i="29"/>
  <c r="AA88" i="29"/>
  <c r="AA11" i="29"/>
  <c r="AA10" i="29"/>
  <c r="AA9" i="29"/>
  <c r="AA131" i="29"/>
  <c r="AA110" i="29"/>
  <c r="AA46" i="29"/>
  <c r="AA140" i="29"/>
  <c r="AA134" i="29"/>
  <c r="AA86" i="29"/>
  <c r="AA77" i="29"/>
  <c r="AA71" i="29"/>
  <c r="AA61" i="29"/>
  <c r="AA55" i="29"/>
  <c r="AA78" i="29"/>
  <c r="AA37" i="29"/>
  <c r="AA36" i="29"/>
  <c r="AA29" i="29"/>
  <c r="AA28" i="29"/>
  <c r="AA16" i="29"/>
  <c r="AA82" i="29"/>
  <c r="AA64" i="29"/>
  <c r="AA39" i="29"/>
  <c r="AA17" i="29"/>
  <c r="AA14" i="29"/>
  <c r="AA23" i="29"/>
  <c r="AA116" i="29"/>
  <c r="AA30" i="29"/>
  <c r="AA21" i="29"/>
  <c r="AA74" i="29"/>
  <c r="AA62" i="29"/>
  <c r="AA56" i="29"/>
  <c r="AA52" i="29"/>
  <c r="AA33" i="29"/>
  <c r="AA184" i="29"/>
  <c r="AA87" i="29"/>
  <c r="AA58" i="29"/>
  <c r="AA35" i="29"/>
  <c r="AA22" i="29"/>
  <c r="AA19" i="29"/>
  <c r="AA13" i="29"/>
  <c r="AA18" i="29"/>
  <c r="AA70" i="29"/>
  <c r="AA91" i="29"/>
  <c r="AA120" i="29"/>
  <c r="AA69" i="29"/>
  <c r="AA122" i="29"/>
  <c r="AA48" i="29"/>
  <c r="AA40" i="29"/>
  <c r="AA38" i="29"/>
  <c r="AA31" i="29"/>
  <c r="AA15" i="29"/>
  <c r="AA125" i="29"/>
  <c r="AA63" i="29"/>
  <c r="AA57" i="29"/>
  <c r="AA20" i="29"/>
  <c r="AA128" i="29"/>
  <c r="AA53" i="29"/>
  <c r="AA34" i="29"/>
  <c r="AA32" i="29"/>
  <c r="AA24" i="29"/>
  <c r="S208" i="29"/>
  <c r="G208" i="29"/>
  <c r="G209" i="29" s="1"/>
  <c r="D210" i="29"/>
  <c r="O208" i="29"/>
  <c r="K208" i="29"/>
  <c r="J208" i="29"/>
  <c r="I208" i="29"/>
  <c r="W207" i="29"/>
  <c r="N208" i="29"/>
  <c r="AE207" i="29"/>
  <c r="D211" i="27"/>
  <c r="Z185" i="27"/>
  <c r="K211" i="27"/>
  <c r="E205" i="27"/>
  <c r="U8" i="27"/>
  <c r="W202" i="27"/>
  <c r="W198" i="27"/>
  <c r="W194" i="27"/>
  <c r="W190" i="27"/>
  <c r="W186" i="27"/>
  <c r="W182" i="27"/>
  <c r="W178" i="27"/>
  <c r="W174" i="27"/>
  <c r="W170" i="27"/>
  <c r="W166" i="27"/>
  <c r="Z166" i="27" s="1"/>
  <c r="W162" i="27"/>
  <c r="W158" i="27"/>
  <c r="W154" i="27"/>
  <c r="W150" i="27"/>
  <c r="W146" i="27"/>
  <c r="W142" i="27"/>
  <c r="W138" i="27"/>
  <c r="W134" i="27"/>
  <c r="W130" i="27"/>
  <c r="W126" i="27"/>
  <c r="W122" i="27"/>
  <c r="W118" i="27"/>
  <c r="W114" i="27"/>
  <c r="W110" i="27"/>
  <c r="W106" i="27"/>
  <c r="W102" i="27"/>
  <c r="W203" i="27"/>
  <c r="W199" i="27"/>
  <c r="W195" i="27"/>
  <c r="W191" i="27"/>
  <c r="W187" i="27"/>
  <c r="W183" i="27"/>
  <c r="W179" i="27"/>
  <c r="W175" i="27"/>
  <c r="W171" i="27"/>
  <c r="W167" i="27"/>
  <c r="W163" i="27"/>
  <c r="W159" i="27"/>
  <c r="W155" i="27"/>
  <c r="W151" i="27"/>
  <c r="W147" i="27"/>
  <c r="W143" i="27"/>
  <c r="W139" i="27"/>
  <c r="Z139" i="27" s="1"/>
  <c r="W135" i="27"/>
  <c r="W131" i="27"/>
  <c r="W127" i="27"/>
  <c r="W123" i="27"/>
  <c r="W119" i="27"/>
  <c r="W115" i="27"/>
  <c r="W111" i="27"/>
  <c r="W107" i="27"/>
  <c r="W103" i="27"/>
  <c r="W197" i="27"/>
  <c r="W184" i="27"/>
  <c r="W173" i="27"/>
  <c r="W207" i="27"/>
  <c r="W200" i="27"/>
  <c r="W189" i="27"/>
  <c r="W196" i="27"/>
  <c r="Z196" i="27" s="1"/>
  <c r="W185" i="27"/>
  <c r="W192" i="27"/>
  <c r="W204" i="27"/>
  <c r="W201" i="27"/>
  <c r="W180" i="27"/>
  <c r="W168" i="27"/>
  <c r="W157" i="27"/>
  <c r="W161" i="27"/>
  <c r="W120" i="27"/>
  <c r="W113" i="27"/>
  <c r="W152" i="27"/>
  <c r="W133" i="27"/>
  <c r="Z133" i="27" s="1"/>
  <c r="W129" i="27"/>
  <c r="W98" i="27"/>
  <c r="W81" i="27"/>
  <c r="W74" i="27"/>
  <c r="W57" i="27"/>
  <c r="W50" i="27"/>
  <c r="W188" i="27"/>
  <c r="W145" i="27"/>
  <c r="W141" i="27"/>
  <c r="W177" i="27"/>
  <c r="W172" i="27"/>
  <c r="W156" i="27"/>
  <c r="W165" i="27"/>
  <c r="W193" i="27"/>
  <c r="W169" i="27"/>
  <c r="W136" i="27"/>
  <c r="W181" i="27"/>
  <c r="W149" i="27"/>
  <c r="W109" i="27"/>
  <c r="W105" i="27"/>
  <c r="W83" i="27"/>
  <c r="W71" i="27"/>
  <c r="W68" i="27"/>
  <c r="W65" i="27"/>
  <c r="W62" i="27"/>
  <c r="W56" i="27"/>
  <c r="W53" i="27"/>
  <c r="W25" i="27"/>
  <c r="W18" i="27"/>
  <c r="W11" i="27"/>
  <c r="W32" i="27"/>
  <c r="W15" i="27"/>
  <c r="W132" i="27"/>
  <c r="W95" i="27"/>
  <c r="W92" i="27"/>
  <c r="W89" i="27"/>
  <c r="W86" i="27"/>
  <c r="W80" i="27"/>
  <c r="W77" i="27"/>
  <c r="W140" i="27"/>
  <c r="W29" i="27"/>
  <c r="W22" i="27"/>
  <c r="W148" i="27"/>
  <c r="W137" i="27"/>
  <c r="W124" i="27"/>
  <c r="W112" i="27"/>
  <c r="W75" i="27"/>
  <c r="W69" i="27"/>
  <c r="W66" i="27"/>
  <c r="W63" i="27"/>
  <c r="W60" i="27"/>
  <c r="W54" i="27"/>
  <c r="W48" i="27"/>
  <c r="W99" i="27"/>
  <c r="W93" i="27"/>
  <c r="W90" i="27"/>
  <c r="W87" i="27"/>
  <c r="W84" i="27"/>
  <c r="W78" i="27"/>
  <c r="W72" i="27"/>
  <c r="W23" i="27"/>
  <c r="W16" i="27"/>
  <c r="W176" i="27"/>
  <c r="W164" i="27"/>
  <c r="W104" i="27"/>
  <c r="W96" i="27"/>
  <c r="W37" i="27"/>
  <c r="W30" i="27"/>
  <c r="W13" i="27"/>
  <c r="W9" i="27"/>
  <c r="W160" i="27"/>
  <c r="W128" i="27"/>
  <c r="Z128" i="27" s="1"/>
  <c r="W85" i="27"/>
  <c r="W73" i="27"/>
  <c r="W67" i="27"/>
  <c r="W64" i="27"/>
  <c r="W58" i="27"/>
  <c r="W55" i="27"/>
  <c r="W52" i="27"/>
  <c r="W46" i="27"/>
  <c r="W34" i="27"/>
  <c r="W17" i="27"/>
  <c r="W121" i="27"/>
  <c r="Z121" i="27" s="1"/>
  <c r="W59" i="27"/>
  <c r="W43" i="27"/>
  <c r="W35" i="27"/>
  <c r="W10" i="27"/>
  <c r="W28" i="27"/>
  <c r="W21" i="27"/>
  <c r="W12" i="27"/>
  <c r="W76" i="27"/>
  <c r="W24" i="27"/>
  <c r="W117" i="27"/>
  <c r="W94" i="27"/>
  <c r="W79" i="27"/>
  <c r="W51" i="27"/>
  <c r="W40" i="27"/>
  <c r="W38" i="27"/>
  <c r="W26" i="27"/>
  <c r="W8" i="27"/>
  <c r="W108" i="27"/>
  <c r="W91" i="27"/>
  <c r="W61" i="27"/>
  <c r="W36" i="27"/>
  <c r="Z36" i="27" s="1"/>
  <c r="W70" i="27"/>
  <c r="W44" i="27"/>
  <c r="W101" i="27"/>
  <c r="W88" i="27"/>
  <c r="W45" i="27"/>
  <c r="W42" i="27"/>
  <c r="W14" i="27"/>
  <c r="W20" i="27"/>
  <c r="W97" i="27"/>
  <c r="W82" i="27"/>
  <c r="W41" i="27"/>
  <c r="W33" i="27"/>
  <c r="W39" i="27"/>
  <c r="W27" i="27"/>
  <c r="W116" i="27"/>
  <c r="W31" i="27"/>
  <c r="W144" i="27"/>
  <c r="W125" i="27"/>
  <c r="W49" i="27"/>
  <c r="W153" i="27"/>
  <c r="W100" i="27"/>
  <c r="W47" i="27"/>
  <c r="W19" i="27"/>
  <c r="J209" i="27"/>
  <c r="I209" i="27"/>
  <c r="L209" i="27"/>
  <c r="K209" i="27"/>
  <c r="X207" i="27"/>
  <c r="X195" i="27"/>
  <c r="X171" i="27"/>
  <c r="X204" i="27"/>
  <c r="X193" i="27"/>
  <c r="X182" i="27"/>
  <c r="X180" i="27"/>
  <c r="X169" i="27"/>
  <c r="X158" i="27"/>
  <c r="X156" i="27"/>
  <c r="X145" i="27"/>
  <c r="X187" i="27"/>
  <c r="X198" i="27"/>
  <c r="Z198" i="27" s="1"/>
  <c r="X196" i="27"/>
  <c r="X185" i="27"/>
  <c r="X174" i="27"/>
  <c r="X172" i="27"/>
  <c r="X161" i="27"/>
  <c r="X150" i="27"/>
  <c r="X148" i="27"/>
  <c r="X137" i="27"/>
  <c r="X183" i="27"/>
  <c r="X203" i="27"/>
  <c r="X201" i="27"/>
  <c r="X190" i="27"/>
  <c r="X188" i="27"/>
  <c r="X177" i="27"/>
  <c r="X166" i="27"/>
  <c r="X164" i="27"/>
  <c r="X153" i="27"/>
  <c r="X142" i="27"/>
  <c r="X140" i="27"/>
  <c r="X124" i="27"/>
  <c r="X189" i="27"/>
  <c r="X173" i="27"/>
  <c r="X159" i="27"/>
  <c r="Z159" i="27" s="1"/>
  <c r="X170" i="27"/>
  <c r="X152" i="27"/>
  <c r="X139" i="27"/>
  <c r="X133" i="27"/>
  <c r="X131" i="27"/>
  <c r="X129" i="27"/>
  <c r="X106" i="27"/>
  <c r="X194" i="27"/>
  <c r="X175" i="27"/>
  <c r="X163" i="27"/>
  <c r="X154" i="27"/>
  <c r="X143" i="27"/>
  <c r="X141" i="27"/>
  <c r="X127" i="27"/>
  <c r="X118" i="27"/>
  <c r="X95" i="27"/>
  <c r="X88" i="27"/>
  <c r="X71" i="27"/>
  <c r="X64" i="27"/>
  <c r="X47" i="27"/>
  <c r="X40" i="27"/>
  <c r="X191" i="27"/>
  <c r="X125" i="27"/>
  <c r="X200" i="27"/>
  <c r="X197" i="27"/>
  <c r="X165" i="27"/>
  <c r="X179" i="27"/>
  <c r="X167" i="27"/>
  <c r="X184" i="27"/>
  <c r="X160" i="27"/>
  <c r="X149" i="27"/>
  <c r="X138" i="27"/>
  <c r="X132" i="27"/>
  <c r="X202" i="27"/>
  <c r="Z202" i="27" s="1"/>
  <c r="X199" i="27"/>
  <c r="X176" i="27"/>
  <c r="X186" i="27"/>
  <c r="X178" i="27"/>
  <c r="X146" i="27"/>
  <c r="X92" i="27"/>
  <c r="X89" i="27"/>
  <c r="X86" i="27"/>
  <c r="X80" i="27"/>
  <c r="X77" i="27"/>
  <c r="X74" i="27"/>
  <c r="X32" i="27"/>
  <c r="X15" i="27"/>
  <c r="X29" i="27"/>
  <c r="X181" i="27"/>
  <c r="X162" i="27"/>
  <c r="X135" i="27"/>
  <c r="X103" i="27"/>
  <c r="X98" i="27"/>
  <c r="X22" i="27"/>
  <c r="X155" i="27"/>
  <c r="X116" i="27"/>
  <c r="X101" i="27"/>
  <c r="X51" i="27"/>
  <c r="X45" i="27"/>
  <c r="X42" i="27"/>
  <c r="X39" i="27"/>
  <c r="X36" i="27"/>
  <c r="X19" i="27"/>
  <c r="X12" i="27"/>
  <c r="X8" i="27"/>
  <c r="X151" i="27"/>
  <c r="X120" i="27"/>
  <c r="X99" i="27"/>
  <c r="X93" i="27"/>
  <c r="X90" i="27"/>
  <c r="X87" i="27"/>
  <c r="X84" i="27"/>
  <c r="X81" i="27"/>
  <c r="X78" i="27"/>
  <c r="X72" i="27"/>
  <c r="X168" i="27"/>
  <c r="X134" i="27"/>
  <c r="X122" i="27"/>
  <c r="X110" i="27"/>
  <c r="X104" i="27"/>
  <c r="X96" i="27"/>
  <c r="X37" i="27"/>
  <c r="X30" i="27"/>
  <c r="X13" i="27"/>
  <c r="X9" i="27"/>
  <c r="X192" i="27"/>
  <c r="X108" i="27"/>
  <c r="X61" i="27"/>
  <c r="X49" i="27"/>
  <c r="X43" i="27"/>
  <c r="X27" i="27"/>
  <c r="X20" i="27"/>
  <c r="X157" i="27"/>
  <c r="X144" i="27"/>
  <c r="X117" i="27"/>
  <c r="X102" i="27"/>
  <c r="X97" i="27"/>
  <c r="X91" i="27"/>
  <c r="X82" i="27"/>
  <c r="X79" i="27"/>
  <c r="X76" i="27"/>
  <c r="X70" i="27"/>
  <c r="X31" i="27"/>
  <c r="X24" i="27"/>
  <c r="X10" i="27"/>
  <c r="X94" i="27"/>
  <c r="X54" i="27"/>
  <c r="X28" i="27"/>
  <c r="X21" i="27"/>
  <c r="X56" i="27"/>
  <c r="X33" i="27"/>
  <c r="X17" i="27"/>
  <c r="X147" i="27"/>
  <c r="X105" i="27"/>
  <c r="X66" i="27"/>
  <c r="X11" i="27"/>
  <c r="X112" i="27"/>
  <c r="X62" i="27"/>
  <c r="X26" i="27"/>
  <c r="X35" i="27"/>
  <c r="X114" i="27"/>
  <c r="X111" i="27"/>
  <c r="X69" i="27"/>
  <c r="X123" i="27"/>
  <c r="X34" i="27"/>
  <c r="X23" i="27"/>
  <c r="X14" i="27"/>
  <c r="X55" i="27"/>
  <c r="X41" i="27"/>
  <c r="X121" i="27"/>
  <c r="X109" i="27"/>
  <c r="X48" i="27"/>
  <c r="X67" i="27"/>
  <c r="X128" i="27"/>
  <c r="X59" i="27"/>
  <c r="X46" i="27"/>
  <c r="X130" i="27"/>
  <c r="X58" i="27"/>
  <c r="X25" i="27"/>
  <c r="X16" i="27"/>
  <c r="X136" i="27"/>
  <c r="X119" i="27"/>
  <c r="X83" i="27"/>
  <c r="X73" i="27"/>
  <c r="X63" i="27"/>
  <c r="X53" i="27"/>
  <c r="X18" i="27"/>
  <c r="X126" i="27"/>
  <c r="X113" i="27"/>
  <c r="X107" i="27"/>
  <c r="X85" i="27"/>
  <c r="X115" i="27"/>
  <c r="X100" i="27"/>
  <c r="X68" i="27"/>
  <c r="X60" i="27"/>
  <c r="X50" i="27"/>
  <c r="X75" i="27"/>
  <c r="X65" i="27"/>
  <c r="X52" i="27"/>
  <c r="X44" i="27"/>
  <c r="X57" i="27"/>
  <c r="X38" i="27"/>
  <c r="V202" i="27"/>
  <c r="V198" i="27"/>
  <c r="V194" i="27"/>
  <c r="Z194" i="27" s="1"/>
  <c r="V190" i="27"/>
  <c r="V186" i="27"/>
  <c r="V182" i="27"/>
  <c r="Z182" i="27" s="1"/>
  <c r="V178" i="27"/>
  <c r="Z178" i="27" s="1"/>
  <c r="V174" i="27"/>
  <c r="V170" i="27"/>
  <c r="V166" i="27"/>
  <c r="V162" i="27"/>
  <c r="V158" i="27"/>
  <c r="V154" i="27"/>
  <c r="V150" i="27"/>
  <c r="V146" i="27"/>
  <c r="Z146" i="27" s="1"/>
  <c r="V142" i="27"/>
  <c r="Z142" i="27" s="1"/>
  <c r="V138" i="27"/>
  <c r="Z138" i="27" s="1"/>
  <c r="V134" i="27"/>
  <c r="V130" i="27"/>
  <c r="V126" i="27"/>
  <c r="V122" i="27"/>
  <c r="V203" i="27"/>
  <c r="V199" i="27"/>
  <c r="Z199" i="27" s="1"/>
  <c r="V195" i="27"/>
  <c r="V191" i="27"/>
  <c r="V187" i="27"/>
  <c r="V183" i="27"/>
  <c r="V179" i="27"/>
  <c r="V175" i="27"/>
  <c r="V171" i="27"/>
  <c r="V167" i="27"/>
  <c r="Z167" i="27" s="1"/>
  <c r="V163" i="27"/>
  <c r="V159" i="27"/>
  <c r="V155" i="27"/>
  <c r="V151" i="27"/>
  <c r="V147" i="27"/>
  <c r="V143" i="27"/>
  <c r="V139" i="27"/>
  <c r="V135" i="27"/>
  <c r="V197" i="27"/>
  <c r="V184" i="27"/>
  <c r="V173" i="27"/>
  <c r="V160" i="27"/>
  <c r="V149" i="27"/>
  <c r="V200" i="27"/>
  <c r="V189" i="27"/>
  <c r="V176" i="27"/>
  <c r="V165" i="27"/>
  <c r="Z165" i="27" s="1"/>
  <c r="V152" i="27"/>
  <c r="V141" i="27"/>
  <c r="V192" i="27"/>
  <c r="Z192" i="27" s="1"/>
  <c r="V181" i="27"/>
  <c r="V168" i="27"/>
  <c r="V157" i="27"/>
  <c r="V144" i="27"/>
  <c r="V133" i="27"/>
  <c r="V131" i="27"/>
  <c r="V119" i="27"/>
  <c r="V111" i="27"/>
  <c r="Z111" i="27" s="1"/>
  <c r="V103" i="27"/>
  <c r="Z103" i="27" s="1"/>
  <c r="V100" i="27"/>
  <c r="V96" i="27"/>
  <c r="V92" i="27"/>
  <c r="V88" i="27"/>
  <c r="V84" i="27"/>
  <c r="V80" i="27"/>
  <c r="V76" i="27"/>
  <c r="V72" i="27"/>
  <c r="V68" i="27"/>
  <c r="V64" i="27"/>
  <c r="V60" i="27"/>
  <c r="V56" i="27"/>
  <c r="Z56" i="27" s="1"/>
  <c r="V52" i="27"/>
  <c r="V48" i="27"/>
  <c r="V44" i="27"/>
  <c r="V40" i="27"/>
  <c r="Z40" i="27" s="1"/>
  <c r="V148" i="27"/>
  <c r="V204" i="27"/>
  <c r="Z204" i="27" s="1"/>
  <c r="V201" i="27"/>
  <c r="Z201" i="27" s="1"/>
  <c r="V180" i="27"/>
  <c r="V137" i="27"/>
  <c r="V108" i="27"/>
  <c r="V185" i="27"/>
  <c r="V161" i="27"/>
  <c r="V120" i="27"/>
  <c r="V113" i="27"/>
  <c r="V106" i="27"/>
  <c r="Z106" i="27" s="1"/>
  <c r="V101" i="27"/>
  <c r="V91" i="27"/>
  <c r="V67" i="27"/>
  <c r="V43" i="27"/>
  <c r="Z43" i="27" s="1"/>
  <c r="V36" i="27"/>
  <c r="V32" i="27"/>
  <c r="V28" i="27"/>
  <c r="V24" i="27"/>
  <c r="V20" i="27"/>
  <c r="V16" i="27"/>
  <c r="V129" i="27"/>
  <c r="V127" i="27"/>
  <c r="V188" i="27"/>
  <c r="Z188" i="27" s="1"/>
  <c r="V207" i="27"/>
  <c r="V177" i="27"/>
  <c r="V172" i="27"/>
  <c r="Z172" i="27" s="1"/>
  <c r="V205" i="27"/>
  <c r="V196" i="27"/>
  <c r="V121" i="27"/>
  <c r="V107" i="27"/>
  <c r="Z107" i="27" s="1"/>
  <c r="V59" i="27"/>
  <c r="V50" i="27"/>
  <c r="V47" i="27"/>
  <c r="V41" i="27"/>
  <c r="V38" i="27"/>
  <c r="Z38" i="27" s="1"/>
  <c r="V35" i="27"/>
  <c r="V74" i="27"/>
  <c r="V25" i="27"/>
  <c r="Z25" i="27" s="1"/>
  <c r="V11" i="27"/>
  <c r="V118" i="27"/>
  <c r="V109" i="27"/>
  <c r="V105" i="27"/>
  <c r="V83" i="27"/>
  <c r="V71" i="27"/>
  <c r="V65" i="27"/>
  <c r="V62" i="27"/>
  <c r="V53" i="27"/>
  <c r="Z53" i="27" s="1"/>
  <c r="V18" i="27"/>
  <c r="V193" i="27"/>
  <c r="V140" i="27"/>
  <c r="Z140" i="27" s="1"/>
  <c r="V169" i="27"/>
  <c r="V132" i="27"/>
  <c r="V98" i="27"/>
  <c r="V95" i="27"/>
  <c r="V89" i="27"/>
  <c r="V86" i="27"/>
  <c r="V77" i="27"/>
  <c r="Z77" i="27" s="1"/>
  <c r="V15" i="27"/>
  <c r="V145" i="27"/>
  <c r="V116" i="27"/>
  <c r="V114" i="27"/>
  <c r="V57" i="27"/>
  <c r="Z57" i="27" s="1"/>
  <c r="V51" i="27"/>
  <c r="V45" i="27"/>
  <c r="V42" i="27"/>
  <c r="V124" i="27"/>
  <c r="V112" i="27"/>
  <c r="V81" i="27"/>
  <c r="V75" i="27"/>
  <c r="V69" i="27"/>
  <c r="V66" i="27"/>
  <c r="Z66" i="27" s="1"/>
  <c r="V63" i="27"/>
  <c r="V54" i="27"/>
  <c r="Z54" i="27" s="1"/>
  <c r="V33" i="27"/>
  <c r="Z33" i="27" s="1"/>
  <c r="V26" i="27"/>
  <c r="V110" i="27"/>
  <c r="V99" i="27"/>
  <c r="V93" i="27"/>
  <c r="V90" i="27"/>
  <c r="V87" i="27"/>
  <c r="Z87" i="27" s="1"/>
  <c r="V78" i="27"/>
  <c r="V23" i="27"/>
  <c r="Z23" i="27" s="1"/>
  <c r="V164" i="27"/>
  <c r="Z164" i="27" s="1"/>
  <c r="V136" i="27"/>
  <c r="V61" i="27"/>
  <c r="V49" i="27"/>
  <c r="Z49" i="27" s="1"/>
  <c r="V27" i="27"/>
  <c r="V156" i="27"/>
  <c r="V128" i="27"/>
  <c r="V102" i="27"/>
  <c r="V46" i="27"/>
  <c r="V8" i="27"/>
  <c r="V10" i="27"/>
  <c r="V9" i="27"/>
  <c r="V13" i="27"/>
  <c r="V31" i="27"/>
  <c r="V70" i="27"/>
  <c r="V17" i="27"/>
  <c r="V19" i="27"/>
  <c r="V117" i="27"/>
  <c r="V94" i="27"/>
  <c r="V79" i="27"/>
  <c r="V37" i="27"/>
  <c r="V21" i="27"/>
  <c r="V12" i="27"/>
  <c r="V30" i="27"/>
  <c r="V39" i="27"/>
  <c r="V97" i="27"/>
  <c r="V82" i="27"/>
  <c r="V22" i="27"/>
  <c r="V123" i="27"/>
  <c r="V104" i="27"/>
  <c r="V34" i="27"/>
  <c r="V153" i="27"/>
  <c r="V125" i="27"/>
  <c r="V115" i="27"/>
  <c r="V58" i="27"/>
  <c r="V14" i="27"/>
  <c r="Z14" i="27" s="1"/>
  <c r="V73" i="27"/>
  <c r="V85" i="27"/>
  <c r="V55" i="27"/>
  <c r="V29" i="27"/>
  <c r="Z29" i="27" s="1"/>
  <c r="S211" i="27"/>
  <c r="X205" i="27"/>
  <c r="I211" i="27"/>
  <c r="G211" i="27"/>
  <c r="Q209" i="27"/>
  <c r="O209" i="27"/>
  <c r="F211" i="27"/>
  <c r="R211" i="27"/>
  <c r="P211" i="27"/>
  <c r="Q211" i="27"/>
  <c r="N211" i="27"/>
  <c r="M211" i="27"/>
  <c r="G209" i="27"/>
  <c r="G210" i="27" s="1"/>
  <c r="J211" i="27"/>
  <c r="T209" i="27"/>
  <c r="H211" i="27"/>
  <c r="H209" i="27"/>
  <c r="H210" i="27" s="1"/>
  <c r="P209" i="27"/>
  <c r="M209" i="27"/>
  <c r="J209" i="25"/>
  <c r="G211" i="25"/>
  <c r="Q211" i="25"/>
  <c r="N211" i="25"/>
  <c r="K209" i="25"/>
  <c r="H209" i="25"/>
  <c r="Q209" i="25"/>
  <c r="P211" i="25"/>
  <c r="O209" i="25"/>
  <c r="Y204" i="25"/>
  <c r="Y198" i="25"/>
  <c r="Y121" i="25"/>
  <c r="Y70" i="25"/>
  <c r="Y82" i="25"/>
  <c r="Y31" i="25"/>
  <c r="Y72" i="25"/>
  <c r="Y25" i="25"/>
  <c r="Y176" i="25"/>
  <c r="Y124" i="25"/>
  <c r="AA124" i="25" s="1"/>
  <c r="Y23" i="25"/>
  <c r="Y63" i="25"/>
  <c r="Y38" i="25"/>
  <c r="Y104" i="25"/>
  <c r="Y19" i="25"/>
  <c r="Y49" i="25"/>
  <c r="F211" i="25"/>
  <c r="H211" i="25"/>
  <c r="T209" i="25"/>
  <c r="K211" i="25"/>
  <c r="L209" i="25"/>
  <c r="Y46" i="25"/>
  <c r="W204" i="25"/>
  <c r="W181" i="25"/>
  <c r="W157" i="25"/>
  <c r="W114" i="25"/>
  <c r="W56" i="25"/>
  <c r="W28" i="25"/>
  <c r="W18" i="25"/>
  <c r="W14" i="25"/>
  <c r="W121" i="25"/>
  <c r="W119" i="25"/>
  <c r="W88" i="25"/>
  <c r="W207" i="25"/>
  <c r="W193" i="25"/>
  <c r="W180" i="25"/>
  <c r="W169" i="25"/>
  <c r="W24" i="25"/>
  <c r="W27" i="25"/>
  <c r="W68" i="25"/>
  <c r="W13" i="25"/>
  <c r="W9" i="25"/>
  <c r="W8" i="25"/>
  <c r="W96" i="25"/>
  <c r="W115" i="25"/>
  <c r="W162" i="25"/>
  <c r="W99" i="25"/>
  <c r="W22" i="25"/>
  <c r="W174" i="25"/>
  <c r="W101" i="25"/>
  <c r="W90" i="25"/>
  <c r="W43" i="25"/>
  <c r="W59" i="25"/>
  <c r="W54" i="25"/>
  <c r="W46" i="25"/>
  <c r="W75" i="25"/>
  <c r="W37" i="25"/>
  <c r="W168" i="25"/>
  <c r="W108" i="25"/>
  <c r="W97" i="25"/>
  <c r="W183" i="25"/>
  <c r="W159" i="25"/>
  <c r="W137" i="25"/>
  <c r="W34" i="25"/>
  <c r="W191" i="25"/>
  <c r="AA153" i="25"/>
  <c r="AA165" i="25"/>
  <c r="AA62" i="25"/>
  <c r="AA104" i="25"/>
  <c r="AA91" i="25"/>
  <c r="AA187" i="25"/>
  <c r="AA186" i="25"/>
  <c r="AA9" i="25"/>
  <c r="AA148" i="25"/>
  <c r="AA142" i="25"/>
  <c r="AA145" i="25"/>
  <c r="AA157" i="25"/>
  <c r="V203" i="25"/>
  <c r="AA203" i="25" s="1"/>
  <c r="V202" i="25"/>
  <c r="AA202" i="25" s="1"/>
  <c r="V199" i="25"/>
  <c r="AA199" i="25" s="1"/>
  <c r="V192" i="25"/>
  <c r="AA192" i="25" s="1"/>
  <c r="V181" i="25"/>
  <c r="V174" i="25"/>
  <c r="AA174" i="25" s="1"/>
  <c r="V163" i="25"/>
  <c r="AA163" i="25" s="1"/>
  <c r="V156" i="25"/>
  <c r="AA156" i="25" s="1"/>
  <c r="V145" i="25"/>
  <c r="V138" i="25"/>
  <c r="AA138" i="25" s="1"/>
  <c r="V127" i="25"/>
  <c r="V120" i="25"/>
  <c r="AA120" i="25" s="1"/>
  <c r="V109" i="25"/>
  <c r="AA109" i="25" s="1"/>
  <c r="V102" i="25"/>
  <c r="AA102" i="25" s="1"/>
  <c r="V91" i="25"/>
  <c r="V205" i="25"/>
  <c r="V196" i="25"/>
  <c r="AA196" i="25" s="1"/>
  <c r="V185" i="25"/>
  <c r="AA185" i="25" s="1"/>
  <c r="V178" i="25"/>
  <c r="AA178" i="25" s="1"/>
  <c r="V167" i="25"/>
  <c r="AA167" i="25" s="1"/>
  <c r="V160" i="25"/>
  <c r="AA160" i="25" s="1"/>
  <c r="V200" i="25"/>
  <c r="AA200" i="25" s="1"/>
  <c r="V189" i="25"/>
  <c r="AA189" i="25" s="1"/>
  <c r="V182" i="25"/>
  <c r="AA182" i="25" s="1"/>
  <c r="V171" i="25"/>
  <c r="AA171" i="25" s="1"/>
  <c r="V164" i="25"/>
  <c r="AA164" i="25" s="1"/>
  <c r="V153" i="25"/>
  <c r="V146" i="25"/>
  <c r="AA146" i="25" s="1"/>
  <c r="V135" i="25"/>
  <c r="AA135" i="25" s="1"/>
  <c r="V128" i="25"/>
  <c r="AA128" i="25" s="1"/>
  <c r="V117" i="25"/>
  <c r="AA117" i="25" s="1"/>
  <c r="V110" i="25"/>
  <c r="AA110" i="25" s="1"/>
  <c r="V99" i="25"/>
  <c r="V92" i="25"/>
  <c r="AA92" i="25" s="1"/>
  <c r="V88" i="25"/>
  <c r="V83" i="25"/>
  <c r="AA83" i="25" s="1"/>
  <c r="V77" i="25"/>
  <c r="AA77" i="25" s="1"/>
  <c r="V71" i="25"/>
  <c r="AA71" i="25" s="1"/>
  <c r="V184" i="25"/>
  <c r="AA184" i="25" s="1"/>
  <c r="V179" i="25"/>
  <c r="AA179" i="25" s="1"/>
  <c r="V169" i="25"/>
  <c r="V162" i="25"/>
  <c r="V172" i="25"/>
  <c r="AA172" i="25" s="1"/>
  <c r="V155" i="25"/>
  <c r="V144" i="25"/>
  <c r="AA144" i="25" s="1"/>
  <c r="V136" i="25"/>
  <c r="AA136" i="25" s="1"/>
  <c r="V114" i="25"/>
  <c r="V103" i="25"/>
  <c r="AA103" i="25" s="1"/>
  <c r="V67" i="25"/>
  <c r="AA67" i="25" s="1"/>
  <c r="V61" i="25"/>
  <c r="AA61" i="25" s="1"/>
  <c r="V55" i="25"/>
  <c r="V201" i="25"/>
  <c r="AA201" i="25" s="1"/>
  <c r="V194" i="25"/>
  <c r="AA194" i="25" s="1"/>
  <c r="V177" i="25"/>
  <c r="AA177" i="25" s="1"/>
  <c r="V147" i="25"/>
  <c r="AA147" i="25" s="1"/>
  <c r="V133" i="25"/>
  <c r="AA133" i="25" s="1"/>
  <c r="V125" i="25"/>
  <c r="AA125" i="25" s="1"/>
  <c r="V106" i="25"/>
  <c r="AA106" i="25" s="1"/>
  <c r="V98" i="25"/>
  <c r="AA98" i="25" s="1"/>
  <c r="V95" i="25"/>
  <c r="AA95" i="25" s="1"/>
  <c r="V86" i="25"/>
  <c r="AA86" i="25" s="1"/>
  <c r="V180" i="25"/>
  <c r="AA180" i="25" s="1"/>
  <c r="V159" i="25"/>
  <c r="V157" i="25"/>
  <c r="V124" i="25"/>
  <c r="V115" i="25"/>
  <c r="V113" i="25"/>
  <c r="AA113" i="25" s="1"/>
  <c r="V104" i="25"/>
  <c r="V97" i="25"/>
  <c r="AA97" i="25" s="1"/>
  <c r="V65" i="25"/>
  <c r="AA65" i="25" s="1"/>
  <c r="V56" i="25"/>
  <c r="V46" i="25"/>
  <c r="V40" i="25"/>
  <c r="AA40" i="25" s="1"/>
  <c r="V34" i="25"/>
  <c r="AA34" i="25" s="1"/>
  <c r="V198" i="25"/>
  <c r="V186" i="25"/>
  <c r="V165" i="25"/>
  <c r="V161" i="25"/>
  <c r="AA161" i="25" s="1"/>
  <c r="V142" i="25"/>
  <c r="V131" i="25"/>
  <c r="AA131" i="25" s="1"/>
  <c r="V122" i="25"/>
  <c r="AA122" i="25" s="1"/>
  <c r="V111" i="25"/>
  <c r="AA111" i="25" s="1"/>
  <c r="V93" i="25"/>
  <c r="AA93" i="25" s="1"/>
  <c r="V41" i="25"/>
  <c r="AA41" i="25" s="1"/>
  <c r="V190" i="25"/>
  <c r="AA190" i="25" s="1"/>
  <c r="V188" i="25"/>
  <c r="AA188" i="25" s="1"/>
  <c r="V118" i="25"/>
  <c r="AA118" i="25" s="1"/>
  <c r="V100" i="25"/>
  <c r="AA100" i="25" s="1"/>
  <c r="V80" i="25"/>
  <c r="AA80" i="25" s="1"/>
  <c r="V70" i="25"/>
  <c r="AA70" i="25" s="1"/>
  <c r="V52" i="25"/>
  <c r="AA52" i="25" s="1"/>
  <c r="V47" i="25"/>
  <c r="AA47" i="25" s="1"/>
  <c r="V35" i="25"/>
  <c r="AA35" i="25" s="1"/>
  <c r="V29" i="25"/>
  <c r="AA29" i="25" s="1"/>
  <c r="V168" i="25"/>
  <c r="V132" i="25"/>
  <c r="AA132" i="25" s="1"/>
  <c r="V96" i="25"/>
  <c r="AA96" i="25" s="1"/>
  <c r="V94" i="25"/>
  <c r="AA94" i="25" s="1"/>
  <c r="V73" i="25"/>
  <c r="V11" i="25"/>
  <c r="AA11" i="25" s="1"/>
  <c r="V38" i="25"/>
  <c r="AA38" i="25" s="1"/>
  <c r="V16" i="25"/>
  <c r="AA16" i="25" s="1"/>
  <c r="V76" i="25"/>
  <c r="AA76" i="25" s="1"/>
  <c r="V58" i="25"/>
  <c r="AA58" i="25" s="1"/>
  <c r="V53" i="25"/>
  <c r="AA53" i="25" s="1"/>
  <c r="V21" i="25"/>
  <c r="AA21" i="25" s="1"/>
  <c r="V12" i="25"/>
  <c r="AA12" i="25" s="1"/>
  <c r="V140" i="25"/>
  <c r="AA140" i="25" s="1"/>
  <c r="V195" i="25"/>
  <c r="AA195" i="25" s="1"/>
  <c r="V175" i="25"/>
  <c r="AA175" i="25" s="1"/>
  <c r="V173" i="25"/>
  <c r="AA173" i="25" s="1"/>
  <c r="V141" i="25"/>
  <c r="AA141" i="25" s="1"/>
  <c r="V134" i="25"/>
  <c r="AA134" i="25" s="1"/>
  <c r="V78" i="25"/>
  <c r="AA78" i="25" s="1"/>
  <c r="V66" i="25"/>
  <c r="AA66" i="25" s="1"/>
  <c r="V63" i="25"/>
  <c r="AA63" i="25" s="1"/>
  <c r="V20" i="25"/>
  <c r="AA20" i="25" s="1"/>
  <c r="V44" i="25"/>
  <c r="AA44" i="25" s="1"/>
  <c r="V170" i="25"/>
  <c r="AA170" i="25" s="1"/>
  <c r="V87" i="25"/>
  <c r="AA87" i="25" s="1"/>
  <c r="V89" i="25"/>
  <c r="AA89" i="25" s="1"/>
  <c r="V69" i="25"/>
  <c r="AA69" i="25" s="1"/>
  <c r="V197" i="25"/>
  <c r="AA197" i="25" s="1"/>
  <c r="V187" i="25"/>
  <c r="V149" i="25"/>
  <c r="AA149" i="25" s="1"/>
  <c r="V143" i="25"/>
  <c r="AA143" i="25" s="1"/>
  <c r="V129" i="25"/>
  <c r="AA129" i="25" s="1"/>
  <c r="V107" i="25"/>
  <c r="AA107" i="25" s="1"/>
  <c r="V105" i="25"/>
  <c r="AA105" i="25" s="1"/>
  <c r="V50" i="25"/>
  <c r="AA50" i="25" s="1"/>
  <c r="V32" i="25"/>
  <c r="AA32" i="25" s="1"/>
  <c r="V25" i="25"/>
  <c r="V151" i="25"/>
  <c r="AA151" i="25" s="1"/>
  <c r="V85" i="25"/>
  <c r="AA85" i="25" s="1"/>
  <c r="V121" i="25"/>
  <c r="V90" i="25"/>
  <c r="V54" i="25"/>
  <c r="AA54" i="25" s="1"/>
  <c r="V27" i="25"/>
  <c r="V23" i="25"/>
  <c r="V17" i="25"/>
  <c r="AA17" i="25" s="1"/>
  <c r="V31" i="25"/>
  <c r="AA31" i="25" s="1"/>
  <c r="V19" i="25"/>
  <c r="AA19" i="25" s="1"/>
  <c r="V84" i="25"/>
  <c r="AA84" i="25" s="1"/>
  <c r="V204" i="25"/>
  <c r="V123" i="25"/>
  <c r="AA123" i="25" s="1"/>
  <c r="V81" i="25"/>
  <c r="AA81" i="25" s="1"/>
  <c r="V79" i="25"/>
  <c r="AA79" i="25" s="1"/>
  <c r="V62" i="25"/>
  <c r="V60" i="25"/>
  <c r="V51" i="25"/>
  <c r="AA51" i="25" s="1"/>
  <c r="V15" i="25"/>
  <c r="AA15" i="25" s="1"/>
  <c r="V10" i="25"/>
  <c r="AA10" i="25" s="1"/>
  <c r="V166" i="25"/>
  <c r="AA166" i="25" s="1"/>
  <c r="V39" i="25"/>
  <c r="AA39" i="25" s="1"/>
  <c r="V37" i="25"/>
  <c r="V30" i="25"/>
  <c r="AA30" i="25" s="1"/>
  <c r="V26" i="25"/>
  <c r="AA26" i="25" s="1"/>
  <c r="V28" i="25"/>
  <c r="AA28" i="25" s="1"/>
  <c r="V59" i="25"/>
  <c r="V68" i="25"/>
  <c r="AA68" i="25" s="1"/>
  <c r="V150" i="25"/>
  <c r="AA150" i="25" s="1"/>
  <c r="V176" i="25"/>
  <c r="V158" i="25"/>
  <c r="AA158" i="25" s="1"/>
  <c r="V72" i="25"/>
  <c r="AA72" i="25" s="1"/>
  <c r="V49" i="25"/>
  <c r="AA49" i="25" s="1"/>
  <c r="V42" i="25"/>
  <c r="AA42" i="25" s="1"/>
  <c r="V33" i="25"/>
  <c r="AA33" i="25" s="1"/>
  <c r="V74" i="25"/>
  <c r="AA74" i="25" s="1"/>
  <c r="V8" i="25"/>
  <c r="V48" i="25"/>
  <c r="AA48" i="25" s="1"/>
  <c r="V108" i="25"/>
  <c r="V148" i="25"/>
  <c r="V101" i="25"/>
  <c r="V126" i="25"/>
  <c r="AA126" i="25" s="1"/>
  <c r="V112" i="25"/>
  <c r="AA112" i="25" s="1"/>
  <c r="V191" i="25"/>
  <c r="AA191" i="25" s="1"/>
  <c r="V152" i="25"/>
  <c r="AA152" i="25" s="1"/>
  <c r="V64" i="25"/>
  <c r="AA64" i="25" s="1"/>
  <c r="V57" i="25"/>
  <c r="AA57" i="25" s="1"/>
  <c r="V207" i="25"/>
  <c r="V154" i="25"/>
  <c r="AA154" i="25" s="1"/>
  <c r="V137" i="25"/>
  <c r="AA137" i="25" s="1"/>
  <c r="V24" i="25"/>
  <c r="V22" i="25"/>
  <c r="AA22" i="25" s="1"/>
  <c r="V13" i="25"/>
  <c r="AA13" i="25" s="1"/>
  <c r="V193" i="25"/>
  <c r="V18" i="25"/>
  <c r="AA18" i="25" s="1"/>
  <c r="V183" i="25"/>
  <c r="AA183" i="25" s="1"/>
  <c r="V139" i="25"/>
  <c r="AA139" i="25" s="1"/>
  <c r="V130" i="25"/>
  <c r="AA130" i="25" s="1"/>
  <c r="V116" i="25"/>
  <c r="AA116" i="25" s="1"/>
  <c r="V45" i="25"/>
  <c r="AA45" i="25" s="1"/>
  <c r="V43" i="25"/>
  <c r="AA43" i="25" s="1"/>
  <c r="V36" i="25"/>
  <c r="AA36" i="25" s="1"/>
  <c r="V119" i="25"/>
  <c r="V75" i="25"/>
  <c r="V9" i="25"/>
  <c r="V82" i="25"/>
  <c r="AA82" i="25" s="1"/>
  <c r="V14" i="25"/>
  <c r="AA14" i="25" s="1"/>
  <c r="E205" i="25"/>
  <c r="E208" i="25"/>
  <c r="U8" i="25"/>
  <c r="M209" i="25"/>
  <c r="AA159" i="25"/>
  <c r="F209" i="25"/>
  <c r="F210" i="25" s="1"/>
  <c r="G210" i="25" s="1"/>
  <c r="H210" i="25" s="1"/>
  <c r="AA55" i="25"/>
  <c r="AA73" i="25"/>
  <c r="D211" i="25"/>
  <c r="I209" i="25"/>
  <c r="AA181" i="25"/>
  <c r="R209" i="25"/>
  <c r="P209" i="25"/>
  <c r="AA155" i="25"/>
  <c r="AA127" i="25"/>
  <c r="S209" i="25"/>
  <c r="AA60" i="25"/>
  <c r="C10" i="24"/>
  <c r="C11" i="24" s="1"/>
  <c r="F204" i="21"/>
  <c r="G204" i="21"/>
  <c r="G208" i="21" s="1"/>
  <c r="H204" i="21"/>
  <c r="H208" i="21" s="1"/>
  <c r="I204" i="21"/>
  <c r="I208" i="21" s="1"/>
  <c r="J204" i="21"/>
  <c r="J208" i="21" s="1"/>
  <c r="K204" i="21"/>
  <c r="K208" i="21" s="1"/>
  <c r="L204" i="21"/>
  <c r="L208" i="21" s="1"/>
  <c r="M204" i="21"/>
  <c r="M208" i="21" s="1"/>
  <c r="N204" i="21"/>
  <c r="N208" i="21" s="1"/>
  <c r="O204" i="21"/>
  <c r="O208" i="21" s="1"/>
  <c r="P204" i="21"/>
  <c r="P208" i="21" s="1"/>
  <c r="Q204" i="21"/>
  <c r="Q208" i="21" s="1"/>
  <c r="R204" i="21"/>
  <c r="R208" i="21" s="1"/>
  <c r="C3" i="16"/>
  <c r="F4" i="21"/>
  <c r="E5" i="21"/>
  <c r="E4" i="21"/>
  <c r="G4" i="21"/>
  <c r="H4" i="21"/>
  <c r="I4" i="21"/>
  <c r="J4" i="21"/>
  <c r="K4" i="21"/>
  <c r="L4" i="21"/>
  <c r="M4" i="21"/>
  <c r="N4" i="21"/>
  <c r="O4" i="21"/>
  <c r="P4" i="21"/>
  <c r="Q4" i="21"/>
  <c r="R4" i="21"/>
  <c r="G5" i="21"/>
  <c r="H5" i="21"/>
  <c r="I5" i="21"/>
  <c r="J5" i="21"/>
  <c r="K5" i="21"/>
  <c r="L5" i="21"/>
  <c r="M5" i="21"/>
  <c r="F5" i="21"/>
  <c r="D12" i="24" l="1"/>
  <c r="D14" i="24"/>
  <c r="C12" i="24"/>
  <c r="C14" i="24"/>
  <c r="AF30" i="29"/>
  <c r="AF193" i="29"/>
  <c r="AF127" i="29"/>
  <c r="AF125" i="29"/>
  <c r="AF131" i="29"/>
  <c r="AF172" i="29"/>
  <c r="AF163" i="29"/>
  <c r="AF91" i="29"/>
  <c r="AF107" i="29"/>
  <c r="AF73" i="29"/>
  <c r="AF20" i="29"/>
  <c r="AF132" i="29"/>
  <c r="AF192" i="29"/>
  <c r="AF24" i="29"/>
  <c r="AF190" i="29"/>
  <c r="AF134" i="29"/>
  <c r="AF111" i="29"/>
  <c r="AF136" i="29"/>
  <c r="AF159" i="29"/>
  <c r="AF176" i="29"/>
  <c r="AF42" i="29"/>
  <c r="AF198" i="29"/>
  <c r="AF165" i="29"/>
  <c r="AF49" i="29"/>
  <c r="AF16" i="29"/>
  <c r="AF166" i="29"/>
  <c r="AF129" i="29"/>
  <c r="AF15" i="29"/>
  <c r="AF52" i="29"/>
  <c r="AF64" i="29"/>
  <c r="AF110" i="29"/>
  <c r="AF21" i="29"/>
  <c r="AF152" i="29"/>
  <c r="AF77" i="29"/>
  <c r="AF182" i="29"/>
  <c r="AF195" i="29"/>
  <c r="AF144" i="29"/>
  <c r="AF86" i="29"/>
  <c r="AF164" i="29"/>
  <c r="AF12" i="29"/>
  <c r="AF81" i="29"/>
  <c r="AF33" i="29"/>
  <c r="AF104" i="29"/>
  <c r="AF108" i="29"/>
  <c r="AF92" i="29"/>
  <c r="AF130" i="29"/>
  <c r="AF205" i="29"/>
  <c r="AF201" i="29"/>
  <c r="AF18" i="29"/>
  <c r="AF47" i="29"/>
  <c r="AF45" i="29"/>
  <c r="AF53" i="29"/>
  <c r="AF78" i="29"/>
  <c r="AF28" i="29"/>
  <c r="AF76" i="29"/>
  <c r="AF122" i="29"/>
  <c r="AF177" i="29"/>
  <c r="AF140" i="29"/>
  <c r="AF181" i="29"/>
  <c r="AF160" i="29"/>
  <c r="AF170" i="29"/>
  <c r="AF143" i="29"/>
  <c r="AF8" i="29"/>
  <c r="AF135" i="29"/>
  <c r="AF60" i="29"/>
  <c r="AF199" i="29"/>
  <c r="AF162" i="29"/>
  <c r="AF126" i="29"/>
  <c r="AF25" i="29"/>
  <c r="AF155" i="29"/>
  <c r="AF35" i="29"/>
  <c r="AF173" i="29"/>
  <c r="AF9" i="29"/>
  <c r="AF82" i="29"/>
  <c r="AF43" i="29"/>
  <c r="AF75" i="29"/>
  <c r="AF29" i="29"/>
  <c r="AF103" i="29"/>
  <c r="AF32" i="29"/>
  <c r="AF80" i="29"/>
  <c r="AF123" i="29"/>
  <c r="AF200" i="29"/>
  <c r="AF141" i="29"/>
  <c r="AF184" i="29"/>
  <c r="AF161" i="29"/>
  <c r="AF174" i="29"/>
  <c r="AF171" i="29"/>
  <c r="AF36" i="29"/>
  <c r="AF11" i="29"/>
  <c r="AF13" i="29"/>
  <c r="AF116" i="29"/>
  <c r="AF55" i="29"/>
  <c r="AF83" i="29"/>
  <c r="AF40" i="29"/>
  <c r="AF196" i="29"/>
  <c r="AF179" i="29"/>
  <c r="AF157" i="29"/>
  <c r="AF93" i="29"/>
  <c r="AF85" i="29"/>
  <c r="AF51" i="29"/>
  <c r="AF54" i="29"/>
  <c r="AF84" i="29"/>
  <c r="AF142" i="29"/>
  <c r="AF197" i="29"/>
  <c r="AF178" i="29"/>
  <c r="AF175" i="29"/>
  <c r="AF133" i="29"/>
  <c r="AF194" i="29"/>
  <c r="AF72" i="29"/>
  <c r="AF124" i="29"/>
  <c r="AF57" i="29"/>
  <c r="AF14" i="29"/>
  <c r="AF37" i="29"/>
  <c r="AF79" i="29"/>
  <c r="AF70" i="29"/>
  <c r="AF106" i="29"/>
  <c r="AF44" i="29"/>
  <c r="AF95" i="29"/>
  <c r="AF185" i="29"/>
  <c r="AF98" i="29"/>
  <c r="AF151" i="29"/>
  <c r="AF113" i="29"/>
  <c r="AF186" i="29"/>
  <c r="AF62" i="29"/>
  <c r="AF59" i="29"/>
  <c r="H209" i="29"/>
  <c r="AF88" i="29"/>
  <c r="AF94" i="29"/>
  <c r="AF109" i="29"/>
  <c r="AF23" i="29"/>
  <c r="AF58" i="29"/>
  <c r="AF114" i="29"/>
  <c r="AF117" i="29"/>
  <c r="AF146" i="29"/>
  <c r="AF168" i="29"/>
  <c r="AF46" i="29"/>
  <c r="AF97" i="29"/>
  <c r="AF34" i="29"/>
  <c r="AF63" i="29"/>
  <c r="AF31" i="29"/>
  <c r="AF101" i="29"/>
  <c r="AF56" i="29"/>
  <c r="AF150" i="29"/>
  <c r="AF167" i="29"/>
  <c r="AF96" i="29"/>
  <c r="AF149" i="29"/>
  <c r="AF27" i="29"/>
  <c r="AF22" i="29"/>
  <c r="AF158" i="29"/>
  <c r="AF203" i="29"/>
  <c r="I209" i="29"/>
  <c r="J209" i="29" s="1"/>
  <c r="K209" i="29" s="1"/>
  <c r="L209" i="29" s="1"/>
  <c r="M209" i="29" s="1"/>
  <c r="N209" i="29" s="1"/>
  <c r="O209" i="29" s="1"/>
  <c r="P209" i="29" s="1"/>
  <c r="Q209" i="29" s="1"/>
  <c r="R209" i="29" s="1"/>
  <c r="S209" i="29" s="1"/>
  <c r="T209" i="29" s="1"/>
  <c r="U207" i="29"/>
  <c r="AF207" i="29" s="1"/>
  <c r="E210" i="29"/>
  <c r="E211" i="29" s="1"/>
  <c r="F211" i="29" s="1"/>
  <c r="G211" i="29" s="1"/>
  <c r="H211" i="29" s="1"/>
  <c r="I211" i="29" s="1"/>
  <c r="J211" i="29" s="1"/>
  <c r="K211" i="29" s="1"/>
  <c r="L211" i="29" s="1"/>
  <c r="M211" i="29" s="1"/>
  <c r="N211" i="29" s="1"/>
  <c r="O211" i="29" s="1"/>
  <c r="P211" i="29" s="1"/>
  <c r="Q211" i="29" s="1"/>
  <c r="R211" i="29" s="1"/>
  <c r="S211" i="29" s="1"/>
  <c r="T211" i="29" s="1"/>
  <c r="AF50" i="29"/>
  <c r="AF69" i="29"/>
  <c r="AF87" i="29"/>
  <c r="AF68" i="29"/>
  <c r="AF99" i="29"/>
  <c r="AF148" i="29"/>
  <c r="AF10" i="29"/>
  <c r="AF74" i="29"/>
  <c r="Z73" i="27"/>
  <c r="Z101" i="27"/>
  <c r="Z179" i="27"/>
  <c r="Z135" i="27"/>
  <c r="Z207" i="27"/>
  <c r="Z175" i="27"/>
  <c r="Z39" i="27"/>
  <c r="Z145" i="27"/>
  <c r="Z88" i="27"/>
  <c r="Z197" i="27"/>
  <c r="Z190" i="27"/>
  <c r="Z30" i="27"/>
  <c r="Z9" i="27"/>
  <c r="Z15" i="27"/>
  <c r="Z44" i="27"/>
  <c r="Z48" i="27"/>
  <c r="Z109" i="27"/>
  <c r="Z157" i="27"/>
  <c r="Z108" i="27"/>
  <c r="Z13" i="27"/>
  <c r="Z181" i="27"/>
  <c r="Z69" i="27"/>
  <c r="Z65" i="27"/>
  <c r="Z187" i="27"/>
  <c r="Z41" i="27"/>
  <c r="Z148" i="27"/>
  <c r="Z134" i="27"/>
  <c r="Z115" i="27"/>
  <c r="Z120" i="27"/>
  <c r="Z100" i="27"/>
  <c r="Z149" i="27"/>
  <c r="Z125" i="27"/>
  <c r="Z46" i="27"/>
  <c r="Z112" i="27"/>
  <c r="Z89" i="27"/>
  <c r="Z83" i="27"/>
  <c r="Z59" i="27"/>
  <c r="Z20" i="27"/>
  <c r="Z161" i="27"/>
  <c r="Z147" i="27"/>
  <c r="Z195" i="27"/>
  <c r="Z158" i="27"/>
  <c r="Z102" i="27"/>
  <c r="Z124" i="27"/>
  <c r="Z24" i="27"/>
  <c r="Z60" i="27"/>
  <c r="Z176" i="27"/>
  <c r="Z162" i="27"/>
  <c r="Z104" i="27"/>
  <c r="Z117" i="27"/>
  <c r="Z110" i="27"/>
  <c r="Z45" i="27"/>
  <c r="Z132" i="27"/>
  <c r="Z137" i="27"/>
  <c r="Z200" i="27"/>
  <c r="Z122" i="27"/>
  <c r="Z63" i="27"/>
  <c r="Z193" i="27"/>
  <c r="Z154" i="27"/>
  <c r="Z123" i="27"/>
  <c r="Z19" i="27"/>
  <c r="Z169" i="27"/>
  <c r="Z180" i="27"/>
  <c r="Z163" i="27"/>
  <c r="Z126" i="27"/>
  <c r="Z174" i="27"/>
  <c r="I210" i="27"/>
  <c r="Z127" i="27"/>
  <c r="Z183" i="27"/>
  <c r="Z58" i="27"/>
  <c r="Z12" i="27"/>
  <c r="Z10" i="27"/>
  <c r="Z78" i="27"/>
  <c r="Z75" i="27"/>
  <c r="Z47" i="27"/>
  <c r="Z129" i="27"/>
  <c r="Z113" i="27"/>
  <c r="Z96" i="27"/>
  <c r="Z141" i="27"/>
  <c r="Z150" i="27"/>
  <c r="Z62" i="27"/>
  <c r="Z92" i="27"/>
  <c r="J210" i="27"/>
  <c r="K210" i="27" s="1"/>
  <c r="L210" i="27" s="1"/>
  <c r="M210" i="27" s="1"/>
  <c r="N210" i="27" s="1"/>
  <c r="O210" i="27" s="1"/>
  <c r="P210" i="27" s="1"/>
  <c r="Q210" i="27" s="1"/>
  <c r="R210" i="27" s="1"/>
  <c r="S210" i="27" s="1"/>
  <c r="T210" i="27" s="1"/>
  <c r="Z21" i="27"/>
  <c r="Z81" i="27"/>
  <c r="Z86" i="27"/>
  <c r="Z71" i="27"/>
  <c r="Z50" i="27"/>
  <c r="Z16" i="27"/>
  <c r="Z52" i="27"/>
  <c r="Z152" i="27"/>
  <c r="Z143" i="27"/>
  <c r="Z191" i="27"/>
  <c r="Z37" i="27"/>
  <c r="Z153" i="27"/>
  <c r="Z105" i="27"/>
  <c r="Z34" i="27"/>
  <c r="Z94" i="27"/>
  <c r="Z99" i="27"/>
  <c r="Z42" i="27"/>
  <c r="Z98" i="27"/>
  <c r="Z28" i="27"/>
  <c r="Z64" i="27"/>
  <c r="Z119" i="27"/>
  <c r="Z189" i="27"/>
  <c r="Z155" i="27"/>
  <c r="Z203" i="27"/>
  <c r="Z156" i="27"/>
  <c r="Z118" i="27"/>
  <c r="Z32" i="27"/>
  <c r="Z68" i="27"/>
  <c r="Z131" i="27"/>
  <c r="Z170" i="27"/>
  <c r="Z79" i="27"/>
  <c r="Z93" i="27"/>
  <c r="Z95" i="27"/>
  <c r="Z151" i="27"/>
  <c r="Z27" i="27"/>
  <c r="Z26" i="27"/>
  <c r="Z51" i="27"/>
  <c r="Z11" i="27"/>
  <c r="Z72" i="27"/>
  <c r="Z76" i="27"/>
  <c r="Z160" i="27"/>
  <c r="Z130" i="27"/>
  <c r="Z55" i="27"/>
  <c r="Z82" i="27"/>
  <c r="Z70" i="27"/>
  <c r="Z61" i="27"/>
  <c r="Z114" i="27"/>
  <c r="Z74" i="27"/>
  <c r="Z177" i="27"/>
  <c r="Z67" i="27"/>
  <c r="Z80" i="27"/>
  <c r="Z173" i="27"/>
  <c r="Z171" i="27"/>
  <c r="Z8" i="27"/>
  <c r="Z90" i="27"/>
  <c r="Z22" i="27"/>
  <c r="Z17" i="27"/>
  <c r="Z144" i="27"/>
  <c r="Z85" i="27"/>
  <c r="Z97" i="27"/>
  <c r="Z31" i="27"/>
  <c r="Z136" i="27"/>
  <c r="Z116" i="27"/>
  <c r="Z18" i="27"/>
  <c r="Z35" i="27"/>
  <c r="Z91" i="27"/>
  <c r="Z84" i="27"/>
  <c r="Z168" i="27"/>
  <c r="Z184" i="27"/>
  <c r="Z186" i="27"/>
  <c r="E211" i="27"/>
  <c r="E212" i="27" s="1"/>
  <c r="F212" i="27" s="1"/>
  <c r="G212" i="27" s="1"/>
  <c r="H212" i="27" s="1"/>
  <c r="I212" i="27" s="1"/>
  <c r="J212" i="27" s="1"/>
  <c r="K212" i="27" s="1"/>
  <c r="L212" i="27" s="1"/>
  <c r="M212" i="27" s="1"/>
  <c r="N212" i="27" s="1"/>
  <c r="O212" i="27" s="1"/>
  <c r="P212" i="27" s="1"/>
  <c r="Q212" i="27" s="1"/>
  <c r="R212" i="27" s="1"/>
  <c r="S212" i="27" s="1"/>
  <c r="T212" i="27" s="1"/>
  <c r="U205" i="27"/>
  <c r="Z205" i="27" s="1"/>
  <c r="AA207" i="25"/>
  <c r="AA204" i="25"/>
  <c r="AA25" i="25"/>
  <c r="AA46" i="25"/>
  <c r="AA37" i="25"/>
  <c r="AA168" i="25"/>
  <c r="AA56" i="25"/>
  <c r="AA114" i="25"/>
  <c r="AA88" i="25"/>
  <c r="AA27" i="25"/>
  <c r="AA101" i="25"/>
  <c r="AA169" i="25"/>
  <c r="AA99" i="25"/>
  <c r="AA23" i="25"/>
  <c r="AA193" i="25"/>
  <c r="AA176" i="25"/>
  <c r="AA115" i="25"/>
  <c r="AA162" i="25"/>
  <c r="AA75" i="25"/>
  <c r="AA90" i="25"/>
  <c r="AA119" i="25"/>
  <c r="AA24" i="25"/>
  <c r="AA108" i="25"/>
  <c r="AA59" i="25"/>
  <c r="AA121" i="25"/>
  <c r="AA198" i="25"/>
  <c r="I210" i="25"/>
  <c r="J210" i="25" s="1"/>
  <c r="K210" i="25" s="1"/>
  <c r="E211" i="25"/>
  <c r="E212" i="25" s="1"/>
  <c r="F212" i="25" s="1"/>
  <c r="G212" i="25" s="1"/>
  <c r="H212" i="25" s="1"/>
  <c r="I212" i="25" s="1"/>
  <c r="J212" i="25" s="1"/>
  <c r="K212" i="25" s="1"/>
  <c r="L212" i="25" s="1"/>
  <c r="M212" i="25" s="1"/>
  <c r="N212" i="25" s="1"/>
  <c r="O212" i="25" s="1"/>
  <c r="P212" i="25" s="1"/>
  <c r="Q212" i="25" s="1"/>
  <c r="R212" i="25" s="1"/>
  <c r="S212" i="25" s="1"/>
  <c r="T212" i="25" s="1"/>
  <c r="U205" i="25"/>
  <c r="AA205" i="25" s="1"/>
  <c r="AA8" i="25"/>
  <c r="T204" i="21"/>
  <c r="U204" i="21"/>
  <c r="Y204" i="21"/>
  <c r="V204" i="21"/>
  <c r="X204" i="21"/>
  <c r="W204" i="21"/>
  <c r="AA204" i="21"/>
  <c r="Z204" i="21"/>
  <c r="D204" i="21"/>
  <c r="F208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06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1" i="21"/>
  <c r="T102" i="21"/>
  <c r="T103" i="21"/>
  <c r="T104" i="21"/>
  <c r="T105" i="21"/>
  <c r="T106" i="21"/>
  <c r="T107" i="21"/>
  <c r="T108" i="21"/>
  <c r="T109" i="21"/>
  <c r="T110" i="21"/>
  <c r="T111" i="21"/>
  <c r="T112" i="21"/>
  <c r="T113" i="21"/>
  <c r="T114" i="21"/>
  <c r="T115" i="21"/>
  <c r="T116" i="21"/>
  <c r="T117" i="21"/>
  <c r="T118" i="21"/>
  <c r="T119" i="21"/>
  <c r="T120" i="21"/>
  <c r="T121" i="21"/>
  <c r="T122" i="21"/>
  <c r="T123" i="21"/>
  <c r="T124" i="21"/>
  <c r="T125" i="21"/>
  <c r="T126" i="21"/>
  <c r="T127" i="21"/>
  <c r="T128" i="21"/>
  <c r="T129" i="21"/>
  <c r="T130" i="21"/>
  <c r="T131" i="21"/>
  <c r="T132" i="21"/>
  <c r="T133" i="21"/>
  <c r="T134" i="21"/>
  <c r="T135" i="21"/>
  <c r="T136" i="21"/>
  <c r="T137" i="21"/>
  <c r="T138" i="21"/>
  <c r="T139" i="21"/>
  <c r="T140" i="21"/>
  <c r="T141" i="21"/>
  <c r="T142" i="21"/>
  <c r="T143" i="21"/>
  <c r="T144" i="21"/>
  <c r="T145" i="21"/>
  <c r="T146" i="21"/>
  <c r="T147" i="21"/>
  <c r="T148" i="21"/>
  <c r="T149" i="21"/>
  <c r="T150" i="21"/>
  <c r="T151" i="21"/>
  <c r="T152" i="21"/>
  <c r="T153" i="21"/>
  <c r="T154" i="21"/>
  <c r="T155" i="21"/>
  <c r="T156" i="21"/>
  <c r="T157" i="21"/>
  <c r="T158" i="21"/>
  <c r="T159" i="21"/>
  <c r="T160" i="21"/>
  <c r="T161" i="21"/>
  <c r="T162" i="21"/>
  <c r="T163" i="21"/>
  <c r="T164" i="21"/>
  <c r="T165" i="21"/>
  <c r="T166" i="21"/>
  <c r="T167" i="21"/>
  <c r="T168" i="21"/>
  <c r="T169" i="21"/>
  <c r="T170" i="21"/>
  <c r="T171" i="21"/>
  <c r="T172" i="21"/>
  <c r="T173" i="21"/>
  <c r="T174" i="21"/>
  <c r="T175" i="21"/>
  <c r="T176" i="21"/>
  <c r="T177" i="21"/>
  <c r="T178" i="21"/>
  <c r="T179" i="21"/>
  <c r="T180" i="21"/>
  <c r="T181" i="21"/>
  <c r="T182" i="21"/>
  <c r="T183" i="21"/>
  <c r="T184" i="21"/>
  <c r="T185" i="21"/>
  <c r="T186" i="21"/>
  <c r="T187" i="21"/>
  <c r="T188" i="21"/>
  <c r="T189" i="21"/>
  <c r="T190" i="21"/>
  <c r="T191" i="21"/>
  <c r="T192" i="21"/>
  <c r="T193" i="21"/>
  <c r="T194" i="21"/>
  <c r="T195" i="21"/>
  <c r="T196" i="21"/>
  <c r="T197" i="21"/>
  <c r="T198" i="21"/>
  <c r="T199" i="21"/>
  <c r="T200" i="21"/>
  <c r="T201" i="21"/>
  <c r="T202" i="21"/>
  <c r="T203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06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7" i="21"/>
  <c r="Z8" i="2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06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Z101" i="21"/>
  <c r="Z102" i="21"/>
  <c r="Z103" i="21"/>
  <c r="Z104" i="21"/>
  <c r="Z105" i="21"/>
  <c r="Z106" i="21"/>
  <c r="Z107" i="21"/>
  <c r="Z108" i="21"/>
  <c r="Z109" i="21"/>
  <c r="Z110" i="21"/>
  <c r="Z111" i="21"/>
  <c r="Z112" i="21"/>
  <c r="Z113" i="21"/>
  <c r="Z114" i="21"/>
  <c r="Z115" i="21"/>
  <c r="Z116" i="21"/>
  <c r="Z117" i="21"/>
  <c r="Z118" i="21"/>
  <c r="Z119" i="21"/>
  <c r="Z120" i="21"/>
  <c r="Z121" i="21"/>
  <c r="Z122" i="21"/>
  <c r="Z123" i="21"/>
  <c r="Z124" i="21"/>
  <c r="Z125" i="21"/>
  <c r="Z126" i="21"/>
  <c r="Z127" i="21"/>
  <c r="Z128" i="21"/>
  <c r="Z129" i="21"/>
  <c r="Z130" i="21"/>
  <c r="Z131" i="21"/>
  <c r="Z132" i="21"/>
  <c r="Z133" i="21"/>
  <c r="Z134" i="21"/>
  <c r="Z135" i="21"/>
  <c r="Z136" i="21"/>
  <c r="Z137" i="21"/>
  <c r="Z138" i="21"/>
  <c r="Z139" i="21"/>
  <c r="Z140" i="21"/>
  <c r="Z141" i="21"/>
  <c r="Z142" i="21"/>
  <c r="Z143" i="21"/>
  <c r="Z144" i="21"/>
  <c r="Z145" i="21"/>
  <c r="Z146" i="21"/>
  <c r="Z147" i="21"/>
  <c r="Z148" i="21"/>
  <c r="Z149" i="21"/>
  <c r="Z150" i="21"/>
  <c r="Z151" i="21"/>
  <c r="Z152" i="21"/>
  <c r="Z153" i="21"/>
  <c r="Z154" i="21"/>
  <c r="Z155" i="21"/>
  <c r="Z156" i="21"/>
  <c r="Z157" i="21"/>
  <c r="Z158" i="21"/>
  <c r="Z159" i="21"/>
  <c r="Z160" i="21"/>
  <c r="Z161" i="21"/>
  <c r="Z162" i="21"/>
  <c r="Z163" i="21"/>
  <c r="Z164" i="21"/>
  <c r="Z165" i="21"/>
  <c r="Z166" i="21"/>
  <c r="Z167" i="21"/>
  <c r="Z168" i="21"/>
  <c r="Z169" i="21"/>
  <c r="Z170" i="21"/>
  <c r="Z171" i="21"/>
  <c r="Z172" i="21"/>
  <c r="Z173" i="21"/>
  <c r="Z174" i="21"/>
  <c r="Z175" i="21"/>
  <c r="Z176" i="21"/>
  <c r="Z177" i="21"/>
  <c r="Z178" i="21"/>
  <c r="Z179" i="21"/>
  <c r="Z180" i="21"/>
  <c r="Z181" i="21"/>
  <c r="Z182" i="21"/>
  <c r="Z183" i="21"/>
  <c r="Z184" i="21"/>
  <c r="Z185" i="21"/>
  <c r="Z186" i="21"/>
  <c r="Z187" i="21"/>
  <c r="Z188" i="21"/>
  <c r="Z189" i="21"/>
  <c r="Z190" i="21"/>
  <c r="Z191" i="21"/>
  <c r="Z192" i="21"/>
  <c r="Z193" i="21"/>
  <c r="Z194" i="21"/>
  <c r="Z195" i="21"/>
  <c r="Z196" i="21"/>
  <c r="Z197" i="21"/>
  <c r="Z198" i="21"/>
  <c r="Z199" i="21"/>
  <c r="Z200" i="21"/>
  <c r="Z201" i="21"/>
  <c r="Z202" i="21"/>
  <c r="Z203" i="21"/>
  <c r="Z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06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134" i="21"/>
  <c r="Y135" i="21"/>
  <c r="Y136" i="21"/>
  <c r="Y137" i="21"/>
  <c r="Y138" i="21"/>
  <c r="Y139" i="21"/>
  <c r="Y140" i="21"/>
  <c r="Y141" i="21"/>
  <c r="Y142" i="21"/>
  <c r="Y143" i="21"/>
  <c r="Y144" i="21"/>
  <c r="Y145" i="21"/>
  <c r="Y146" i="21"/>
  <c r="Y147" i="21"/>
  <c r="Y148" i="21"/>
  <c r="Y149" i="21"/>
  <c r="Y150" i="21"/>
  <c r="Y151" i="21"/>
  <c r="Y152" i="21"/>
  <c r="Y153" i="21"/>
  <c r="Y154" i="21"/>
  <c r="Y155" i="21"/>
  <c r="Y156" i="21"/>
  <c r="Y157" i="21"/>
  <c r="Y158" i="21"/>
  <c r="Y159" i="21"/>
  <c r="Y160" i="21"/>
  <c r="Y161" i="21"/>
  <c r="Y162" i="21"/>
  <c r="Y163" i="21"/>
  <c r="Y164" i="21"/>
  <c r="Y165" i="21"/>
  <c r="Y166" i="21"/>
  <c r="Y167" i="21"/>
  <c r="Y168" i="21"/>
  <c r="Y169" i="21"/>
  <c r="Y170" i="21"/>
  <c r="Y171" i="21"/>
  <c r="Y172" i="21"/>
  <c r="Y173" i="21"/>
  <c r="Y174" i="21"/>
  <c r="Y175" i="21"/>
  <c r="Y176" i="21"/>
  <c r="Y177" i="21"/>
  <c r="Y178" i="21"/>
  <c r="Y179" i="21"/>
  <c r="Y180" i="21"/>
  <c r="Y181" i="21"/>
  <c r="Y182" i="21"/>
  <c r="Y183" i="21"/>
  <c r="Y184" i="21"/>
  <c r="Y185" i="21"/>
  <c r="Y186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06" i="21"/>
  <c r="X26" i="21"/>
  <c r="X27" i="21"/>
  <c r="X28" i="21"/>
  <c r="X29" i="21"/>
  <c r="X30" i="21"/>
  <c r="X31" i="21"/>
  <c r="X32" i="21"/>
  <c r="X33" i="21"/>
  <c r="X34" i="21"/>
  <c r="X35" i="21"/>
  <c r="X36" i="21"/>
  <c r="X37" i="21"/>
  <c r="X38" i="21"/>
  <c r="X39" i="21"/>
  <c r="X40" i="21"/>
  <c r="X41" i="21"/>
  <c r="X42" i="21"/>
  <c r="X43" i="21"/>
  <c r="X44" i="21"/>
  <c r="X45" i="21"/>
  <c r="X46" i="21"/>
  <c r="X47" i="21"/>
  <c r="X48" i="21"/>
  <c r="X49" i="21"/>
  <c r="X50" i="21"/>
  <c r="X51" i="21"/>
  <c r="X52" i="21"/>
  <c r="X53" i="21"/>
  <c r="X54" i="21"/>
  <c r="X55" i="21"/>
  <c r="X56" i="21"/>
  <c r="X57" i="21"/>
  <c r="X58" i="21"/>
  <c r="X59" i="21"/>
  <c r="X60" i="21"/>
  <c r="X61" i="21"/>
  <c r="X62" i="21"/>
  <c r="X63" i="21"/>
  <c r="X64" i="21"/>
  <c r="X65" i="21"/>
  <c r="X66" i="21"/>
  <c r="X67" i="21"/>
  <c r="X68" i="21"/>
  <c r="X69" i="21"/>
  <c r="X70" i="21"/>
  <c r="X71" i="21"/>
  <c r="X72" i="21"/>
  <c r="X73" i="21"/>
  <c r="X74" i="21"/>
  <c r="X75" i="21"/>
  <c r="X76" i="21"/>
  <c r="X77" i="21"/>
  <c r="X78" i="21"/>
  <c r="X79" i="21"/>
  <c r="X80" i="21"/>
  <c r="X81" i="21"/>
  <c r="X82" i="21"/>
  <c r="X83" i="21"/>
  <c r="X84" i="21"/>
  <c r="X85" i="21"/>
  <c r="X86" i="21"/>
  <c r="X87" i="21"/>
  <c r="X88" i="21"/>
  <c r="X89" i="21"/>
  <c r="X90" i="21"/>
  <c r="X91" i="21"/>
  <c r="X92" i="21"/>
  <c r="X93" i="21"/>
  <c r="X94" i="21"/>
  <c r="X95" i="21"/>
  <c r="X96" i="21"/>
  <c r="X97" i="21"/>
  <c r="X98" i="21"/>
  <c r="X99" i="21"/>
  <c r="X100" i="21"/>
  <c r="X101" i="21"/>
  <c r="X102" i="21"/>
  <c r="X103" i="21"/>
  <c r="X104" i="21"/>
  <c r="X105" i="21"/>
  <c r="X106" i="21"/>
  <c r="X107" i="21"/>
  <c r="X108" i="21"/>
  <c r="X109" i="21"/>
  <c r="X110" i="21"/>
  <c r="X111" i="21"/>
  <c r="X112" i="21"/>
  <c r="X113" i="21"/>
  <c r="X114" i="21"/>
  <c r="X115" i="21"/>
  <c r="X116" i="21"/>
  <c r="X117" i="21"/>
  <c r="X118" i="21"/>
  <c r="X119" i="21"/>
  <c r="X120" i="21"/>
  <c r="X121" i="21"/>
  <c r="X122" i="21"/>
  <c r="X123" i="21"/>
  <c r="X124" i="21"/>
  <c r="X125" i="21"/>
  <c r="X126" i="21"/>
  <c r="X127" i="21"/>
  <c r="X128" i="21"/>
  <c r="X129" i="21"/>
  <c r="X130" i="21"/>
  <c r="X131" i="21"/>
  <c r="X132" i="21"/>
  <c r="X133" i="21"/>
  <c r="X134" i="21"/>
  <c r="X135" i="21"/>
  <c r="X136" i="21"/>
  <c r="X137" i="21"/>
  <c r="X138" i="21"/>
  <c r="X139" i="21"/>
  <c r="X140" i="21"/>
  <c r="X141" i="21"/>
  <c r="X142" i="21"/>
  <c r="X143" i="21"/>
  <c r="X144" i="21"/>
  <c r="X145" i="21"/>
  <c r="X146" i="21"/>
  <c r="X147" i="21"/>
  <c r="X148" i="21"/>
  <c r="X149" i="21"/>
  <c r="X150" i="21"/>
  <c r="X151" i="21"/>
  <c r="X152" i="21"/>
  <c r="X153" i="21"/>
  <c r="X154" i="21"/>
  <c r="X155" i="21"/>
  <c r="X156" i="21"/>
  <c r="X157" i="21"/>
  <c r="X158" i="21"/>
  <c r="X159" i="21"/>
  <c r="X160" i="21"/>
  <c r="X161" i="21"/>
  <c r="X162" i="21"/>
  <c r="X163" i="21"/>
  <c r="X164" i="21"/>
  <c r="X165" i="21"/>
  <c r="X166" i="21"/>
  <c r="X167" i="21"/>
  <c r="X168" i="21"/>
  <c r="X169" i="21"/>
  <c r="X170" i="21"/>
  <c r="X171" i="21"/>
  <c r="X172" i="21"/>
  <c r="X173" i="21"/>
  <c r="X174" i="21"/>
  <c r="X175" i="21"/>
  <c r="X176" i="21"/>
  <c r="X177" i="21"/>
  <c r="X178" i="21"/>
  <c r="X179" i="21"/>
  <c r="X180" i="21"/>
  <c r="X181" i="21"/>
  <c r="X182" i="21"/>
  <c r="X183" i="21"/>
  <c r="X184" i="21"/>
  <c r="X185" i="21"/>
  <c r="X186" i="21"/>
  <c r="X187" i="21"/>
  <c r="X188" i="21"/>
  <c r="X189" i="21"/>
  <c r="X190" i="21"/>
  <c r="X191" i="21"/>
  <c r="X192" i="21"/>
  <c r="X193" i="21"/>
  <c r="X194" i="21"/>
  <c r="X195" i="21"/>
  <c r="X196" i="21"/>
  <c r="X197" i="21"/>
  <c r="X198" i="21"/>
  <c r="X199" i="21"/>
  <c r="X200" i="21"/>
  <c r="X201" i="21"/>
  <c r="X202" i="21"/>
  <c r="X203" i="21"/>
  <c r="X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06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W101" i="21"/>
  <c r="W102" i="21"/>
  <c r="W103" i="21"/>
  <c r="W104" i="21"/>
  <c r="W105" i="21"/>
  <c r="W106" i="21"/>
  <c r="W107" i="21"/>
  <c r="W108" i="21"/>
  <c r="W109" i="21"/>
  <c r="W110" i="21"/>
  <c r="W111" i="21"/>
  <c r="W112" i="21"/>
  <c r="W113" i="21"/>
  <c r="W114" i="21"/>
  <c r="W115" i="21"/>
  <c r="W116" i="21"/>
  <c r="W117" i="21"/>
  <c r="W118" i="21"/>
  <c r="W119" i="21"/>
  <c r="W120" i="21"/>
  <c r="W121" i="21"/>
  <c r="W122" i="21"/>
  <c r="W123" i="21"/>
  <c r="W124" i="21"/>
  <c r="W125" i="21"/>
  <c r="W126" i="21"/>
  <c r="W127" i="21"/>
  <c r="W128" i="21"/>
  <c r="W129" i="21"/>
  <c r="W130" i="21"/>
  <c r="W131" i="21"/>
  <c r="W132" i="21"/>
  <c r="W133" i="21"/>
  <c r="W134" i="21"/>
  <c r="W135" i="21"/>
  <c r="W136" i="21"/>
  <c r="W137" i="21"/>
  <c r="W138" i="21"/>
  <c r="W139" i="21"/>
  <c r="W140" i="21"/>
  <c r="W141" i="21"/>
  <c r="W142" i="21"/>
  <c r="W143" i="21"/>
  <c r="W144" i="21"/>
  <c r="W145" i="21"/>
  <c r="W146" i="21"/>
  <c r="W147" i="21"/>
  <c r="W148" i="21"/>
  <c r="W149" i="21"/>
  <c r="W150" i="21"/>
  <c r="W151" i="21"/>
  <c r="W152" i="21"/>
  <c r="W153" i="21"/>
  <c r="W154" i="21"/>
  <c r="W155" i="21"/>
  <c r="W156" i="21"/>
  <c r="W157" i="21"/>
  <c r="W158" i="21"/>
  <c r="W159" i="21"/>
  <c r="W160" i="21"/>
  <c r="W161" i="21"/>
  <c r="W162" i="21"/>
  <c r="W163" i="21"/>
  <c r="W164" i="21"/>
  <c r="W165" i="21"/>
  <c r="W166" i="21"/>
  <c r="W167" i="21"/>
  <c r="W168" i="21"/>
  <c r="W169" i="21"/>
  <c r="W170" i="21"/>
  <c r="W171" i="21"/>
  <c r="W172" i="21"/>
  <c r="W173" i="21"/>
  <c r="W174" i="21"/>
  <c r="W175" i="21"/>
  <c r="W176" i="21"/>
  <c r="W177" i="21"/>
  <c r="W178" i="21"/>
  <c r="W179" i="21"/>
  <c r="W180" i="21"/>
  <c r="W181" i="21"/>
  <c r="W182" i="21"/>
  <c r="W183" i="21"/>
  <c r="W184" i="21"/>
  <c r="W185" i="21"/>
  <c r="W186" i="21"/>
  <c r="W187" i="21"/>
  <c r="W188" i="21"/>
  <c r="W189" i="21"/>
  <c r="W190" i="21"/>
  <c r="W191" i="21"/>
  <c r="W192" i="21"/>
  <c r="W193" i="21"/>
  <c r="W194" i="21"/>
  <c r="W195" i="21"/>
  <c r="W196" i="21"/>
  <c r="W197" i="21"/>
  <c r="W198" i="21"/>
  <c r="W199" i="21"/>
  <c r="W200" i="21"/>
  <c r="W201" i="21"/>
  <c r="W202" i="21"/>
  <c r="W203" i="21"/>
  <c r="W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06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5" i="21"/>
  <c r="V86" i="21"/>
  <c r="V87" i="21"/>
  <c r="V88" i="21"/>
  <c r="V89" i="21"/>
  <c r="V90" i="21"/>
  <c r="V91" i="21"/>
  <c r="V92" i="21"/>
  <c r="V93" i="21"/>
  <c r="V94" i="21"/>
  <c r="V95" i="21"/>
  <c r="V96" i="21"/>
  <c r="V97" i="21"/>
  <c r="V98" i="21"/>
  <c r="V99" i="21"/>
  <c r="V100" i="21"/>
  <c r="V101" i="21"/>
  <c r="V102" i="21"/>
  <c r="V103" i="21"/>
  <c r="V104" i="21"/>
  <c r="V105" i="21"/>
  <c r="V106" i="21"/>
  <c r="V107" i="21"/>
  <c r="V108" i="21"/>
  <c r="V109" i="21"/>
  <c r="V110" i="21"/>
  <c r="V111" i="21"/>
  <c r="V112" i="21"/>
  <c r="V113" i="21"/>
  <c r="V114" i="21"/>
  <c r="V115" i="21"/>
  <c r="V116" i="21"/>
  <c r="V117" i="21"/>
  <c r="V118" i="21"/>
  <c r="V119" i="21"/>
  <c r="V120" i="21"/>
  <c r="V121" i="21"/>
  <c r="V122" i="21"/>
  <c r="V123" i="21"/>
  <c r="V124" i="21"/>
  <c r="V125" i="21"/>
  <c r="V126" i="21"/>
  <c r="V127" i="21"/>
  <c r="V128" i="21"/>
  <c r="V129" i="21"/>
  <c r="V130" i="21"/>
  <c r="V131" i="21"/>
  <c r="V132" i="21"/>
  <c r="V133" i="21"/>
  <c r="V134" i="21"/>
  <c r="V135" i="21"/>
  <c r="V136" i="21"/>
  <c r="V137" i="21"/>
  <c r="V138" i="21"/>
  <c r="V139" i="21"/>
  <c r="V140" i="21"/>
  <c r="V141" i="21"/>
  <c r="V142" i="21"/>
  <c r="V143" i="21"/>
  <c r="V144" i="21"/>
  <c r="V145" i="21"/>
  <c r="V146" i="21"/>
  <c r="V147" i="21"/>
  <c r="V148" i="21"/>
  <c r="V149" i="21"/>
  <c r="V150" i="21"/>
  <c r="V151" i="21"/>
  <c r="V152" i="21"/>
  <c r="V153" i="21"/>
  <c r="V154" i="21"/>
  <c r="V155" i="21"/>
  <c r="V156" i="21"/>
  <c r="V157" i="21"/>
  <c r="V158" i="21"/>
  <c r="V159" i="21"/>
  <c r="V160" i="21"/>
  <c r="V161" i="21"/>
  <c r="V162" i="21"/>
  <c r="V163" i="21"/>
  <c r="V164" i="21"/>
  <c r="V165" i="21"/>
  <c r="V166" i="21"/>
  <c r="V167" i="21"/>
  <c r="V168" i="21"/>
  <c r="V169" i="21"/>
  <c r="V170" i="21"/>
  <c r="V171" i="21"/>
  <c r="V172" i="21"/>
  <c r="V173" i="21"/>
  <c r="V174" i="21"/>
  <c r="V175" i="21"/>
  <c r="V176" i="21"/>
  <c r="V177" i="21"/>
  <c r="V178" i="21"/>
  <c r="V179" i="21"/>
  <c r="V180" i="21"/>
  <c r="V181" i="21"/>
  <c r="V182" i="21"/>
  <c r="V183" i="21"/>
  <c r="V184" i="21"/>
  <c r="V185" i="21"/>
  <c r="V186" i="21"/>
  <c r="V187" i="21"/>
  <c r="V188" i="21"/>
  <c r="V189" i="21"/>
  <c r="V190" i="21"/>
  <c r="V191" i="21"/>
  <c r="V192" i="21"/>
  <c r="V193" i="21"/>
  <c r="V194" i="21"/>
  <c r="V195" i="21"/>
  <c r="V196" i="21"/>
  <c r="V197" i="21"/>
  <c r="V198" i="21"/>
  <c r="V199" i="21"/>
  <c r="V200" i="21"/>
  <c r="V201" i="21"/>
  <c r="V202" i="21"/>
  <c r="V203" i="21"/>
  <c r="V7" i="21"/>
  <c r="U8" i="21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06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50" i="21"/>
  <c r="U51" i="21"/>
  <c r="U52" i="21"/>
  <c r="U53" i="21"/>
  <c r="U54" i="21"/>
  <c r="U55" i="21"/>
  <c r="U56" i="21"/>
  <c r="U57" i="21"/>
  <c r="U58" i="21"/>
  <c r="U59" i="21"/>
  <c r="U60" i="21"/>
  <c r="U61" i="21"/>
  <c r="U62" i="21"/>
  <c r="U63" i="21"/>
  <c r="U64" i="21"/>
  <c r="U65" i="21"/>
  <c r="U66" i="21"/>
  <c r="U67" i="21"/>
  <c r="U68" i="21"/>
  <c r="U69" i="21"/>
  <c r="U70" i="21"/>
  <c r="U71" i="21"/>
  <c r="U72" i="21"/>
  <c r="U73" i="21"/>
  <c r="U74" i="21"/>
  <c r="U75" i="21"/>
  <c r="U76" i="21"/>
  <c r="U77" i="21"/>
  <c r="U78" i="21"/>
  <c r="U79" i="21"/>
  <c r="U80" i="21"/>
  <c r="U81" i="21"/>
  <c r="U82" i="21"/>
  <c r="U83" i="21"/>
  <c r="U84" i="21"/>
  <c r="U85" i="21"/>
  <c r="U86" i="21"/>
  <c r="U87" i="21"/>
  <c r="U88" i="21"/>
  <c r="U89" i="21"/>
  <c r="U90" i="21"/>
  <c r="U91" i="21"/>
  <c r="U92" i="21"/>
  <c r="U93" i="21"/>
  <c r="U94" i="21"/>
  <c r="U95" i="21"/>
  <c r="U96" i="21"/>
  <c r="U97" i="21"/>
  <c r="U98" i="21"/>
  <c r="U99" i="21"/>
  <c r="U100" i="21"/>
  <c r="U101" i="21"/>
  <c r="U102" i="21"/>
  <c r="U103" i="21"/>
  <c r="U104" i="21"/>
  <c r="U105" i="21"/>
  <c r="U106" i="21"/>
  <c r="U107" i="21"/>
  <c r="U108" i="21"/>
  <c r="U109" i="21"/>
  <c r="U110" i="21"/>
  <c r="U111" i="21"/>
  <c r="U112" i="21"/>
  <c r="U113" i="21"/>
  <c r="U114" i="21"/>
  <c r="U115" i="21"/>
  <c r="U116" i="21"/>
  <c r="U117" i="21"/>
  <c r="U118" i="21"/>
  <c r="U119" i="21"/>
  <c r="U120" i="21"/>
  <c r="U121" i="21"/>
  <c r="U122" i="21"/>
  <c r="U123" i="21"/>
  <c r="U124" i="21"/>
  <c r="U125" i="21"/>
  <c r="U126" i="21"/>
  <c r="U127" i="21"/>
  <c r="U128" i="21"/>
  <c r="U129" i="21"/>
  <c r="U130" i="21"/>
  <c r="U131" i="21"/>
  <c r="U132" i="21"/>
  <c r="U133" i="21"/>
  <c r="U134" i="21"/>
  <c r="U135" i="21"/>
  <c r="U136" i="21"/>
  <c r="U137" i="21"/>
  <c r="U138" i="21"/>
  <c r="U139" i="21"/>
  <c r="U140" i="21"/>
  <c r="U141" i="21"/>
  <c r="U142" i="21"/>
  <c r="U143" i="21"/>
  <c r="U144" i="21"/>
  <c r="U145" i="21"/>
  <c r="U146" i="21"/>
  <c r="U147" i="21"/>
  <c r="U148" i="21"/>
  <c r="U149" i="21"/>
  <c r="U150" i="21"/>
  <c r="U151" i="21"/>
  <c r="U152" i="21"/>
  <c r="U153" i="21"/>
  <c r="U154" i="21"/>
  <c r="U155" i="21"/>
  <c r="U156" i="21"/>
  <c r="U157" i="21"/>
  <c r="U158" i="21"/>
  <c r="U159" i="21"/>
  <c r="U160" i="21"/>
  <c r="U161" i="21"/>
  <c r="U162" i="21"/>
  <c r="U163" i="21"/>
  <c r="U164" i="21"/>
  <c r="U165" i="21"/>
  <c r="U166" i="21"/>
  <c r="U167" i="21"/>
  <c r="U168" i="21"/>
  <c r="U169" i="21"/>
  <c r="U170" i="21"/>
  <c r="U171" i="21"/>
  <c r="U172" i="21"/>
  <c r="U173" i="21"/>
  <c r="U174" i="21"/>
  <c r="U175" i="21"/>
  <c r="U176" i="21"/>
  <c r="U177" i="21"/>
  <c r="U178" i="21"/>
  <c r="U179" i="21"/>
  <c r="U180" i="21"/>
  <c r="U181" i="21"/>
  <c r="U182" i="21"/>
  <c r="U183" i="21"/>
  <c r="U184" i="21"/>
  <c r="U185" i="21"/>
  <c r="U186" i="21"/>
  <c r="U187" i="21"/>
  <c r="U188" i="21"/>
  <c r="U189" i="21"/>
  <c r="U190" i="21"/>
  <c r="U191" i="21"/>
  <c r="U192" i="21"/>
  <c r="U193" i="21"/>
  <c r="U194" i="21"/>
  <c r="U195" i="21"/>
  <c r="U196" i="21"/>
  <c r="U197" i="21"/>
  <c r="U198" i="21"/>
  <c r="U199" i="21"/>
  <c r="U200" i="21"/>
  <c r="U201" i="21"/>
  <c r="U202" i="21"/>
  <c r="U203" i="21"/>
  <c r="U7" i="21"/>
  <c r="K213" i="25" l="1"/>
  <c r="L210" i="25"/>
  <c r="M210" i="25" s="1"/>
  <c r="N210" i="25" s="1"/>
  <c r="O210" i="25" s="1"/>
  <c r="P210" i="25" s="1"/>
  <c r="Q210" i="25" s="1"/>
  <c r="R210" i="25" s="1"/>
  <c r="S210" i="25" s="1"/>
  <c r="T210" i="25" s="1"/>
  <c r="D208" i="21"/>
  <c r="L209" i="21" l="1"/>
  <c r="K209" i="21"/>
  <c r="O209" i="21"/>
  <c r="H209" i="21"/>
  <c r="G209" i="21"/>
  <c r="R209" i="21"/>
  <c r="Q209" i="21"/>
  <c r="N209" i="21"/>
  <c r="M209" i="21"/>
  <c r="P209" i="21"/>
  <c r="I209" i="21"/>
  <c r="J209" i="21"/>
  <c r="F209" i="21"/>
  <c r="F210" i="21" s="1"/>
  <c r="G210" i="21" l="1"/>
  <c r="H210" i="21" s="1"/>
  <c r="I210" i="21" s="1"/>
  <c r="J210" i="21" s="1"/>
  <c r="K210" i="21" s="1"/>
  <c r="L210" i="21" s="1"/>
  <c r="M210" i="21" s="1"/>
  <c r="N210" i="21" s="1"/>
  <c r="O210" i="21" s="1"/>
  <c r="P210" i="21" s="1"/>
  <c r="Q210" i="21" s="1"/>
  <c r="R210" i="21" s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2" i="16"/>
  <c r="C8" i="21" l="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06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7" i="21"/>
  <c r="C205" i="21" l="1"/>
  <c r="C204" i="21"/>
  <c r="E7" i="21"/>
  <c r="E203" i="21"/>
  <c r="E202" i="21"/>
  <c r="E201" i="21"/>
  <c r="E200" i="21"/>
  <c r="E199" i="21"/>
  <c r="E198" i="21"/>
  <c r="E197" i="21"/>
  <c r="E196" i="21"/>
  <c r="E195" i="21"/>
  <c r="E194" i="21"/>
  <c r="E193" i="21"/>
  <c r="E192" i="21"/>
  <c r="E191" i="21"/>
  <c r="E190" i="21"/>
  <c r="E189" i="21"/>
  <c r="E188" i="21"/>
  <c r="E187" i="21"/>
  <c r="E186" i="21"/>
  <c r="E185" i="21"/>
  <c r="E184" i="21"/>
  <c r="E183" i="21"/>
  <c r="E182" i="21"/>
  <c r="E181" i="21"/>
  <c r="E180" i="21"/>
  <c r="E179" i="21"/>
  <c r="E178" i="21"/>
  <c r="E177" i="21"/>
  <c r="E176" i="21"/>
  <c r="E175" i="21"/>
  <c r="E174" i="21"/>
  <c r="E173" i="21"/>
  <c r="E172" i="21"/>
  <c r="E171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32" i="21"/>
  <c r="E131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0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205" i="21" l="1"/>
  <c r="C208" i="21"/>
  <c r="E204" i="21"/>
  <c r="E208" i="21" s="1"/>
  <c r="S8" i="21"/>
  <c r="AB8" i="21" s="1"/>
  <c r="S9" i="21"/>
  <c r="AB9" i="21" s="1"/>
  <c r="S10" i="21"/>
  <c r="AB10" i="21" s="1"/>
  <c r="S11" i="21"/>
  <c r="AB11" i="21" s="1"/>
  <c r="S12" i="21"/>
  <c r="AB12" i="21" s="1"/>
  <c r="S13" i="21"/>
  <c r="AB13" i="21" s="1"/>
  <c r="S14" i="21"/>
  <c r="AB14" i="21" s="1"/>
  <c r="S15" i="21"/>
  <c r="AB15" i="21" s="1"/>
  <c r="S16" i="21"/>
  <c r="AB16" i="21" s="1"/>
  <c r="S17" i="21"/>
  <c r="AB17" i="21" s="1"/>
  <c r="S18" i="21"/>
  <c r="AB18" i="21" s="1"/>
  <c r="S19" i="21"/>
  <c r="AB19" i="21" s="1"/>
  <c r="S20" i="21"/>
  <c r="AB20" i="21" s="1"/>
  <c r="S21" i="21"/>
  <c r="AB21" i="21" s="1"/>
  <c r="S22" i="21"/>
  <c r="AB22" i="21" s="1"/>
  <c r="S23" i="21"/>
  <c r="AB23" i="21" s="1"/>
  <c r="S24" i="21"/>
  <c r="AB24" i="21" s="1"/>
  <c r="S25" i="21"/>
  <c r="AB25" i="21" s="1"/>
  <c r="S206" i="21"/>
  <c r="AB206" i="21" s="1"/>
  <c r="S26" i="21"/>
  <c r="AB26" i="21" s="1"/>
  <c r="S27" i="21"/>
  <c r="AB27" i="21" s="1"/>
  <c r="S28" i="21"/>
  <c r="AB28" i="21" s="1"/>
  <c r="S29" i="21"/>
  <c r="AB29" i="21" s="1"/>
  <c r="S30" i="21"/>
  <c r="AB30" i="21" s="1"/>
  <c r="S31" i="21"/>
  <c r="AB31" i="21" s="1"/>
  <c r="S32" i="21"/>
  <c r="AB32" i="21" s="1"/>
  <c r="S33" i="21"/>
  <c r="AB33" i="21" s="1"/>
  <c r="S34" i="21"/>
  <c r="AB34" i="21" s="1"/>
  <c r="S35" i="21"/>
  <c r="AB35" i="21" s="1"/>
  <c r="S36" i="21"/>
  <c r="AB36" i="21" s="1"/>
  <c r="S37" i="21"/>
  <c r="AB37" i="21" s="1"/>
  <c r="S38" i="21"/>
  <c r="AB38" i="21" s="1"/>
  <c r="S39" i="21"/>
  <c r="AB39" i="21" s="1"/>
  <c r="S40" i="21"/>
  <c r="AB40" i="21" s="1"/>
  <c r="S41" i="21"/>
  <c r="AB41" i="21" s="1"/>
  <c r="S42" i="21"/>
  <c r="AB42" i="21" s="1"/>
  <c r="S43" i="21"/>
  <c r="AB43" i="21" s="1"/>
  <c r="S44" i="21"/>
  <c r="AB44" i="21" s="1"/>
  <c r="S45" i="21"/>
  <c r="AB45" i="21" s="1"/>
  <c r="S46" i="21"/>
  <c r="AB46" i="21" s="1"/>
  <c r="S47" i="21"/>
  <c r="AB47" i="21" s="1"/>
  <c r="S48" i="21"/>
  <c r="AB48" i="21" s="1"/>
  <c r="S49" i="21"/>
  <c r="AB49" i="21" s="1"/>
  <c r="S50" i="21"/>
  <c r="AB50" i="21" s="1"/>
  <c r="S51" i="21"/>
  <c r="AB51" i="21" s="1"/>
  <c r="S52" i="21"/>
  <c r="AB52" i="21" s="1"/>
  <c r="S53" i="21"/>
  <c r="AB53" i="21" s="1"/>
  <c r="S54" i="21"/>
  <c r="AB54" i="21" s="1"/>
  <c r="S55" i="21"/>
  <c r="AB55" i="21" s="1"/>
  <c r="S56" i="21"/>
  <c r="AB56" i="21" s="1"/>
  <c r="S57" i="21"/>
  <c r="AB57" i="21" s="1"/>
  <c r="S58" i="21"/>
  <c r="AB58" i="21" s="1"/>
  <c r="S59" i="21"/>
  <c r="AB59" i="21" s="1"/>
  <c r="S60" i="21"/>
  <c r="AB60" i="21" s="1"/>
  <c r="S61" i="21"/>
  <c r="AB61" i="21" s="1"/>
  <c r="S62" i="21"/>
  <c r="AB62" i="21" s="1"/>
  <c r="S63" i="21"/>
  <c r="AB63" i="21" s="1"/>
  <c r="S64" i="21"/>
  <c r="AB64" i="21" s="1"/>
  <c r="S65" i="21"/>
  <c r="AB65" i="21" s="1"/>
  <c r="S66" i="21"/>
  <c r="AB66" i="21" s="1"/>
  <c r="S67" i="21"/>
  <c r="AB67" i="21" s="1"/>
  <c r="S68" i="21"/>
  <c r="AB68" i="21" s="1"/>
  <c r="S69" i="21"/>
  <c r="AB69" i="21" s="1"/>
  <c r="S70" i="21"/>
  <c r="AB70" i="21" s="1"/>
  <c r="S71" i="21"/>
  <c r="AB71" i="21" s="1"/>
  <c r="S72" i="21"/>
  <c r="AB72" i="21" s="1"/>
  <c r="S73" i="21"/>
  <c r="AB73" i="21" s="1"/>
  <c r="S74" i="21"/>
  <c r="AB74" i="21" s="1"/>
  <c r="S75" i="21"/>
  <c r="AB75" i="21" s="1"/>
  <c r="S76" i="21"/>
  <c r="AB76" i="21" s="1"/>
  <c r="S77" i="21"/>
  <c r="AB77" i="21" s="1"/>
  <c r="S78" i="21"/>
  <c r="AB78" i="21" s="1"/>
  <c r="S79" i="21"/>
  <c r="AB79" i="21" s="1"/>
  <c r="S80" i="21"/>
  <c r="AB80" i="21" s="1"/>
  <c r="S81" i="21"/>
  <c r="AB81" i="21" s="1"/>
  <c r="S82" i="21"/>
  <c r="AB82" i="21" s="1"/>
  <c r="S83" i="21"/>
  <c r="AB83" i="21" s="1"/>
  <c r="S84" i="21"/>
  <c r="AB84" i="21" s="1"/>
  <c r="S85" i="21"/>
  <c r="AB85" i="21" s="1"/>
  <c r="S86" i="21"/>
  <c r="AB86" i="21" s="1"/>
  <c r="S87" i="21"/>
  <c r="AB87" i="21" s="1"/>
  <c r="S88" i="21"/>
  <c r="AB88" i="21" s="1"/>
  <c r="S89" i="21"/>
  <c r="AB89" i="21" s="1"/>
  <c r="S90" i="21"/>
  <c r="AB90" i="21" s="1"/>
  <c r="S91" i="21"/>
  <c r="AB91" i="21" s="1"/>
  <c r="S92" i="21"/>
  <c r="AB92" i="21" s="1"/>
  <c r="S93" i="21"/>
  <c r="AB93" i="21" s="1"/>
  <c r="S94" i="21"/>
  <c r="AB94" i="21" s="1"/>
  <c r="S95" i="21"/>
  <c r="AB95" i="21" s="1"/>
  <c r="S96" i="21"/>
  <c r="AB96" i="21" s="1"/>
  <c r="S97" i="21"/>
  <c r="AB97" i="21" s="1"/>
  <c r="S98" i="21"/>
  <c r="AB98" i="21" s="1"/>
  <c r="S99" i="21"/>
  <c r="AB99" i="21" s="1"/>
  <c r="S100" i="21"/>
  <c r="AB100" i="21" s="1"/>
  <c r="S101" i="21"/>
  <c r="AB101" i="21" s="1"/>
  <c r="S102" i="21"/>
  <c r="AB102" i="21" s="1"/>
  <c r="S103" i="21"/>
  <c r="AB103" i="21" s="1"/>
  <c r="S104" i="21"/>
  <c r="AB104" i="21" s="1"/>
  <c r="S105" i="21"/>
  <c r="AB105" i="21" s="1"/>
  <c r="S106" i="21"/>
  <c r="AB106" i="21" s="1"/>
  <c r="S107" i="21"/>
  <c r="AB107" i="21" s="1"/>
  <c r="S108" i="21"/>
  <c r="AB108" i="21" s="1"/>
  <c r="S109" i="21"/>
  <c r="AB109" i="21" s="1"/>
  <c r="S110" i="21"/>
  <c r="AB110" i="21" s="1"/>
  <c r="S111" i="21"/>
  <c r="AB111" i="21" s="1"/>
  <c r="S112" i="21"/>
  <c r="AB112" i="21" s="1"/>
  <c r="S113" i="21"/>
  <c r="AB113" i="21" s="1"/>
  <c r="S114" i="21"/>
  <c r="AB114" i="21" s="1"/>
  <c r="S115" i="21"/>
  <c r="AB115" i="21" s="1"/>
  <c r="S116" i="21"/>
  <c r="AB116" i="21" s="1"/>
  <c r="S117" i="21"/>
  <c r="AB117" i="21" s="1"/>
  <c r="S118" i="21"/>
  <c r="AB118" i="21" s="1"/>
  <c r="S119" i="21"/>
  <c r="AB119" i="21" s="1"/>
  <c r="S120" i="21"/>
  <c r="AB120" i="21" s="1"/>
  <c r="S121" i="21"/>
  <c r="AB121" i="21" s="1"/>
  <c r="S122" i="21"/>
  <c r="AB122" i="21" s="1"/>
  <c r="S123" i="21"/>
  <c r="AB123" i="21" s="1"/>
  <c r="S124" i="21"/>
  <c r="AB124" i="21" s="1"/>
  <c r="S125" i="21"/>
  <c r="AB125" i="21" s="1"/>
  <c r="S126" i="21"/>
  <c r="AB126" i="21" s="1"/>
  <c r="S127" i="21"/>
  <c r="AB127" i="21" s="1"/>
  <c r="S128" i="21"/>
  <c r="AB128" i="21" s="1"/>
  <c r="S129" i="21"/>
  <c r="AB129" i="21" s="1"/>
  <c r="S130" i="21"/>
  <c r="AB130" i="21" s="1"/>
  <c r="S131" i="21"/>
  <c r="AB131" i="21" s="1"/>
  <c r="S132" i="21"/>
  <c r="AB132" i="21" s="1"/>
  <c r="S133" i="21"/>
  <c r="AB133" i="21" s="1"/>
  <c r="S134" i="21"/>
  <c r="AB134" i="21" s="1"/>
  <c r="S135" i="21"/>
  <c r="AB135" i="21" s="1"/>
  <c r="S136" i="21"/>
  <c r="AB136" i="21" s="1"/>
  <c r="S137" i="21"/>
  <c r="AB137" i="21" s="1"/>
  <c r="S138" i="21"/>
  <c r="AB138" i="21" s="1"/>
  <c r="S139" i="21"/>
  <c r="AB139" i="21" s="1"/>
  <c r="S140" i="21"/>
  <c r="AB140" i="21" s="1"/>
  <c r="S141" i="21"/>
  <c r="AB141" i="21" s="1"/>
  <c r="S142" i="21"/>
  <c r="AB142" i="21" s="1"/>
  <c r="S143" i="21"/>
  <c r="AB143" i="21" s="1"/>
  <c r="S144" i="21"/>
  <c r="AB144" i="21" s="1"/>
  <c r="S145" i="21"/>
  <c r="AB145" i="21" s="1"/>
  <c r="S146" i="21"/>
  <c r="AB146" i="21" s="1"/>
  <c r="S147" i="21"/>
  <c r="AB147" i="21" s="1"/>
  <c r="S148" i="21"/>
  <c r="AB148" i="21" s="1"/>
  <c r="S149" i="21"/>
  <c r="AB149" i="21" s="1"/>
  <c r="S150" i="21"/>
  <c r="AB150" i="21" s="1"/>
  <c r="S151" i="21"/>
  <c r="AB151" i="21" s="1"/>
  <c r="S152" i="21"/>
  <c r="AB152" i="21" s="1"/>
  <c r="S153" i="21"/>
  <c r="AB153" i="21" s="1"/>
  <c r="S154" i="21"/>
  <c r="AB154" i="21" s="1"/>
  <c r="S155" i="21"/>
  <c r="AB155" i="21" s="1"/>
  <c r="S156" i="21"/>
  <c r="AB156" i="21" s="1"/>
  <c r="S157" i="21"/>
  <c r="AB157" i="21" s="1"/>
  <c r="S158" i="21"/>
  <c r="AB158" i="21" s="1"/>
  <c r="S159" i="21"/>
  <c r="AB159" i="21" s="1"/>
  <c r="S160" i="21"/>
  <c r="AB160" i="21" s="1"/>
  <c r="S161" i="21"/>
  <c r="AB161" i="21" s="1"/>
  <c r="S162" i="21"/>
  <c r="AB162" i="21" s="1"/>
  <c r="S163" i="21"/>
  <c r="AB163" i="21" s="1"/>
  <c r="S164" i="21"/>
  <c r="AB164" i="21" s="1"/>
  <c r="S165" i="21"/>
  <c r="AB165" i="21" s="1"/>
  <c r="S166" i="21"/>
  <c r="AB166" i="21" s="1"/>
  <c r="S167" i="21"/>
  <c r="AB167" i="21" s="1"/>
  <c r="S168" i="21"/>
  <c r="AB168" i="21" s="1"/>
  <c r="S169" i="21"/>
  <c r="AB169" i="21" s="1"/>
  <c r="S170" i="21"/>
  <c r="AB170" i="21" s="1"/>
  <c r="S171" i="21"/>
  <c r="AB171" i="21" s="1"/>
  <c r="S172" i="21"/>
  <c r="AB172" i="21" s="1"/>
  <c r="S173" i="21"/>
  <c r="AB173" i="21" s="1"/>
  <c r="S174" i="21"/>
  <c r="AB174" i="21" s="1"/>
  <c r="S175" i="21"/>
  <c r="AB175" i="21" s="1"/>
  <c r="S176" i="21"/>
  <c r="AB176" i="21" s="1"/>
  <c r="S177" i="21"/>
  <c r="AB177" i="21" s="1"/>
  <c r="S178" i="21"/>
  <c r="AB178" i="21" s="1"/>
  <c r="S179" i="21"/>
  <c r="AB179" i="21" s="1"/>
  <c r="S180" i="21"/>
  <c r="AB180" i="21" s="1"/>
  <c r="S181" i="21"/>
  <c r="AB181" i="21" s="1"/>
  <c r="S182" i="21"/>
  <c r="AB182" i="21" s="1"/>
  <c r="S183" i="21"/>
  <c r="AB183" i="21" s="1"/>
  <c r="S184" i="21"/>
  <c r="AB184" i="21" s="1"/>
  <c r="S185" i="21"/>
  <c r="AB185" i="21" s="1"/>
  <c r="S186" i="21"/>
  <c r="AB186" i="21" s="1"/>
  <c r="S187" i="21"/>
  <c r="AB187" i="21" s="1"/>
  <c r="S188" i="21"/>
  <c r="AB188" i="21" s="1"/>
  <c r="S189" i="21"/>
  <c r="AB189" i="21" s="1"/>
  <c r="S190" i="21"/>
  <c r="AB190" i="21" s="1"/>
  <c r="S191" i="21"/>
  <c r="AB191" i="21" s="1"/>
  <c r="S192" i="21"/>
  <c r="AB192" i="21" s="1"/>
  <c r="S193" i="21"/>
  <c r="AB193" i="21" s="1"/>
  <c r="S194" i="21"/>
  <c r="AB194" i="21" s="1"/>
  <c r="S195" i="21"/>
  <c r="AB195" i="21" s="1"/>
  <c r="S196" i="21"/>
  <c r="AB196" i="21" s="1"/>
  <c r="S197" i="21"/>
  <c r="AB197" i="21" s="1"/>
  <c r="S198" i="21"/>
  <c r="AB198" i="21" s="1"/>
  <c r="S199" i="21"/>
  <c r="AB199" i="21" s="1"/>
  <c r="S200" i="21"/>
  <c r="AB200" i="21" s="1"/>
  <c r="S201" i="21"/>
  <c r="AB201" i="21" s="1"/>
  <c r="S202" i="21"/>
  <c r="AB202" i="21" s="1"/>
  <c r="S203" i="21"/>
  <c r="AB203" i="21" s="1"/>
  <c r="S7" i="21"/>
  <c r="AB7" i="21" s="1"/>
  <c r="E211" i="21" l="1"/>
  <c r="E212" i="21" s="1"/>
  <c r="R211" i="21"/>
  <c r="I211" i="21"/>
  <c r="N211" i="21"/>
  <c r="L211" i="21"/>
  <c r="Q211" i="21"/>
  <c r="M211" i="21"/>
  <c r="H211" i="21"/>
  <c r="K211" i="21"/>
  <c r="J211" i="21"/>
  <c r="P211" i="21"/>
  <c r="G211" i="21"/>
  <c r="O211" i="21"/>
  <c r="F211" i="21"/>
  <c r="D211" i="21"/>
  <c r="S204" i="21"/>
  <c r="AB204" i="21" s="1"/>
  <c r="F212" i="21" l="1"/>
  <c r="G212" i="21" s="1"/>
  <c r="H212" i="21" s="1"/>
  <c r="I212" i="21" s="1"/>
  <c r="J212" i="21" s="1"/>
  <c r="K212" i="21" s="1"/>
  <c r="L212" i="21" s="1"/>
  <c r="M212" i="21" s="1"/>
  <c r="N212" i="21" s="1"/>
  <c r="O212" i="21" s="1"/>
  <c r="P212" i="21" s="1"/>
  <c r="Q212" i="21" s="1"/>
  <c r="R212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tc={512CDC81-991F-4D3B-ABE0-DEDACF7DA815}</author>
    <author>tc={64859261-8CA4-4955-AEA0-3C818A2520FF}</author>
    <author>tc={CE95A6E9-20AF-4F2C-B55C-063FA890E828}</author>
    <author>tc={1A9BB7D5-D0E2-4C9D-89E2-639855C42118}</author>
  </authors>
  <commentList>
    <comment ref="D204" authorId="0" shapeId="0" xr:uid="{512CDC81-991F-4D3B-ABE0-DEDACF7DA815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Adósávonkénti orszásos összegekből számolva (nem járásonkénti összegekből)</t>
      </text>
    </comment>
    <comment ref="E204" authorId="1" shapeId="0" xr:uid="{64859261-8CA4-4955-AEA0-3C818A2520FF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Nem járási összeg, hanem az országos összegekből számolva</t>
      </text>
    </comment>
    <comment ref="D205" authorId="2" shapeId="0" xr:uid="{CE95A6E9-20AF-4F2C-B55C-063FA890E828}">
      <text>
        <t xml:space="preserve"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Járásonkénti értékek összege
</t>
      </text>
    </comment>
    <comment ref="E205" authorId="3" shapeId="0" xr:uid="{1A9BB7D5-D0E2-4C9D-89E2-639855C42118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Járásonkénti értékek összege</t>
      </text>
    </comment>
  </commentList>
</comments>
</file>

<file path=xl/sharedStrings.xml><?xml version="1.0" encoding="utf-8"?>
<sst xmlns="http://schemas.openxmlformats.org/spreadsheetml/2006/main" count="3221" uniqueCount="544">
  <si>
    <t>kod</t>
  </si>
  <si>
    <t>Ajkai járás</t>
  </si>
  <si>
    <t>183</t>
  </si>
  <si>
    <t>Aszódi járás</t>
  </si>
  <si>
    <t>122</t>
  </si>
  <si>
    <t>Bácsalmási járás</t>
  </si>
  <si>
    <t>34</t>
  </si>
  <si>
    <t>Bajai járás</t>
  </si>
  <si>
    <t>35</t>
  </si>
  <si>
    <t>Baktalórántházai járás</t>
  </si>
  <si>
    <t>148</t>
  </si>
  <si>
    <t>Balassagyarmati járás</t>
  </si>
  <si>
    <t>116</t>
  </si>
  <si>
    <t>Balatonalmádi járás</t>
  </si>
  <si>
    <t>184</t>
  </si>
  <si>
    <t>Balatonfüredi járás</t>
  </si>
  <si>
    <t>185</t>
  </si>
  <si>
    <t>Balmazújvárosi járás</t>
  </si>
  <si>
    <t>93</t>
  </si>
  <si>
    <t>Barcsi járás</t>
  </si>
  <si>
    <t>140</t>
  </si>
  <si>
    <t>Bátonyterenyei járás</t>
  </si>
  <si>
    <t>117</t>
  </si>
  <si>
    <t>Békéscsabai járás</t>
  </si>
  <si>
    <t>46</t>
  </si>
  <si>
    <t>Békési járás</t>
  </si>
  <si>
    <t>45</t>
  </si>
  <si>
    <t>Bélapátfalvai járás</t>
  </si>
  <si>
    <t>103</t>
  </si>
  <si>
    <t>Berettyóújfalui járás</t>
  </si>
  <si>
    <t>94</t>
  </si>
  <si>
    <t>Bicskei járás</t>
  </si>
  <si>
    <t>77</t>
  </si>
  <si>
    <t>Bólyi járás</t>
  </si>
  <si>
    <t>24</t>
  </si>
  <si>
    <t>Bonyhádi járás</t>
  </si>
  <si>
    <t>170</t>
  </si>
  <si>
    <t>Budakeszi járás</t>
  </si>
  <si>
    <t>123</t>
  </si>
  <si>
    <t>Budapest</t>
  </si>
  <si>
    <t>999</t>
  </si>
  <si>
    <t>Budapest 01. ker. járás</t>
  </si>
  <si>
    <t>1</t>
  </si>
  <si>
    <t>Budapest 02. ker. járás</t>
  </si>
  <si>
    <t>2</t>
  </si>
  <si>
    <t>Budapest 03. ker. járás</t>
  </si>
  <si>
    <t>3</t>
  </si>
  <si>
    <t>Budapest 04. ker. járás</t>
  </si>
  <si>
    <t>4</t>
  </si>
  <si>
    <t>Budapest 05. ker. járás</t>
  </si>
  <si>
    <t>5</t>
  </si>
  <si>
    <t>Budapest 06. ker. járás</t>
  </si>
  <si>
    <t>6</t>
  </si>
  <si>
    <t>Budapest 07. ker. járás</t>
  </si>
  <si>
    <t>7</t>
  </si>
  <si>
    <t>Budapest 08. ker. járás</t>
  </si>
  <si>
    <t>8</t>
  </si>
  <si>
    <t>Budapest 09. ker. járás</t>
  </si>
  <si>
    <t>9</t>
  </si>
  <si>
    <t>Budapest 10. ker. járás</t>
  </si>
  <si>
    <t>10</t>
  </si>
  <si>
    <t>Budapest 11. ker. járás</t>
  </si>
  <si>
    <t>11</t>
  </si>
  <si>
    <t>Budapest 12. ker. járás</t>
  </si>
  <si>
    <t>12</t>
  </si>
  <si>
    <t>Budapest 13. ker. járás</t>
  </si>
  <si>
    <t>13</t>
  </si>
  <si>
    <t>Budapest 14. ker. járás</t>
  </si>
  <si>
    <t>14</t>
  </si>
  <si>
    <t>Budapest 15. ker. járás</t>
  </si>
  <si>
    <t>15</t>
  </si>
  <si>
    <t>Budapest 16. ker. járás</t>
  </si>
  <si>
    <t>16</t>
  </si>
  <si>
    <t>Budapest 17. ker. járás</t>
  </si>
  <si>
    <t>17</t>
  </si>
  <si>
    <t>Budapest 18. ker. járás</t>
  </si>
  <si>
    <t>18</t>
  </si>
  <si>
    <t>Budapest 19. ker. járás</t>
  </si>
  <si>
    <t>19</t>
  </si>
  <si>
    <t>Budapest 20. ker. járás</t>
  </si>
  <si>
    <t>20</t>
  </si>
  <si>
    <t>Budapest 21. ker. járás</t>
  </si>
  <si>
    <t>21</t>
  </si>
  <si>
    <t>Budapest 22. ker. járás</t>
  </si>
  <si>
    <t>22</t>
  </si>
  <si>
    <t>Budapest 23. ker. járás</t>
  </si>
  <si>
    <t>23</t>
  </si>
  <si>
    <t>Ceglédi járás</t>
  </si>
  <si>
    <t>124</t>
  </si>
  <si>
    <t>Celldömölki járás</t>
  </si>
  <si>
    <t>176</t>
  </si>
  <si>
    <t>Cigándi járás</t>
  </si>
  <si>
    <t>54</t>
  </si>
  <si>
    <t>Csengeri járás</t>
  </si>
  <si>
    <t>149</t>
  </si>
  <si>
    <t>Csongrádi járás</t>
  </si>
  <si>
    <t>70</t>
  </si>
  <si>
    <t>Csornai járás</t>
  </si>
  <si>
    <t>86</t>
  </si>
  <si>
    <t>Csurgói járás</t>
  </si>
  <si>
    <t>141</t>
  </si>
  <si>
    <t>Dabasi járás</t>
  </si>
  <si>
    <t>125</t>
  </si>
  <si>
    <t>Debreceni járás</t>
  </si>
  <si>
    <t>95</t>
  </si>
  <si>
    <t>Derecskei járás</t>
  </si>
  <si>
    <t>96</t>
  </si>
  <si>
    <t>Devecseri járás</t>
  </si>
  <si>
    <t>186</t>
  </si>
  <si>
    <t>Dombóvári járás</t>
  </si>
  <si>
    <t>171</t>
  </si>
  <si>
    <t>Dunakeszi járás</t>
  </si>
  <si>
    <t>126</t>
  </si>
  <si>
    <t>Dunaújvárosi járás</t>
  </si>
  <si>
    <t>78</t>
  </si>
  <si>
    <t>Edelényi járás</t>
  </si>
  <si>
    <t>55</t>
  </si>
  <si>
    <t>Egri járás</t>
  </si>
  <si>
    <t>104</t>
  </si>
  <si>
    <t>Encsi járás</t>
  </si>
  <si>
    <t>56</t>
  </si>
  <si>
    <t>Enyingi járás</t>
  </si>
  <si>
    <t>79</t>
  </si>
  <si>
    <t>Érdi járás</t>
  </si>
  <si>
    <t>127</t>
  </si>
  <si>
    <t>Esztergomi járás</t>
  </si>
  <si>
    <t>110</t>
  </si>
  <si>
    <t>Fehérgyarmati járás</t>
  </si>
  <si>
    <t>150</t>
  </si>
  <si>
    <t>Fonyódi járás</t>
  </si>
  <si>
    <t>142</t>
  </si>
  <si>
    <t>Füzesabonyi járás</t>
  </si>
  <si>
    <t>105</t>
  </si>
  <si>
    <t>Gárdonyi járás</t>
  </si>
  <si>
    <t>80</t>
  </si>
  <si>
    <t>Gödöllői járás</t>
  </si>
  <si>
    <t>128</t>
  </si>
  <si>
    <t>Gönci járás</t>
  </si>
  <si>
    <t>57</t>
  </si>
  <si>
    <t>Gyáli járás</t>
  </si>
  <si>
    <t>129</t>
  </si>
  <si>
    <t>Gyomaendrődi járás</t>
  </si>
  <si>
    <t>47</t>
  </si>
  <si>
    <t>Gyöngyösi járás</t>
  </si>
  <si>
    <t>106</t>
  </si>
  <si>
    <t>Győri járás</t>
  </si>
  <si>
    <t>87</t>
  </si>
  <si>
    <t>Gyulai járás</t>
  </si>
  <si>
    <t>48</t>
  </si>
  <si>
    <t>Hajdúböszörményi járás</t>
  </si>
  <si>
    <t>97</t>
  </si>
  <si>
    <t>Hajdúhadházi járás</t>
  </si>
  <si>
    <t>98</t>
  </si>
  <si>
    <t>Hajdúnánási járás</t>
  </si>
  <si>
    <t>99</t>
  </si>
  <si>
    <t>Hajdúszoboszlói járás</t>
  </si>
  <si>
    <t>100</t>
  </si>
  <si>
    <t>Hatvani járás</t>
  </si>
  <si>
    <t>107</t>
  </si>
  <si>
    <t>Hegyháti járás</t>
  </si>
  <si>
    <t>25</t>
  </si>
  <si>
    <t>Hevesi járás</t>
  </si>
  <si>
    <t>108</t>
  </si>
  <si>
    <t>Hódmezővásárhelyi járás</t>
  </si>
  <si>
    <t>71</t>
  </si>
  <si>
    <t>Ibrányi járás</t>
  </si>
  <si>
    <t>151</t>
  </si>
  <si>
    <t>Jánoshalmi járás</t>
  </si>
  <si>
    <t>36</t>
  </si>
  <si>
    <t>Jászapáti járás</t>
  </si>
  <si>
    <t>161</t>
  </si>
  <si>
    <t>Jászberényi járás</t>
  </si>
  <si>
    <t>162</t>
  </si>
  <si>
    <t>Kalocsai járás</t>
  </si>
  <si>
    <t>37</t>
  </si>
  <si>
    <t>Kaposvári járás</t>
  </si>
  <si>
    <t>143</t>
  </si>
  <si>
    <t>Kapuvári járás</t>
  </si>
  <si>
    <t>88</t>
  </si>
  <si>
    <t>Karcagi járás</t>
  </si>
  <si>
    <t>163</t>
  </si>
  <si>
    <t>Kazincbarcikai járás</t>
  </si>
  <si>
    <t>58</t>
  </si>
  <si>
    <t>Kecskeméti járás</t>
  </si>
  <si>
    <t>38</t>
  </si>
  <si>
    <t>Kemecsei járás</t>
  </si>
  <si>
    <t>152</t>
  </si>
  <si>
    <t>Keszthelyi járás</t>
  </si>
  <si>
    <t>193</t>
  </si>
  <si>
    <t>Kisbéri járás</t>
  </si>
  <si>
    <t>111</t>
  </si>
  <si>
    <t>Kiskőrösi járás</t>
  </si>
  <si>
    <t>39</t>
  </si>
  <si>
    <t>Kiskunfélegyházi járás</t>
  </si>
  <si>
    <t>40</t>
  </si>
  <si>
    <t>Kiskunhalasi járás</t>
  </si>
  <si>
    <t>41</t>
  </si>
  <si>
    <t>Kiskunmajsai járás</t>
  </si>
  <si>
    <t>42</t>
  </si>
  <si>
    <t>Kisteleki járás</t>
  </si>
  <si>
    <t>72</t>
  </si>
  <si>
    <t>Kisvárdai járás</t>
  </si>
  <si>
    <t>153</t>
  </si>
  <si>
    <t>Komáromi járás</t>
  </si>
  <si>
    <t>112</t>
  </si>
  <si>
    <t>Komlói járás</t>
  </si>
  <si>
    <t>26</t>
  </si>
  <si>
    <t>Körmendi járás</t>
  </si>
  <si>
    <t>177</t>
  </si>
  <si>
    <t>Kőszegi járás</t>
  </si>
  <si>
    <t>178</t>
  </si>
  <si>
    <t>Kunhegyesi járás</t>
  </si>
  <si>
    <t>164</t>
  </si>
  <si>
    <t>Kunszentmártoni járás</t>
  </si>
  <si>
    <t>165</t>
  </si>
  <si>
    <t>Kunszentmiklósi járás</t>
  </si>
  <si>
    <t>43</t>
  </si>
  <si>
    <t>Lenti járás</t>
  </si>
  <si>
    <t>194</t>
  </si>
  <si>
    <t>Letenyei járás</t>
  </si>
  <si>
    <t>195</t>
  </si>
  <si>
    <t>Makói járás</t>
  </si>
  <si>
    <t>73</t>
  </si>
  <si>
    <t>Marcali járás</t>
  </si>
  <si>
    <t>144</t>
  </si>
  <si>
    <t>Martonvásári járás</t>
  </si>
  <si>
    <t>81</t>
  </si>
  <si>
    <t>Mátészalkai járás</t>
  </si>
  <si>
    <t>154</t>
  </si>
  <si>
    <t>Mezőcsáti járás</t>
  </si>
  <si>
    <t>59</t>
  </si>
  <si>
    <t>Mezőkovácsházai járás</t>
  </si>
  <si>
    <t>49</t>
  </si>
  <si>
    <t>Mezőkövesdi járás</t>
  </si>
  <si>
    <t>60</t>
  </si>
  <si>
    <t>Mezőtúri járás</t>
  </si>
  <si>
    <t>166</t>
  </si>
  <si>
    <t>Miskolci járás</t>
  </si>
  <si>
    <t>61</t>
  </si>
  <si>
    <t>Mohácsi járás</t>
  </si>
  <si>
    <t>27</t>
  </si>
  <si>
    <t>Monori járás</t>
  </si>
  <si>
    <t>130</t>
  </si>
  <si>
    <t>Mórahalmi járás</t>
  </si>
  <si>
    <t>74</t>
  </si>
  <si>
    <t>Móri járás</t>
  </si>
  <si>
    <t>82</t>
  </si>
  <si>
    <t>Mosonmagyaróvári járás</t>
  </si>
  <si>
    <t>89</t>
  </si>
  <si>
    <t>Nagyatádi járás</t>
  </si>
  <si>
    <t>145</t>
  </si>
  <si>
    <t>Nagykállói járás</t>
  </si>
  <si>
    <t>155</t>
  </si>
  <si>
    <t>Nagykanizsai járás</t>
  </si>
  <si>
    <t>196</t>
  </si>
  <si>
    <t>Nagykátai járás</t>
  </si>
  <si>
    <t>131</t>
  </si>
  <si>
    <t>Nagykőrösi járás</t>
  </si>
  <si>
    <t>132</t>
  </si>
  <si>
    <t>Nyíradonyi járás</t>
  </si>
  <si>
    <t>101</t>
  </si>
  <si>
    <t>Nyírbátori járás</t>
  </si>
  <si>
    <t>156</t>
  </si>
  <si>
    <t>Nyíregyházi járás</t>
  </si>
  <si>
    <t>157</t>
  </si>
  <si>
    <t>Orosházi járás</t>
  </si>
  <si>
    <t>50</t>
  </si>
  <si>
    <t>Oroszlányi járás</t>
  </si>
  <si>
    <t>113</t>
  </si>
  <si>
    <t>Ózdi járás</t>
  </si>
  <si>
    <t>62</t>
  </si>
  <si>
    <t>Paksi járás</t>
  </si>
  <si>
    <t>172</t>
  </si>
  <si>
    <t>Pannonhalmi járás</t>
  </si>
  <si>
    <t>90</t>
  </si>
  <si>
    <t>Pápai járás</t>
  </si>
  <si>
    <t>187</t>
  </si>
  <si>
    <t>Pásztói járás</t>
  </si>
  <si>
    <t>118</t>
  </si>
  <si>
    <t>Pécsi járás</t>
  </si>
  <si>
    <t>28</t>
  </si>
  <si>
    <t>Pécsváradi járás</t>
  </si>
  <si>
    <t>29</t>
  </si>
  <si>
    <t>Pétervásárai járás</t>
  </si>
  <si>
    <t>109</t>
  </si>
  <si>
    <t>Pilisvörösvári járás</t>
  </si>
  <si>
    <t>133</t>
  </si>
  <si>
    <t>Putnoki járás</t>
  </si>
  <si>
    <t>63</t>
  </si>
  <si>
    <t>Püspökladányi járás</t>
  </si>
  <si>
    <t>102</t>
  </si>
  <si>
    <t>Ráckevei járás</t>
  </si>
  <si>
    <t>134</t>
  </si>
  <si>
    <t>Rétsági járás</t>
  </si>
  <si>
    <t>119</t>
  </si>
  <si>
    <t>Salgótarjáni járás</t>
  </si>
  <si>
    <t>120</t>
  </si>
  <si>
    <t>Sárbogárdi járás</t>
  </si>
  <si>
    <t>84</t>
  </si>
  <si>
    <t>Sarkadi járás</t>
  </si>
  <si>
    <t>51</t>
  </si>
  <si>
    <t>Sárospataki járás</t>
  </si>
  <si>
    <t>64</t>
  </si>
  <si>
    <t>Sárvári járás</t>
  </si>
  <si>
    <t>179</t>
  </si>
  <si>
    <t>Sátoraljaújhelyi járás</t>
  </si>
  <si>
    <t>65</t>
  </si>
  <si>
    <t>Sellyei járás</t>
  </si>
  <si>
    <t>30</t>
  </si>
  <si>
    <t>Siklósi járás</t>
  </si>
  <si>
    <t>31</t>
  </si>
  <si>
    <t>Siófoki járás</t>
  </si>
  <si>
    <t>146</t>
  </si>
  <si>
    <t>Soproni járás</t>
  </si>
  <si>
    <t>91</t>
  </si>
  <si>
    <t>Sümegi járás</t>
  </si>
  <si>
    <t>188</t>
  </si>
  <si>
    <t>Szarvasi járás</t>
  </si>
  <si>
    <t>52</t>
  </si>
  <si>
    <t>Szécsényi járás</t>
  </si>
  <si>
    <t>121</t>
  </si>
  <si>
    <t>Szegedi járás</t>
  </si>
  <si>
    <t>75</t>
  </si>
  <si>
    <t>Szeghalmi járás</t>
  </si>
  <si>
    <t>53</t>
  </si>
  <si>
    <t>Székesfehérvári járás</t>
  </si>
  <si>
    <t>85</t>
  </si>
  <si>
    <t>Szekszárdi járás</t>
  </si>
  <si>
    <t>173</t>
  </si>
  <si>
    <t>Szentendrei járás</t>
  </si>
  <si>
    <t>135</t>
  </si>
  <si>
    <t>Szentesi járás</t>
  </si>
  <si>
    <t>76</t>
  </si>
  <si>
    <t>Szentgotthárdi járás</t>
  </si>
  <si>
    <t>180</t>
  </si>
  <si>
    <t>Szentlőrinci járás</t>
  </si>
  <si>
    <t>32</t>
  </si>
  <si>
    <t>Szerencsi járás</t>
  </si>
  <si>
    <t>66</t>
  </si>
  <si>
    <t>Szigetszentmiklósi járás</t>
  </si>
  <si>
    <t>136</t>
  </si>
  <si>
    <t>Szigetvári járás</t>
  </si>
  <si>
    <t>33</t>
  </si>
  <si>
    <t>Szikszói járás</t>
  </si>
  <si>
    <t>67</t>
  </si>
  <si>
    <t>Szobi járás</t>
  </si>
  <si>
    <t>137</t>
  </si>
  <si>
    <t>Szolnoki járás</t>
  </si>
  <si>
    <t>167</t>
  </si>
  <si>
    <t>Szombathelyi járás</t>
  </si>
  <si>
    <t>181</t>
  </si>
  <si>
    <t>Tabi járás</t>
  </si>
  <si>
    <t>147</t>
  </si>
  <si>
    <t>Tamási járás</t>
  </si>
  <si>
    <t>174</t>
  </si>
  <si>
    <t>Tapolcai járás</t>
  </si>
  <si>
    <t>189</t>
  </si>
  <si>
    <t>Tatabányai járás</t>
  </si>
  <si>
    <t>115</t>
  </si>
  <si>
    <t>Tatai járás</t>
  </si>
  <si>
    <t>114</t>
  </si>
  <si>
    <t>Téti járás</t>
  </si>
  <si>
    <t>92</t>
  </si>
  <si>
    <t>Tiszafüredi járás</t>
  </si>
  <si>
    <t>168</t>
  </si>
  <si>
    <t>Tiszakécskei járás</t>
  </si>
  <si>
    <t>44</t>
  </si>
  <si>
    <t>Tiszaújvárosi járás</t>
  </si>
  <si>
    <t>68</t>
  </si>
  <si>
    <t>Tiszavasvári járás</t>
  </si>
  <si>
    <t>158</t>
  </si>
  <si>
    <t>Tokaji járás</t>
  </si>
  <si>
    <t>69</t>
  </si>
  <si>
    <t>Tolnai járás</t>
  </si>
  <si>
    <t>175</t>
  </si>
  <si>
    <t>Törökszentmiklósi járás</t>
  </si>
  <si>
    <t>169</t>
  </si>
  <si>
    <t>Váci járás</t>
  </si>
  <si>
    <t>138</t>
  </si>
  <si>
    <t>Várpalotai járás</t>
  </si>
  <si>
    <t>190</t>
  </si>
  <si>
    <t>Vásárosnaményi járás</t>
  </si>
  <si>
    <t>159</t>
  </si>
  <si>
    <t>Vasvári járás</t>
  </si>
  <si>
    <t>182</t>
  </si>
  <si>
    <t>Vecsési járás</t>
  </si>
  <si>
    <t>139</t>
  </si>
  <si>
    <t>Veszprémi járás</t>
  </si>
  <si>
    <t>191</t>
  </si>
  <si>
    <t>Záhonyi járás</t>
  </si>
  <si>
    <t>160</t>
  </si>
  <si>
    <t>Zalaegerszegi járás</t>
  </si>
  <si>
    <t>197</t>
  </si>
  <si>
    <t>Zalaszentgróti járás</t>
  </si>
  <si>
    <t>198</t>
  </si>
  <si>
    <t>Zirci járás</t>
  </si>
  <si>
    <t>192</t>
  </si>
  <si>
    <t>KÜSZÖB</t>
  </si>
  <si>
    <t>Adósáv alja</t>
  </si>
  <si>
    <t>V03 - alacsonyabb küszöb</t>
  </si>
  <si>
    <t>Adósáv teteje</t>
  </si>
  <si>
    <t>AKTÍV KORÚAKHOZ</t>
  </si>
  <si>
    <t>Adósáv közepe</t>
  </si>
  <si>
    <t>szorzóP1v0102</t>
  </si>
  <si>
    <t>P1 részeredmények</t>
  </si>
  <si>
    <t>szorzóP1v03</t>
  </si>
  <si>
    <t>aktivkoru</t>
  </si>
  <si>
    <t>összes adózó</t>
  </si>
  <si>
    <t>NULLA sávon adózó aktív korú</t>
  </si>
  <si>
    <t>2001 SZJA adófizető; 0-100 000 Ft éves összevont adóalapba tartozó jövedelmi sávon (fő)</t>
  </si>
  <si>
    <t>2001 SZJA adófizető; 100 001-200 000 Ft éves összevont adóalapba tartozó jövedelmi sávon (fő)</t>
  </si>
  <si>
    <t>2001 SZJA adófizető; 200 001-300 000 Ft éves összevont adóalapba tartozó jövedelmi sávon (fő)</t>
  </si>
  <si>
    <t>2001 SZJA adófizető; 300 001-400 000 Ft éves összevont adóalapba tartozó jövedelmi sávon (fő)</t>
  </si>
  <si>
    <t>2001 SZJA adófizető; 400 001-500 000 Ft éves összevont adóalapba tartozó jövedelmi sávon (fő)</t>
  </si>
  <si>
    <t>2001 SZJA adófizető; 500 001-600 000 Ft éves összevont adóalapba tartozó jövedelmi sávon (fő)</t>
  </si>
  <si>
    <t>2001 SZJA adófizető; 600 001-700 000 Ft éves összevont adóalapba tartozó jövedelmi sávon (fő)</t>
  </si>
  <si>
    <t>2001 SZJA adófizető; 700 001-800 000 Ft éves összevont adóalapba tartozó jövedelmi sávon (fő)</t>
  </si>
  <si>
    <t>2001 SZJA adófizető; 800 001-900 000 Ft éves összevont adóalapba tartozó jövedelmi sávon (fő)</t>
  </si>
  <si>
    <t>2001 SZJA adófizető; 900 001-1 000 000 Ft éves összevont adóalapba tartozó jövedelmi sávon (fő)</t>
  </si>
  <si>
    <t>2001 SZJA adófizető; 1 000 001-1 500 000 Ft éves összevont adóalapba tartozó jövedelmi sávon (fő)</t>
  </si>
  <si>
    <t>2001 SZJA adófizető; 1 500 001-2 000 000 Ft éves összevont adóalapba tartozó jövedelmi sávon (fő)</t>
  </si>
  <si>
    <t>2001 SZJA adófizető; 2 000 001-2 500 000 Ft éves összevont adóalapba tartozó jövedelmi sávon (fő)</t>
  </si>
  <si>
    <t>2001 SZJA adófizető; 2 500 001-5 000 000 Ft éves összevont adóalapba tartozó jövedelmi sávon (fő)</t>
  </si>
  <si>
    <t>2001 SZJA adófizető; 5 000 000-X Ft éves összevont adóalapba tartozó jövedelmi sávon (fő)</t>
  </si>
  <si>
    <t>0-100</t>
  </si>
  <si>
    <t>100-200</t>
  </si>
  <si>
    <t>200-300</t>
  </si>
  <si>
    <t>300-400</t>
  </si>
  <si>
    <t>400-500</t>
  </si>
  <si>
    <t>0-0 sáv (új jöv sáv!)</t>
  </si>
  <si>
    <t>P1 (0-1 jöv sávval)</t>
  </si>
  <si>
    <t>Jánoshalmai járás</t>
  </si>
  <si>
    <t>MAGYARORSZÁG totál</t>
  </si>
  <si>
    <t>Mo N</t>
  </si>
  <si>
    <t>2011 SZJA adófizető; 0-300 000 Ft éves összevont adóalapba tartozó jövedelmi sávon (fő)</t>
  </si>
  <si>
    <t>2011 SZJA adófizető; 300 001-600 000 Ft éves összevont adóalapba tartozó jövedelmi sávon (fő)</t>
  </si>
  <si>
    <t>2011 SZJA adófizető; 600 001-800 000 Ft éves összevont adóalapba tartozó jövedelmi sávon (fő)</t>
  </si>
  <si>
    <t>2011 SZJA adófizető; 800 001-1 000 000 Ft éves összevont adóalapba tartozó jövedelmi sávon (fő)</t>
  </si>
  <si>
    <t>2011 SZJA adófizető; 1 000 001-1 200 000 Ft éves összevont adóalapba tartozó jövedelmi sávon (fő)</t>
  </si>
  <si>
    <t>2011 SZJA adófizető; 1 200 001-1 500 000 Ft éves összevont adóalapba tartozó jövedelmi sávon (fő)</t>
  </si>
  <si>
    <t>2011 SZJA adófizető; 1 500 001-1 800 000 Ft éves összevont adóalapba tartozó jövedelmi sávon (fő)</t>
  </si>
  <si>
    <t>2011 SZJA adófizető; 1 800 001-2 000 000 Ft éves összevont adóalapba tartozó jövedelmi sávon (fő)</t>
  </si>
  <si>
    <t>2011 SZJA adófizető; 2 000 001-2 500 000 Ft éves összevont adóalapba tartozó jövedelmi sávon (fő)</t>
  </si>
  <si>
    <t>2011 SZJA adófizető; 2 500 001-3 000 000 Ft éves összevont adóalapba tartozó jövedelmi sávon (fő)</t>
  </si>
  <si>
    <t>2011 SZJA adófizető; 3 000 001-4 000 000 Ft éves összevont adóalapba tartozó jövedelmi sávon (fő)</t>
  </si>
  <si>
    <t>2011 SZJA adófizető; 4 000 001-5 000 000 Ft éves összevont adóalapba tartozó jövedelmi sávon (fő)</t>
  </si>
  <si>
    <t>2011 SZJA adófizető; 5 000 001-10 000 000 Ft éves összevont adóalapba tartozó jövedelmi sávon (fő)</t>
  </si>
  <si>
    <t>2011 SZJA adófizető; 10 000 001-20 000 000 Ft éves összevont adóalapba tartozó jövedelmi sávon (fő)</t>
  </si>
  <si>
    <t>2011 SZJA adófizető; 20 000 000-X Ft éves összevont adóalapba tartozó jövedelmi sávon (fő)</t>
  </si>
  <si>
    <t>P1</t>
  </si>
  <si>
    <t>0-300</t>
  </si>
  <si>
    <t>300-600</t>
  </si>
  <si>
    <t>600-800</t>
  </si>
  <si>
    <t>800-1000</t>
  </si>
  <si>
    <t>1000-1200</t>
  </si>
  <si>
    <t>2022 SZJA adófizető; Összesen (fő)</t>
  </si>
  <si>
    <t>2022 SZJA adófizető; 0-300 000 Ft éves összevont adóalapba tartozó jövedelmi sávon (fő)</t>
  </si>
  <si>
    <t>2022 SZJA adófizető; 300 001-600 000 Ft éves összevont adóalapba tartozó jövedelmi sávon (fő)</t>
  </si>
  <si>
    <t>2022 SZJA adófizető; 600 001-800 000 Ft éves összevont adóalapba tartozó jövedelmi sávon (fő)</t>
  </si>
  <si>
    <t>2022 SZJA adófizető; 800 001-1 000 000 Ft éves összevont adóalapba tartozó jövedelmi sávon (fő)</t>
  </si>
  <si>
    <t>2022 SZJA adófizető; 1 000 001-1 200 000 Ft éves összevont adóalapba tartozó jövedelmi sávon (fő)</t>
  </si>
  <si>
    <t>2022 SZJA adófizető; 1 200 001-1 500 000 Ft éves összevont adóalapba tartozó jövedelmi sávon (fő)</t>
  </si>
  <si>
    <t>2022 SZJA adófizető; 1 500 001-1 800 000 Ft éves összevont adóalapba tartozó jövedelmi sávon (fő)</t>
  </si>
  <si>
    <t>2022 SZJA adófizető; 1 800 001-2 000 000 Ft éves összevont adóalapba tartozó jövedelmi sávon (fő)</t>
  </si>
  <si>
    <t>2022 SZJA adófizető; 2 000 001-2 500 000 Ft éves összevont adóalapba tartozó jövedelmi sávon (fő)</t>
  </si>
  <si>
    <t>2022 SZJA adófizető; 2 500 001-3 000 000 Ft éves összevont adóalapba tartozó jövedelmi sávon (fő)</t>
  </si>
  <si>
    <t>2022 SZJA adófizető; 3 000 001-4 000 000 Ft éves összevont adóalapba tartozó jövedelmi sávon (fő)</t>
  </si>
  <si>
    <t>2022 SZJA adófizető; 4 000 001-5 000 000 Ft éves összevont adóalapba tartozó jövedelmi sávon (fő)</t>
  </si>
  <si>
    <t>2022 SZJA adófizető; 5 000 000-X Ft éves összevont adóalapba tartozó jövedelmi sávon (fő)</t>
  </si>
  <si>
    <t>1200-1500</t>
  </si>
  <si>
    <t>1500-1800</t>
  </si>
  <si>
    <t>1800-2000</t>
  </si>
  <si>
    <t>2000-2500</t>
  </si>
  <si>
    <t>2500-3000</t>
  </si>
  <si>
    <t>2024 SZJA adófizető; 0-300 000 Ft éves összevont adóalapba tartozó jövedelmi sávon (fő)</t>
  </si>
  <si>
    <t>2024 SZJA adófizető; 300 001-600 000 Ft éves összevont adóalapba tartozó jövedelmi sávon (fő)</t>
  </si>
  <si>
    <t>2024 SZJA adófizető; 600 001-800 000 Ft éves összevont adóalapba tartozó jövedelmi sávon (fő)</t>
  </si>
  <si>
    <t>2024 SZJA adófizető; 800 001-1 000 000 Ft éves összevont adóalapba tartozó jövedelmi sávon (fő)</t>
  </si>
  <si>
    <t>2024 SZJA adófizető; 1 000 001-1 200 000 Ft éves összevont adóalapba tartozó jövedelmi sávon (fő)</t>
  </si>
  <si>
    <t>2024 SZJA adófizető; 1 200 001-1 500 000 Ft éves összevont adóalapba tartozó jövedelmi sávon (fő)</t>
  </si>
  <si>
    <t>2024 SZJA adófizető; 1 500 001-1 800 000 Ft éves összevont adóalapba tartozó jövedelmi sávon (fő)</t>
  </si>
  <si>
    <t>2024 SZJA adófizető; 1 800 001-2 000 000 Ft éves összevont adóalapba tartozó jövedelmi sávon (fő)</t>
  </si>
  <si>
    <t>2024 SZJA adófizető; 2 000 001-2 500 000 Ft éves összevont adóalapba tartozó jövedelmi sávon (fő)</t>
  </si>
  <si>
    <t>2024 SZJA adófizető; 2 500 001-3 000 000 Ft éves összevont adóalapba tartozó jövedelmi sávon (fő)</t>
  </si>
  <si>
    <t>2024 SZJA adófizető; 3 000 001-4 000 000 Ft éves összevont adóalapba tartozó jövedelmi sávon (fő)</t>
  </si>
  <si>
    <t>2024 SZJA adófizető; 4 000 001-5 000 000 Ft éves összevont adóalapba tartozó jövedelmi sávon (fő)</t>
  </si>
  <si>
    <t>2024 SZJA adófizető; 5 000 001-10 000 000 Ft éves összevont adóalapba tartozó jövedelmi sávon (fő)</t>
  </si>
  <si>
    <t>2024 SZJA adófizető; 10 000 001-20 000 000 Ft éves összevont adóalapba tartozó jövedelmi sávon (fő)</t>
  </si>
  <si>
    <t>2024 SZJA adófizető; 20 000 000-X Ft éves összevont adóalapba tartozó jövedelmi sávon (fő)</t>
  </si>
  <si>
    <t>Ev</t>
  </si>
  <si>
    <t>Jaras</t>
  </si>
  <si>
    <t>azon</t>
  </si>
  <si>
    <t>Aktivkorunepesseg (jogszabályváltozások miatt eltérő, részletesen a leírásban!)</t>
  </si>
  <si>
    <t>Mo arány (adózókból)</t>
  </si>
  <si>
    <t>Mo kum arány (adózókból)</t>
  </si>
  <si>
    <t>Mo arány (aktív korúakból)</t>
  </si>
  <si>
    <t>Mo kum arány (aktív korúakból)</t>
  </si>
  <si>
    <t>Mo totál B változat</t>
  </si>
  <si>
    <t>jaras</t>
  </si>
  <si>
    <t>ev</t>
  </si>
  <si>
    <t>jarasev</t>
  </si>
  <si>
    <t>korrelációk</t>
  </si>
  <si>
    <t>mediánjöv számítás aktív korúak</t>
  </si>
  <si>
    <t>mediánjöv számítás adózók eltérés</t>
  </si>
  <si>
    <t>medián_atlag_jövedelem.xlsx</t>
  </si>
  <si>
    <t>medián alatti vágópont</t>
  </si>
  <si>
    <t>értéke</t>
  </si>
  <si>
    <t>kumulatív eloszlás adózók között</t>
  </si>
  <si>
    <t>medián feletti vágópont</t>
  </si>
  <si>
    <t>abszolút eltérés</t>
  </si>
  <si>
    <t>medián alatt</t>
  </si>
  <si>
    <t>medián felett</t>
  </si>
  <si>
    <t>összesen</t>
  </si>
  <si>
    <t>Medián becslése</t>
  </si>
  <si>
    <t>Vágópontok súlya</t>
  </si>
  <si>
    <t>Medián 60%-a</t>
  </si>
  <si>
    <t>Küszöbérték</t>
  </si>
  <si>
    <t>küszöbértékhez legközelebb eső vágópont</t>
  </si>
  <si>
    <t>Medián 70%-a</t>
  </si>
  <si>
    <t>régi verzió</t>
  </si>
  <si>
    <t>köszöb</t>
  </si>
  <si>
    <t>országos ráta</t>
  </si>
  <si>
    <t>medián60</t>
  </si>
  <si>
    <t>küszöb</t>
  </si>
  <si>
    <t>medián70</t>
  </si>
  <si>
    <t>cor2001-2011</t>
  </si>
  <si>
    <t>cor2001-2022</t>
  </si>
  <si>
    <t>cor2001-2024</t>
  </si>
  <si>
    <t>szorzóP1median60</t>
  </si>
  <si>
    <t>P1med60</t>
  </si>
  <si>
    <t>Median60 szerinti küszöb</t>
  </si>
  <si>
    <t>szorzóP1median60es70</t>
  </si>
  <si>
    <t>median60esmedian70</t>
  </si>
  <si>
    <t>median60hoz</t>
  </si>
  <si>
    <t>szorzoP1median60</t>
  </si>
  <si>
    <t>rangMED60</t>
  </si>
  <si>
    <t>korreláció</t>
  </si>
  <si>
    <t>rangkorreláció</t>
  </si>
  <si>
    <t>rang3MED60</t>
  </si>
  <si>
    <t>RÉGI VÁGÓPONTOK</t>
  </si>
  <si>
    <t xml:space="preserve">a szürkével jelöltek alternatív küszöbértékek </t>
  </si>
  <si>
    <t>a szürkével jelölt alternatív küszöbérték</t>
  </si>
  <si>
    <t>a szürkével jelöltek alternatív küszöbértékek</t>
  </si>
  <si>
    <t>Alternatív küszöbértékek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</si>
</sst>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1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charset val="238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F0"/>
      <name val="Calibri"/>
      <family val="2"/>
      <charset val="238"/>
      <scheme val="minor"/>
    </font>
    <font>
      <sz val="12"/>
      <color theme="7" tint="-0.249977111117893"/>
      <name val="Calibri"/>
      <family val="2"/>
      <scheme val="minor"/>
    </font>
    <font>
      <sz val="12"/>
      <color theme="0" tint="-0.249977111117893"/>
      <name val="Calibri"/>
      <family val="2"/>
      <charset val="238"/>
      <scheme val="minor"/>
    </font>
    <font>
      <b/>
      <sz val="12"/>
      <color theme="0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0" fillId="2" borderId="0" xfId="0" applyFill="1"/>
    <xf numFmtId="0" fontId="0" fillId="4" borderId="0" xfId="0" applyFill="1"/>
    <xf numFmtId="0" fontId="0" fillId="4" borderId="0" xfId="0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6" borderId="0" xfId="0" applyFill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3" fillId="0" borderId="0" xfId="0" applyFont="1"/>
    <xf numFmtId="0" fontId="3" fillId="0" borderId="0" xfId="0" applyFont="1" applyAlignment="1">
      <alignment vertical="top" wrapText="1"/>
    </xf>
    <xf numFmtId="0" fontId="0" fillId="8" borderId="1" xfId="0" applyFill="1" applyBorder="1"/>
    <xf numFmtId="0" fontId="4" fillId="0" borderId="0" xfId="0" applyFont="1"/>
    <xf numFmtId="0" fontId="4" fillId="9" borderId="0" xfId="0" applyFont="1" applyFill="1"/>
    <xf numFmtId="0" fontId="0" fillId="10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6" borderId="0" xfId="0" applyFont="1" applyFill="1"/>
    <xf numFmtId="0" fontId="8" fillId="4" borderId="0" xfId="0" applyFont="1" applyFill="1"/>
    <xf numFmtId="0" fontId="9" fillId="0" borderId="0" xfId="0" applyFont="1"/>
    <xf numFmtId="0" fontId="10" fillId="0" borderId="0" xfId="0" applyFont="1"/>
    <xf numFmtId="0" fontId="1" fillId="0" borderId="0" xfId="2"/>
    <xf numFmtId="0" fontId="11" fillId="0" borderId="0" xfId="0" applyFont="1"/>
    <xf numFmtId="0" fontId="12" fillId="0" borderId="0" xfId="0" applyFont="1"/>
    <xf numFmtId="165" fontId="0" fillId="0" borderId="0" xfId="3" applyNumberFormat="1" applyFont="1" applyFill="1"/>
    <xf numFmtId="165" fontId="0" fillId="0" borderId="0" xfId="3" applyNumberFormat="1" applyFont="1"/>
    <xf numFmtId="165" fontId="0" fillId="0" borderId="0" xfId="0" applyNumberFormat="1"/>
    <xf numFmtId="0" fontId="14" fillId="0" borderId="0" xfId="0" applyFont="1"/>
    <xf numFmtId="0" fontId="15" fillId="0" borderId="0" xfId="0" applyFont="1"/>
    <xf numFmtId="0" fontId="10" fillId="7" borderId="0" xfId="0" applyFont="1" applyFill="1"/>
    <xf numFmtId="0" fontId="10" fillId="12" borderId="0" xfId="0" applyFont="1" applyFill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1" fontId="17" fillId="0" borderId="0" xfId="0" applyNumberFormat="1" applyFont="1" applyAlignment="1">
      <alignment horizontal="left"/>
    </xf>
    <xf numFmtId="0" fontId="8" fillId="11" borderId="0" xfId="0" applyFont="1" applyFill="1"/>
    <xf numFmtId="0" fontId="8" fillId="12" borderId="0" xfId="0" applyFont="1" applyFill="1"/>
    <xf numFmtId="0" fontId="8" fillId="7" borderId="0" xfId="0" applyFont="1" applyFill="1"/>
    <xf numFmtId="165" fontId="8" fillId="0" borderId="0" xfId="3" applyNumberFormat="1" applyFont="1"/>
    <xf numFmtId="164" fontId="8" fillId="0" borderId="0" xfId="0" applyNumberFormat="1" applyFont="1"/>
    <xf numFmtId="165" fontId="8" fillId="0" borderId="0" xfId="3" applyNumberFormat="1" applyFont="1" applyFill="1"/>
  </cellXfs>
  <cellStyles count="4">
    <cellStyle name="Ezres" xfId="3" builtinId="3"/>
    <cellStyle name="Hivatkozás" xfId="2" builtinId="8"/>
    <cellStyle name="Hyperlink" xfId="1" xr:uid="{00000000-000B-0000-0000-000008000000}"/>
    <cellStyle name="Normá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átrai Annamária" id="{B5DB9A2C-E30A-4C5D-93E8-26C19980FDAD}" userId="S::tatrai.annamaria@tatk.elte.hu::85ae94fc-3206-4a32-8ef3-982d904d7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4" dT="2026-06-23T05:17:14.78" personId="{B5DB9A2C-E30A-4C5D-93E8-26C19980FDAD}" id="{512CDC81-991F-4D3B-ABE0-DEDACF7DA815}">
    <text>Adósávonkénti orszásos összegekből számolva (nem járásonkénti összegekből)</text>
  </threadedComment>
  <threadedComment ref="E204" dT="2026-06-23T05:24:40.52" personId="{B5DB9A2C-E30A-4C5D-93E8-26C19980FDAD}" id="{64859261-8CA4-4955-AEA0-3C818A2520FF}">
    <text>Nem járási összeg, hanem az országos összegekből számolva</text>
  </threadedComment>
  <threadedComment ref="D205" dT="2026-06-23T05:20:45.79" personId="{B5DB9A2C-E30A-4C5D-93E8-26C19980FDAD}" id="{CE95A6E9-20AF-4F2C-B55C-063FA890E828}">
    <text xml:space="preserve">Járásonkénti értékek összege
</text>
  </threadedComment>
  <threadedComment ref="E205" dT="2026-06-23T05:22:00.73" personId="{B5DB9A2C-E30A-4C5D-93E8-26C19980FDAD}" id="{1A9BB7D5-D0E2-4C9D-89E2-639855C42118}">
    <text>Járásonkénti értékek összege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krtkmtahu-my.sharepoint.com/:x:/r/personal/koos_balint_krtk_hu/_layouts/15/doc2.aspx?sourcedoc=%7B14508CD2-E021-4801-BBC6-D05C02632E82%7D&amp;file=medi%25u00e1n_atlag_j%25u00f6vedelem.xlsx&amp;action=default&amp;mobileredirect=true&amp;isSPOFile=1&amp;ovuser=b366dbcd-4fc3-4451-82d2-e239564302c3%2Ctatrai.annamaria%40tatk.elte.hu&amp;wdExp=TEAMS-TREATMENT&amp;web=1&amp;TeamsCID=b9ef57f2-108f-4402-b864-a8c678631065&amp;clickparams=eyJBcHBOYW1lIjoiVGVhbXMtRGVza3RvcCIsIkFwcFZlcnNpb24iOiI0OS8yNjA1MjkwNjEyMSJ9&amp;linkOpenTime=178308232451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96"/>
  <sheetViews>
    <sheetView workbookViewId="0">
      <selection activeCell="B11" sqref="B11"/>
    </sheetView>
  </sheetViews>
  <sheetFormatPr defaultRowHeight="15.5" x14ac:dyDescent="0.35"/>
  <cols>
    <col min="2" max="2" width="26.08203125" customWidth="1"/>
    <col min="3" max="3" width="16.58203125" customWidth="1"/>
    <col min="4" max="4" width="14.08203125" customWidth="1"/>
  </cols>
  <sheetData>
    <row r="1" spans="1:4" x14ac:dyDescent="0.35">
      <c r="A1" s="15" t="s">
        <v>489</v>
      </c>
      <c r="B1" s="15" t="s">
        <v>490</v>
      </c>
      <c r="C1" s="15" t="s">
        <v>491</v>
      </c>
      <c r="D1" s="15" t="s">
        <v>492</v>
      </c>
    </row>
    <row r="2" spans="1:4" x14ac:dyDescent="0.35">
      <c r="A2" s="16">
        <v>2001</v>
      </c>
      <c r="B2" s="16" t="s">
        <v>1</v>
      </c>
      <c r="C2" t="str">
        <f>A2&amp;B2</f>
        <v>2001Ajkai járás</v>
      </c>
      <c r="D2" s="16">
        <v>24835</v>
      </c>
    </row>
    <row r="3" spans="1:4" x14ac:dyDescent="0.35">
      <c r="A3" s="16">
        <v>2001</v>
      </c>
      <c r="B3" s="16" t="s">
        <v>3</v>
      </c>
      <c r="C3" t="str">
        <f>A3&amp;B3</f>
        <v>2001Aszódi járás</v>
      </c>
      <c r="D3" s="16">
        <v>21786</v>
      </c>
    </row>
    <row r="4" spans="1:4" x14ac:dyDescent="0.35">
      <c r="A4" s="16">
        <v>2001</v>
      </c>
      <c r="B4" s="16" t="s">
        <v>5</v>
      </c>
      <c r="C4" t="str">
        <f t="shared" ref="C4:C66" si="0">A4&amp;B4</f>
        <v>2001Bácsalmási járás</v>
      </c>
      <c r="D4" s="16">
        <v>12459</v>
      </c>
    </row>
    <row r="5" spans="1:4" x14ac:dyDescent="0.35">
      <c r="A5" s="16">
        <v>2001</v>
      </c>
      <c r="B5" s="16" t="s">
        <v>7</v>
      </c>
      <c r="C5" t="str">
        <f t="shared" si="0"/>
        <v>2001Bajai járás</v>
      </c>
      <c r="D5" s="16">
        <v>39926</v>
      </c>
    </row>
    <row r="6" spans="1:4" x14ac:dyDescent="0.35">
      <c r="A6" s="16">
        <v>2001</v>
      </c>
      <c r="B6" s="16" t="s">
        <v>9</v>
      </c>
      <c r="C6" t="str">
        <f t="shared" si="0"/>
        <v>2001Baktalórántházai járás</v>
      </c>
      <c r="D6" s="16">
        <v>11177</v>
      </c>
    </row>
    <row r="7" spans="1:4" x14ac:dyDescent="0.35">
      <c r="A7" s="16">
        <v>2001</v>
      </c>
      <c r="B7" s="16" t="s">
        <v>11</v>
      </c>
      <c r="C7" t="str">
        <f t="shared" si="0"/>
        <v>2001Balassagyarmati járás</v>
      </c>
      <c r="D7" s="16">
        <v>24873</v>
      </c>
    </row>
    <row r="8" spans="1:4" x14ac:dyDescent="0.35">
      <c r="A8" s="16">
        <v>2001</v>
      </c>
      <c r="B8" s="16" t="s">
        <v>13</v>
      </c>
      <c r="C8" t="str">
        <f t="shared" si="0"/>
        <v>2001Balatonalmádi járás</v>
      </c>
      <c r="D8" s="16">
        <v>13478</v>
      </c>
    </row>
    <row r="9" spans="1:4" x14ac:dyDescent="0.35">
      <c r="A9" s="16">
        <v>2001</v>
      </c>
      <c r="B9" s="16" t="s">
        <v>15</v>
      </c>
      <c r="C9" t="str">
        <f t="shared" si="0"/>
        <v>2001Balatonfüredi járás</v>
      </c>
      <c r="D9" s="16">
        <v>13625</v>
      </c>
    </row>
    <row r="10" spans="1:4" x14ac:dyDescent="0.35">
      <c r="A10" s="16">
        <v>2001</v>
      </c>
      <c r="B10" s="16" t="s">
        <v>17</v>
      </c>
      <c r="C10" t="str">
        <f t="shared" si="0"/>
        <v>2001Balmazújvárosi járás</v>
      </c>
      <c r="D10" s="16">
        <v>17506</v>
      </c>
    </row>
    <row r="11" spans="1:4" x14ac:dyDescent="0.35">
      <c r="A11" s="16">
        <v>2001</v>
      </c>
      <c r="B11" s="16" t="s">
        <v>19</v>
      </c>
      <c r="C11" t="str">
        <f t="shared" si="0"/>
        <v>2001Barcsi járás</v>
      </c>
      <c r="D11" s="16">
        <v>15291</v>
      </c>
    </row>
    <row r="12" spans="1:4" x14ac:dyDescent="0.35">
      <c r="A12" s="16">
        <v>2001</v>
      </c>
      <c r="B12" s="16" t="s">
        <v>21</v>
      </c>
      <c r="C12" t="str">
        <f t="shared" si="0"/>
        <v>2001Bátonyterenyei járás</v>
      </c>
      <c r="D12" s="16">
        <v>13773</v>
      </c>
    </row>
    <row r="13" spans="1:4" x14ac:dyDescent="0.35">
      <c r="A13" s="16">
        <v>2001</v>
      </c>
      <c r="B13" s="16" t="s">
        <v>23</v>
      </c>
      <c r="C13" t="str">
        <f t="shared" si="0"/>
        <v>2001Békéscsabai járás</v>
      </c>
      <c r="D13" s="16">
        <v>53185</v>
      </c>
    </row>
    <row r="14" spans="1:4" x14ac:dyDescent="0.35">
      <c r="A14" s="16">
        <v>2001</v>
      </c>
      <c r="B14" s="16" t="s">
        <v>25</v>
      </c>
      <c r="C14" t="str">
        <f t="shared" si="0"/>
        <v>2001Békési járás</v>
      </c>
      <c r="D14" s="16">
        <v>22203</v>
      </c>
    </row>
    <row r="15" spans="1:4" x14ac:dyDescent="0.35">
      <c r="A15" s="16">
        <v>2001</v>
      </c>
      <c r="B15" s="16" t="s">
        <v>27</v>
      </c>
      <c r="C15" t="str">
        <f t="shared" si="0"/>
        <v>2001Bélapátfalvai járás</v>
      </c>
      <c r="D15" s="16">
        <v>5535</v>
      </c>
    </row>
    <row r="16" spans="1:4" x14ac:dyDescent="0.35">
      <c r="A16" s="16">
        <v>2001</v>
      </c>
      <c r="B16" s="16" t="s">
        <v>29</v>
      </c>
      <c r="C16" t="str">
        <f t="shared" si="0"/>
        <v>2001Berettyóújfalui járás</v>
      </c>
      <c r="D16" s="16">
        <v>26098</v>
      </c>
    </row>
    <row r="17" spans="1:4" x14ac:dyDescent="0.35">
      <c r="A17" s="16">
        <v>2001</v>
      </c>
      <c r="B17" s="16" t="s">
        <v>31</v>
      </c>
      <c r="C17" t="str">
        <f t="shared" si="0"/>
        <v>2001Bicskei járás</v>
      </c>
      <c r="D17" s="16">
        <v>20067</v>
      </c>
    </row>
    <row r="18" spans="1:4" x14ac:dyDescent="0.35">
      <c r="A18" s="16">
        <v>2001</v>
      </c>
      <c r="B18" s="16" t="s">
        <v>33</v>
      </c>
      <c r="C18" t="str">
        <f t="shared" si="0"/>
        <v>2001Bólyi járás</v>
      </c>
      <c r="D18" s="16">
        <v>6948</v>
      </c>
    </row>
    <row r="19" spans="1:4" x14ac:dyDescent="0.35">
      <c r="A19" s="16">
        <v>2001</v>
      </c>
      <c r="B19" s="16" t="s">
        <v>35</v>
      </c>
      <c r="C19" t="str">
        <f t="shared" si="0"/>
        <v>2001Bonyhádi járás</v>
      </c>
      <c r="D19" s="16">
        <v>20057</v>
      </c>
    </row>
    <row r="20" spans="1:4" x14ac:dyDescent="0.35">
      <c r="A20" s="16">
        <v>2001</v>
      </c>
      <c r="B20" s="16" t="s">
        <v>37</v>
      </c>
      <c r="C20" t="str">
        <f t="shared" si="0"/>
        <v>2001Budakeszi járás</v>
      </c>
      <c r="D20" s="16">
        <v>41241</v>
      </c>
    </row>
    <row r="21" spans="1:4" x14ac:dyDescent="0.35">
      <c r="A21" s="17">
        <v>2001</v>
      </c>
      <c r="B21" s="17" t="s">
        <v>39</v>
      </c>
      <c r="C21" t="str">
        <f t="shared" si="0"/>
        <v>2001Budapest</v>
      </c>
      <c r="D21" s="17">
        <v>1052425</v>
      </c>
    </row>
    <row r="22" spans="1:4" x14ac:dyDescent="0.35">
      <c r="A22" s="16">
        <v>2001</v>
      </c>
      <c r="B22" s="16" t="s">
        <v>87</v>
      </c>
      <c r="C22" t="str">
        <f t="shared" si="0"/>
        <v>2001Ceglédi járás</v>
      </c>
      <c r="D22" s="16">
        <v>51561</v>
      </c>
    </row>
    <row r="23" spans="1:4" x14ac:dyDescent="0.35">
      <c r="A23" s="16">
        <v>2001</v>
      </c>
      <c r="B23" s="16" t="s">
        <v>89</v>
      </c>
      <c r="C23" t="str">
        <f t="shared" si="0"/>
        <v>2001Celldömölki járás</v>
      </c>
      <c r="D23" s="16">
        <v>15080</v>
      </c>
    </row>
    <row r="24" spans="1:4" x14ac:dyDescent="0.35">
      <c r="A24" s="16">
        <v>2001</v>
      </c>
      <c r="B24" s="16" t="s">
        <v>91</v>
      </c>
      <c r="C24" t="str">
        <f t="shared" si="0"/>
        <v>2001Cigándi járás</v>
      </c>
      <c r="D24" s="16">
        <v>8678</v>
      </c>
    </row>
    <row r="25" spans="1:4" x14ac:dyDescent="0.35">
      <c r="A25" s="16">
        <v>2001</v>
      </c>
      <c r="B25" s="16" t="s">
        <v>93</v>
      </c>
      <c r="C25" t="str">
        <f t="shared" si="0"/>
        <v>2001Csengeri járás</v>
      </c>
      <c r="D25" s="16">
        <v>7837</v>
      </c>
    </row>
    <row r="26" spans="1:4" x14ac:dyDescent="0.35">
      <c r="A26" s="16">
        <v>2001</v>
      </c>
      <c r="B26" s="16" t="s">
        <v>95</v>
      </c>
      <c r="C26" t="str">
        <f t="shared" si="0"/>
        <v>2001Csongrádi járás</v>
      </c>
      <c r="D26" s="16">
        <v>13578</v>
      </c>
    </row>
    <row r="27" spans="1:4" x14ac:dyDescent="0.35">
      <c r="A27" s="16">
        <v>2001</v>
      </c>
      <c r="B27" s="16" t="s">
        <v>97</v>
      </c>
      <c r="C27" t="str">
        <f t="shared" si="0"/>
        <v>2001Csornai járás</v>
      </c>
      <c r="D27" s="16">
        <v>19306</v>
      </c>
    </row>
    <row r="28" spans="1:4" x14ac:dyDescent="0.35">
      <c r="A28" s="16">
        <v>2001</v>
      </c>
      <c r="B28" s="16" t="s">
        <v>99</v>
      </c>
      <c r="C28" t="str">
        <f t="shared" si="0"/>
        <v>2001Csurgói járás</v>
      </c>
      <c r="D28" s="16">
        <v>10360</v>
      </c>
    </row>
    <row r="29" spans="1:4" x14ac:dyDescent="0.35">
      <c r="A29" s="16">
        <v>2001</v>
      </c>
      <c r="B29" s="16" t="s">
        <v>101</v>
      </c>
      <c r="C29" t="str">
        <f t="shared" si="0"/>
        <v>2001Dabasi járás</v>
      </c>
      <c r="D29" s="16">
        <v>27390</v>
      </c>
    </row>
    <row r="30" spans="1:4" x14ac:dyDescent="0.35">
      <c r="A30" s="16">
        <v>2001</v>
      </c>
      <c r="B30" s="16" t="s">
        <v>103</v>
      </c>
      <c r="C30" t="str">
        <f t="shared" si="0"/>
        <v>2001Debreceni járás</v>
      </c>
      <c r="D30" s="16">
        <v>134352</v>
      </c>
    </row>
    <row r="31" spans="1:4" x14ac:dyDescent="0.35">
      <c r="A31" s="16">
        <v>2001</v>
      </c>
      <c r="B31" s="16" t="s">
        <v>105</v>
      </c>
      <c r="C31" t="str">
        <f t="shared" si="0"/>
        <v>2001Derecskei járás</v>
      </c>
      <c r="D31" s="16">
        <v>22465</v>
      </c>
    </row>
    <row r="32" spans="1:4" x14ac:dyDescent="0.35">
      <c r="A32" s="16">
        <v>2001</v>
      </c>
      <c r="B32" s="16" t="s">
        <v>107</v>
      </c>
      <c r="C32" t="str">
        <f t="shared" si="0"/>
        <v>2001Devecseri járás</v>
      </c>
      <c r="D32" s="16">
        <v>9321</v>
      </c>
    </row>
    <row r="33" spans="1:4" x14ac:dyDescent="0.35">
      <c r="A33" s="16">
        <v>2001</v>
      </c>
      <c r="B33" s="16" t="s">
        <v>109</v>
      </c>
      <c r="C33" t="str">
        <f t="shared" si="0"/>
        <v>2001Dombóvári járás</v>
      </c>
      <c r="D33" s="16">
        <v>20110</v>
      </c>
    </row>
    <row r="34" spans="1:4" x14ac:dyDescent="0.35">
      <c r="A34" s="16">
        <v>2001</v>
      </c>
      <c r="B34" s="16" t="s">
        <v>111</v>
      </c>
      <c r="C34" t="str">
        <f t="shared" si="0"/>
        <v>2001Dunakeszi járás</v>
      </c>
      <c r="D34" s="16">
        <v>37542</v>
      </c>
    </row>
    <row r="35" spans="1:4" x14ac:dyDescent="0.35">
      <c r="A35" s="16">
        <v>2001</v>
      </c>
      <c r="B35" s="16" t="s">
        <v>113</v>
      </c>
      <c r="C35" t="str">
        <f t="shared" si="0"/>
        <v>2001Dunaújvárosi járás</v>
      </c>
      <c r="D35" s="16">
        <v>59697</v>
      </c>
    </row>
    <row r="36" spans="1:4" x14ac:dyDescent="0.35">
      <c r="A36" s="16">
        <v>2001</v>
      </c>
      <c r="B36" s="16" t="s">
        <v>115</v>
      </c>
      <c r="C36" t="str">
        <f t="shared" si="0"/>
        <v>2001Edelényi járás</v>
      </c>
      <c r="D36" s="16">
        <v>19003</v>
      </c>
    </row>
    <row r="37" spans="1:4" x14ac:dyDescent="0.35">
      <c r="A37" s="16">
        <v>2001</v>
      </c>
      <c r="B37" s="16" t="s">
        <v>117</v>
      </c>
      <c r="C37" t="str">
        <f t="shared" si="0"/>
        <v>2001Egri járás</v>
      </c>
      <c r="D37" s="16">
        <v>52446</v>
      </c>
    </row>
    <row r="38" spans="1:4" x14ac:dyDescent="0.35">
      <c r="A38" s="16">
        <v>2001</v>
      </c>
      <c r="B38" s="16" t="s">
        <v>119</v>
      </c>
      <c r="C38" t="str">
        <f t="shared" si="0"/>
        <v>2001Encsi járás</v>
      </c>
      <c r="D38" s="16">
        <v>11608</v>
      </c>
    </row>
    <row r="39" spans="1:4" x14ac:dyDescent="0.35">
      <c r="A39" s="16">
        <v>2001</v>
      </c>
      <c r="B39" s="16" t="s">
        <v>121</v>
      </c>
      <c r="C39" t="str">
        <f t="shared" si="0"/>
        <v>2001Enyingi járás</v>
      </c>
      <c r="D39" s="16">
        <v>12303</v>
      </c>
    </row>
    <row r="40" spans="1:4" x14ac:dyDescent="0.35">
      <c r="A40" s="16">
        <v>2001</v>
      </c>
      <c r="B40" s="16" t="s">
        <v>123</v>
      </c>
      <c r="C40" t="str">
        <f t="shared" si="0"/>
        <v>2001Érdi járás</v>
      </c>
      <c r="D40" s="16">
        <v>61892</v>
      </c>
    </row>
    <row r="41" spans="1:4" x14ac:dyDescent="0.35">
      <c r="A41" s="16">
        <v>2001</v>
      </c>
      <c r="B41" s="16" t="s">
        <v>125</v>
      </c>
      <c r="C41" t="str">
        <f t="shared" si="0"/>
        <v>2001Esztergomi járás</v>
      </c>
      <c r="D41" s="16">
        <v>55453</v>
      </c>
    </row>
    <row r="42" spans="1:4" x14ac:dyDescent="0.35">
      <c r="A42" s="16">
        <v>2001</v>
      </c>
      <c r="B42" s="16" t="s">
        <v>127</v>
      </c>
      <c r="C42" t="str">
        <f t="shared" si="0"/>
        <v>2001Fehérgyarmati járás</v>
      </c>
      <c r="D42" s="16">
        <v>21675</v>
      </c>
    </row>
    <row r="43" spans="1:4" x14ac:dyDescent="0.35">
      <c r="A43" s="16">
        <v>2001</v>
      </c>
      <c r="B43" s="16" t="s">
        <v>129</v>
      </c>
      <c r="C43" t="str">
        <f t="shared" si="0"/>
        <v>2001Fonyódi járás</v>
      </c>
      <c r="D43" s="16">
        <v>19986</v>
      </c>
    </row>
    <row r="44" spans="1:4" x14ac:dyDescent="0.35">
      <c r="A44" s="16">
        <v>2001</v>
      </c>
      <c r="B44" s="16" t="s">
        <v>131</v>
      </c>
      <c r="C44" t="str">
        <f t="shared" si="0"/>
        <v>2001Füzesabonyi járás</v>
      </c>
      <c r="D44" s="16">
        <v>17353</v>
      </c>
    </row>
    <row r="45" spans="1:4" x14ac:dyDescent="0.35">
      <c r="A45" s="16">
        <v>2001</v>
      </c>
      <c r="B45" s="16" t="s">
        <v>133</v>
      </c>
      <c r="C45" t="str">
        <f t="shared" si="0"/>
        <v>2001Gárdonyi járás</v>
      </c>
      <c r="D45" s="16">
        <v>15402</v>
      </c>
    </row>
    <row r="46" spans="1:4" x14ac:dyDescent="0.35">
      <c r="A46" s="16">
        <v>2001</v>
      </c>
      <c r="B46" s="16" t="s">
        <v>135</v>
      </c>
      <c r="C46" t="str">
        <f t="shared" si="0"/>
        <v>2001Gödöllői járás</v>
      </c>
      <c r="D46" s="16">
        <v>69068</v>
      </c>
    </row>
    <row r="47" spans="1:4" x14ac:dyDescent="0.35">
      <c r="A47" s="16">
        <v>2001</v>
      </c>
      <c r="B47" s="16" t="s">
        <v>137</v>
      </c>
      <c r="C47" t="str">
        <f t="shared" si="0"/>
        <v>2001Gönci járás</v>
      </c>
      <c r="D47" s="16">
        <v>9231</v>
      </c>
    </row>
    <row r="48" spans="1:4" x14ac:dyDescent="0.35">
      <c r="A48" s="16">
        <v>2001</v>
      </c>
      <c r="B48" s="16" t="s">
        <v>139</v>
      </c>
      <c r="C48" t="str">
        <f t="shared" si="0"/>
        <v>2001Gyáli járás</v>
      </c>
      <c r="D48" s="16">
        <v>22386</v>
      </c>
    </row>
    <row r="49" spans="1:4" x14ac:dyDescent="0.35">
      <c r="A49" s="16">
        <v>2001</v>
      </c>
      <c r="B49" s="16" t="s">
        <v>141</v>
      </c>
      <c r="C49" t="str">
        <f t="shared" si="0"/>
        <v>2001Gyomaendrődi járás</v>
      </c>
      <c r="D49" s="16">
        <v>14659</v>
      </c>
    </row>
    <row r="50" spans="1:4" x14ac:dyDescent="0.35">
      <c r="A50" s="16">
        <v>2001</v>
      </c>
      <c r="B50" s="16" t="s">
        <v>143</v>
      </c>
      <c r="C50" t="str">
        <f t="shared" si="0"/>
        <v>2001Gyöngyösi járás</v>
      </c>
      <c r="D50" s="16">
        <v>43415</v>
      </c>
    </row>
    <row r="51" spans="1:4" x14ac:dyDescent="0.35">
      <c r="A51" s="16">
        <v>2001</v>
      </c>
      <c r="B51" s="16" t="s">
        <v>145</v>
      </c>
      <c r="C51" t="str">
        <f t="shared" si="0"/>
        <v>2001Győri járás</v>
      </c>
      <c r="D51" s="16">
        <v>110761</v>
      </c>
    </row>
    <row r="52" spans="1:4" x14ac:dyDescent="0.35">
      <c r="A52" s="16">
        <v>2001</v>
      </c>
      <c r="B52" s="16" t="s">
        <v>147</v>
      </c>
      <c r="C52" t="str">
        <f t="shared" si="0"/>
        <v>2001Gyulai járás</v>
      </c>
      <c r="D52" s="16">
        <v>25416</v>
      </c>
    </row>
    <row r="53" spans="1:4" x14ac:dyDescent="0.35">
      <c r="A53" s="16">
        <v>2001</v>
      </c>
      <c r="B53" s="16" t="s">
        <v>149</v>
      </c>
      <c r="C53" t="str">
        <f t="shared" si="0"/>
        <v>2001Hajdúböszörményi járás</v>
      </c>
      <c r="D53" s="16">
        <v>23380</v>
      </c>
    </row>
    <row r="54" spans="1:4" x14ac:dyDescent="0.35">
      <c r="A54" s="16">
        <v>2001</v>
      </c>
      <c r="B54" s="16" t="s">
        <v>151</v>
      </c>
      <c r="C54" t="str">
        <f t="shared" si="0"/>
        <v>2001Hajdúhadházi járás</v>
      </c>
      <c r="D54" s="16">
        <v>11862</v>
      </c>
    </row>
    <row r="55" spans="1:4" x14ac:dyDescent="0.35">
      <c r="A55" s="16">
        <v>2001</v>
      </c>
      <c r="B55" s="16" t="s">
        <v>153</v>
      </c>
      <c r="C55" t="str">
        <f t="shared" si="0"/>
        <v>2001Hajdúnánási járás</v>
      </c>
      <c r="D55" s="16">
        <v>17208</v>
      </c>
    </row>
    <row r="56" spans="1:4" x14ac:dyDescent="0.35">
      <c r="A56" s="16">
        <v>2001</v>
      </c>
      <c r="B56" s="16" t="s">
        <v>155</v>
      </c>
      <c r="C56" t="str">
        <f t="shared" si="0"/>
        <v>2001Hajdúszoboszlói járás</v>
      </c>
      <c r="D56" s="16">
        <v>24298</v>
      </c>
    </row>
    <row r="57" spans="1:4" x14ac:dyDescent="0.35">
      <c r="A57" s="16">
        <v>2001</v>
      </c>
      <c r="B57" s="16" t="s">
        <v>157</v>
      </c>
      <c r="C57" t="str">
        <f t="shared" si="0"/>
        <v>2001Hatvani járás</v>
      </c>
      <c r="D57" s="16">
        <v>32211</v>
      </c>
    </row>
    <row r="58" spans="1:4" x14ac:dyDescent="0.35">
      <c r="A58" s="16">
        <v>2001</v>
      </c>
      <c r="B58" s="16" t="s">
        <v>159</v>
      </c>
      <c r="C58" t="str">
        <f t="shared" si="0"/>
        <v>2001Hegyháti járás</v>
      </c>
      <c r="D58" s="16">
        <v>8019</v>
      </c>
    </row>
    <row r="59" spans="1:4" x14ac:dyDescent="0.35">
      <c r="A59" s="16">
        <v>2001</v>
      </c>
      <c r="B59" s="16" t="s">
        <v>161</v>
      </c>
      <c r="C59" t="str">
        <f t="shared" si="0"/>
        <v>2001Hevesi járás</v>
      </c>
      <c r="D59" s="16">
        <v>19235</v>
      </c>
    </row>
    <row r="60" spans="1:4" x14ac:dyDescent="0.35">
      <c r="A60" s="16">
        <v>2001</v>
      </c>
      <c r="B60" s="16" t="s">
        <v>163</v>
      </c>
      <c r="C60" t="str">
        <f t="shared" si="0"/>
        <v>2001Hódmezővásárhelyi járás</v>
      </c>
      <c r="D60" s="16">
        <v>34715</v>
      </c>
    </row>
    <row r="61" spans="1:4" x14ac:dyDescent="0.35">
      <c r="A61" s="16">
        <v>2001</v>
      </c>
      <c r="B61" s="16" t="s">
        <v>165</v>
      </c>
      <c r="C61" t="str">
        <f t="shared" si="0"/>
        <v>2001Ibrányi járás</v>
      </c>
      <c r="D61" s="16">
        <v>13487</v>
      </c>
    </row>
    <row r="62" spans="1:4" x14ac:dyDescent="0.35">
      <c r="A62" s="16">
        <v>2001</v>
      </c>
      <c r="B62" s="16" t="s">
        <v>431</v>
      </c>
      <c r="C62" t="str">
        <f t="shared" si="0"/>
        <v>2001Jánoshalmai járás</v>
      </c>
      <c r="D62" s="16">
        <v>10206</v>
      </c>
    </row>
    <row r="63" spans="1:4" x14ac:dyDescent="0.35">
      <c r="A63" s="16">
        <v>2001</v>
      </c>
      <c r="B63" s="16" t="s">
        <v>169</v>
      </c>
      <c r="C63" t="str">
        <f t="shared" si="0"/>
        <v>2001Jászapáti járás</v>
      </c>
      <c r="D63" s="16">
        <v>18760</v>
      </c>
    </row>
    <row r="64" spans="1:4" x14ac:dyDescent="0.35">
      <c r="A64" s="16">
        <v>2001</v>
      </c>
      <c r="B64" s="16" t="s">
        <v>171</v>
      </c>
      <c r="C64" t="str">
        <f t="shared" si="0"/>
        <v>2001Jászberényi járás</v>
      </c>
      <c r="D64" s="16">
        <v>29842</v>
      </c>
    </row>
    <row r="65" spans="1:4" x14ac:dyDescent="0.35">
      <c r="A65" s="16">
        <v>2001</v>
      </c>
      <c r="B65" s="16" t="s">
        <v>173</v>
      </c>
      <c r="C65" t="str">
        <f t="shared" si="0"/>
        <v>2001Kalocsai járás</v>
      </c>
      <c r="D65" s="16">
        <v>32885</v>
      </c>
    </row>
    <row r="66" spans="1:4" x14ac:dyDescent="0.35">
      <c r="A66" s="16">
        <v>2001</v>
      </c>
      <c r="B66" s="16" t="s">
        <v>175</v>
      </c>
      <c r="C66" t="str">
        <f t="shared" si="0"/>
        <v>2001Kaposvári járás</v>
      </c>
      <c r="D66" s="16">
        <v>72398</v>
      </c>
    </row>
    <row r="67" spans="1:4" x14ac:dyDescent="0.35">
      <c r="A67" s="16">
        <v>2001</v>
      </c>
      <c r="B67" s="16" t="s">
        <v>177</v>
      </c>
      <c r="C67" t="str">
        <f t="shared" ref="C67:C130" si="1">A67&amp;B67</f>
        <v>2001Kapuvári járás</v>
      </c>
      <c r="D67" s="16">
        <v>14919</v>
      </c>
    </row>
    <row r="68" spans="1:4" x14ac:dyDescent="0.35">
      <c r="A68" s="16">
        <v>2001</v>
      </c>
      <c r="B68" s="16" t="s">
        <v>179</v>
      </c>
      <c r="C68" t="str">
        <f t="shared" si="1"/>
        <v>2001Karcagi járás</v>
      </c>
      <c r="D68" s="16">
        <v>25831</v>
      </c>
    </row>
    <row r="69" spans="1:4" x14ac:dyDescent="0.35">
      <c r="A69" s="16">
        <v>2001</v>
      </c>
      <c r="B69" s="16" t="s">
        <v>181</v>
      </c>
      <c r="C69" t="str">
        <f t="shared" si="1"/>
        <v>2001Kazincbarcikai járás</v>
      </c>
      <c r="D69" s="16">
        <v>41322</v>
      </c>
    </row>
    <row r="70" spans="1:4" x14ac:dyDescent="0.35">
      <c r="A70" s="16">
        <v>2001</v>
      </c>
      <c r="B70" s="16" t="s">
        <v>183</v>
      </c>
      <c r="C70" t="str">
        <f t="shared" si="1"/>
        <v>2001Kecskeméti járás</v>
      </c>
      <c r="D70" s="16">
        <v>88778</v>
      </c>
    </row>
    <row r="71" spans="1:4" x14ac:dyDescent="0.35">
      <c r="A71" s="16">
        <v>2001</v>
      </c>
      <c r="B71" s="16" t="s">
        <v>185</v>
      </c>
      <c r="C71" t="str">
        <f t="shared" si="1"/>
        <v>2001Kemecsei járás</v>
      </c>
      <c r="D71" s="16">
        <v>12446</v>
      </c>
    </row>
    <row r="72" spans="1:4" x14ac:dyDescent="0.35">
      <c r="A72" s="16">
        <v>2001</v>
      </c>
      <c r="B72" s="16" t="s">
        <v>187</v>
      </c>
      <c r="C72" t="str">
        <f t="shared" si="1"/>
        <v>2001Keszthelyi járás</v>
      </c>
      <c r="D72" s="16">
        <v>28276</v>
      </c>
    </row>
    <row r="73" spans="1:4" x14ac:dyDescent="0.35">
      <c r="A73" s="16">
        <v>2001</v>
      </c>
      <c r="B73" s="16" t="s">
        <v>189</v>
      </c>
      <c r="C73" t="str">
        <f t="shared" si="1"/>
        <v>2001Kisbéri járás</v>
      </c>
      <c r="D73" s="16">
        <v>12088</v>
      </c>
    </row>
    <row r="74" spans="1:4" x14ac:dyDescent="0.35">
      <c r="A74" s="16">
        <v>2001</v>
      </c>
      <c r="B74" s="16" t="s">
        <v>191</v>
      </c>
      <c r="C74" t="str">
        <f t="shared" si="1"/>
        <v>2001Kiskőrösi járás</v>
      </c>
      <c r="D74" s="16">
        <v>32874</v>
      </c>
    </row>
    <row r="75" spans="1:4" x14ac:dyDescent="0.35">
      <c r="A75" s="16">
        <v>2001</v>
      </c>
      <c r="B75" s="16" t="s">
        <v>193</v>
      </c>
      <c r="C75" t="str">
        <f t="shared" si="1"/>
        <v>2001Kiskunfélegyházi járás</v>
      </c>
      <c r="D75" s="16">
        <v>23247</v>
      </c>
    </row>
    <row r="76" spans="1:4" x14ac:dyDescent="0.35">
      <c r="A76" s="16">
        <v>2001</v>
      </c>
      <c r="B76" s="16" t="s">
        <v>195</v>
      </c>
      <c r="C76" t="str">
        <f t="shared" si="1"/>
        <v>2001Kiskunhalasi járás</v>
      </c>
      <c r="D76" s="16">
        <v>27406</v>
      </c>
    </row>
    <row r="77" spans="1:4" x14ac:dyDescent="0.35">
      <c r="A77" s="16">
        <v>2001</v>
      </c>
      <c r="B77" s="16" t="s">
        <v>197</v>
      </c>
      <c r="C77" t="str">
        <f t="shared" si="1"/>
        <v>2001Kiskunmajsai járás</v>
      </c>
      <c r="D77" s="16">
        <v>11424</v>
      </c>
    </row>
    <row r="78" spans="1:4" x14ac:dyDescent="0.35">
      <c r="A78" s="16">
        <v>2001</v>
      </c>
      <c r="B78" s="16" t="s">
        <v>199</v>
      </c>
      <c r="C78" t="str">
        <f t="shared" si="1"/>
        <v>2001Kisteleki járás</v>
      </c>
      <c r="D78" s="16">
        <v>10676</v>
      </c>
    </row>
    <row r="79" spans="1:4" x14ac:dyDescent="0.35">
      <c r="A79" s="16">
        <v>2001</v>
      </c>
      <c r="B79" s="16" t="s">
        <v>201</v>
      </c>
      <c r="C79" t="str">
        <f t="shared" si="1"/>
        <v>2001Kisvárdai járás</v>
      </c>
      <c r="D79" s="16">
        <v>32935</v>
      </c>
    </row>
    <row r="80" spans="1:4" x14ac:dyDescent="0.35">
      <c r="A80" s="16">
        <v>2001</v>
      </c>
      <c r="B80" s="16" t="s">
        <v>203</v>
      </c>
      <c r="C80" t="str">
        <f t="shared" si="1"/>
        <v>2001Komáromi járás</v>
      </c>
      <c r="D80" s="16">
        <v>24334</v>
      </c>
    </row>
    <row r="81" spans="1:4" x14ac:dyDescent="0.35">
      <c r="A81" s="16">
        <v>2001</v>
      </c>
      <c r="B81" s="16" t="s">
        <v>205</v>
      </c>
      <c r="C81" t="str">
        <f t="shared" si="1"/>
        <v>2001Komlói járás</v>
      </c>
      <c r="D81" s="16">
        <v>23044</v>
      </c>
    </row>
    <row r="82" spans="1:4" x14ac:dyDescent="0.35">
      <c r="A82" s="16">
        <v>2001</v>
      </c>
      <c r="B82" s="16" t="s">
        <v>207</v>
      </c>
      <c r="C82" t="str">
        <f t="shared" si="1"/>
        <v>2001Körmendi járás</v>
      </c>
      <c r="D82" s="16">
        <v>16977</v>
      </c>
    </row>
    <row r="83" spans="1:4" x14ac:dyDescent="0.35">
      <c r="A83" s="16">
        <v>2001</v>
      </c>
      <c r="B83" s="16" t="s">
        <v>209</v>
      </c>
      <c r="C83" t="str">
        <f t="shared" si="1"/>
        <v>2001Kőszegi járás</v>
      </c>
      <c r="D83" s="16">
        <v>14513</v>
      </c>
    </row>
    <row r="84" spans="1:4" x14ac:dyDescent="0.35">
      <c r="A84" s="16">
        <v>2001</v>
      </c>
      <c r="B84" s="16" t="s">
        <v>211</v>
      </c>
      <c r="C84" t="str">
        <f t="shared" si="1"/>
        <v>2001Kunhegyesi járás</v>
      </c>
      <c r="D84" s="16">
        <v>11439</v>
      </c>
    </row>
    <row r="85" spans="1:4" x14ac:dyDescent="0.35">
      <c r="A85" s="16">
        <v>2001</v>
      </c>
      <c r="B85" s="16" t="s">
        <v>213</v>
      </c>
      <c r="C85" t="str">
        <f t="shared" si="1"/>
        <v>2001Kunszentmártoni járás</v>
      </c>
      <c r="D85" s="16">
        <v>21192</v>
      </c>
    </row>
    <row r="86" spans="1:4" x14ac:dyDescent="0.35">
      <c r="A86" s="16">
        <v>2001</v>
      </c>
      <c r="B86" s="16" t="s">
        <v>215</v>
      </c>
      <c r="C86" t="str">
        <f t="shared" si="1"/>
        <v>2001Kunszentmiklósi járás</v>
      </c>
      <c r="D86" s="16">
        <v>17908</v>
      </c>
    </row>
    <row r="87" spans="1:4" x14ac:dyDescent="0.35">
      <c r="A87" s="16">
        <v>2001</v>
      </c>
      <c r="B87" s="16" t="s">
        <v>217</v>
      </c>
      <c r="C87" t="str">
        <f t="shared" si="1"/>
        <v>2001Lenti járás</v>
      </c>
      <c r="D87" s="16">
        <v>12102</v>
      </c>
    </row>
    <row r="88" spans="1:4" x14ac:dyDescent="0.35">
      <c r="A88" s="16">
        <v>2001</v>
      </c>
      <c r="B88" s="16" t="s">
        <v>219</v>
      </c>
      <c r="C88" t="str">
        <f t="shared" si="1"/>
        <v>2001Letenyei járás</v>
      </c>
      <c r="D88" s="16">
        <v>9953</v>
      </c>
    </row>
    <row r="89" spans="1:4" x14ac:dyDescent="0.35">
      <c r="A89" s="16">
        <v>2001</v>
      </c>
      <c r="B89" s="16" t="s">
        <v>221</v>
      </c>
      <c r="C89" t="str">
        <f t="shared" si="1"/>
        <v>2001Makói járás</v>
      </c>
      <c r="D89" s="16">
        <v>27018</v>
      </c>
    </row>
    <row r="90" spans="1:4" x14ac:dyDescent="0.35">
      <c r="A90" s="16">
        <v>2001</v>
      </c>
      <c r="B90" s="16" t="s">
        <v>223</v>
      </c>
      <c r="C90" t="str">
        <f t="shared" si="1"/>
        <v>2001Marcali járás</v>
      </c>
      <c r="D90" s="16">
        <v>20785</v>
      </c>
    </row>
    <row r="91" spans="1:4" x14ac:dyDescent="0.35">
      <c r="A91" s="16">
        <v>2001</v>
      </c>
      <c r="B91" s="16" t="s">
        <v>225</v>
      </c>
      <c r="C91" t="str">
        <f t="shared" si="1"/>
        <v>2001Martonvásári járás</v>
      </c>
      <c r="D91" s="16">
        <v>16067</v>
      </c>
    </row>
    <row r="92" spans="1:4" x14ac:dyDescent="0.35">
      <c r="A92" s="16">
        <v>2001</v>
      </c>
      <c r="B92" s="16" t="s">
        <v>227</v>
      </c>
      <c r="C92" t="str">
        <f t="shared" si="1"/>
        <v>2001Mátészalkai járás</v>
      </c>
      <c r="D92" s="16">
        <v>37985</v>
      </c>
    </row>
    <row r="93" spans="1:4" x14ac:dyDescent="0.35">
      <c r="A93" s="16">
        <v>2001</v>
      </c>
      <c r="B93" s="16" t="s">
        <v>229</v>
      </c>
      <c r="C93" t="str">
        <f t="shared" si="1"/>
        <v>2001Mezőcsáti járás</v>
      </c>
      <c r="D93" s="16">
        <v>8528</v>
      </c>
    </row>
    <row r="94" spans="1:4" x14ac:dyDescent="0.35">
      <c r="A94" s="16">
        <v>2001</v>
      </c>
      <c r="B94" s="16" t="s">
        <v>231</v>
      </c>
      <c r="C94" t="str">
        <f t="shared" si="1"/>
        <v>2001Mezőkovácsházai járás</v>
      </c>
      <c r="D94" s="16">
        <v>24788</v>
      </c>
    </row>
    <row r="95" spans="1:4" x14ac:dyDescent="0.35">
      <c r="A95" s="16">
        <v>2001</v>
      </c>
      <c r="B95" s="16" t="s">
        <v>233</v>
      </c>
      <c r="C95" t="str">
        <f t="shared" si="1"/>
        <v>2001Mezőkövesdi járás</v>
      </c>
      <c r="D95" s="16">
        <v>24710</v>
      </c>
    </row>
    <row r="96" spans="1:4" x14ac:dyDescent="0.35">
      <c r="A96" s="16">
        <v>2001</v>
      </c>
      <c r="B96" s="16" t="s">
        <v>235</v>
      </c>
      <c r="C96" t="str">
        <f t="shared" si="1"/>
        <v>2001Mezőtúri járás</v>
      </c>
      <c r="D96" s="16">
        <v>17633</v>
      </c>
    </row>
    <row r="97" spans="1:4" x14ac:dyDescent="0.35">
      <c r="A97" s="16">
        <v>2001</v>
      </c>
      <c r="B97" s="16" t="s">
        <v>237</v>
      </c>
      <c r="C97" t="str">
        <f t="shared" si="1"/>
        <v>2001Miskolci járás</v>
      </c>
      <c r="D97" s="16">
        <v>155283</v>
      </c>
    </row>
    <row r="98" spans="1:4" x14ac:dyDescent="0.35">
      <c r="A98" s="16">
        <v>2001</v>
      </c>
      <c r="B98" s="16" t="s">
        <v>239</v>
      </c>
      <c r="C98" t="str">
        <f t="shared" si="1"/>
        <v>2001Mohácsi járás</v>
      </c>
      <c r="D98" s="16">
        <v>22306</v>
      </c>
    </row>
    <row r="99" spans="1:4" x14ac:dyDescent="0.35">
      <c r="A99" s="16">
        <v>2001</v>
      </c>
      <c r="B99" s="16" t="s">
        <v>241</v>
      </c>
      <c r="C99" t="str">
        <f t="shared" si="1"/>
        <v>2001Monori járás</v>
      </c>
      <c r="D99" s="16">
        <v>34867</v>
      </c>
    </row>
    <row r="100" spans="1:4" x14ac:dyDescent="0.35">
      <c r="A100" s="16">
        <v>2001</v>
      </c>
      <c r="B100" s="16" t="s">
        <v>243</v>
      </c>
      <c r="C100" t="str">
        <f t="shared" si="1"/>
        <v>2001Mórahalmi járás</v>
      </c>
      <c r="D100" s="16">
        <v>16320</v>
      </c>
    </row>
    <row r="101" spans="1:4" x14ac:dyDescent="0.35">
      <c r="A101" s="16">
        <v>2001</v>
      </c>
      <c r="B101" s="16" t="s">
        <v>245</v>
      </c>
      <c r="C101" t="str">
        <f t="shared" si="1"/>
        <v>2001Móri járás</v>
      </c>
      <c r="D101" s="16">
        <v>20472</v>
      </c>
    </row>
    <row r="102" spans="1:4" x14ac:dyDescent="0.35">
      <c r="A102" s="16">
        <v>2001</v>
      </c>
      <c r="B102" s="16" t="s">
        <v>247</v>
      </c>
      <c r="C102" t="str">
        <f t="shared" si="1"/>
        <v>2001Mosonmagyaróvári járás</v>
      </c>
      <c r="D102" s="16">
        <v>41981</v>
      </c>
    </row>
    <row r="103" spans="1:4" x14ac:dyDescent="0.35">
      <c r="A103" s="16">
        <v>2001</v>
      </c>
      <c r="B103" s="16" t="s">
        <v>249</v>
      </c>
      <c r="C103" t="str">
        <f t="shared" si="1"/>
        <v>2001Nagyatádi járás</v>
      </c>
      <c r="D103" s="16">
        <v>16296</v>
      </c>
    </row>
    <row r="104" spans="1:4" x14ac:dyDescent="0.35">
      <c r="A104" s="16">
        <v>2001</v>
      </c>
      <c r="B104" s="16" t="s">
        <v>251</v>
      </c>
      <c r="C104" t="str">
        <f t="shared" si="1"/>
        <v>2001Nagykállói járás</v>
      </c>
      <c r="D104" s="16">
        <v>17922</v>
      </c>
    </row>
    <row r="105" spans="1:4" x14ac:dyDescent="0.35">
      <c r="A105" s="16">
        <v>2001</v>
      </c>
      <c r="B105" s="16" t="s">
        <v>253</v>
      </c>
      <c r="C105" t="str">
        <f t="shared" si="1"/>
        <v>2001Nagykanizsai járás</v>
      </c>
      <c r="D105" s="16">
        <v>48629</v>
      </c>
    </row>
    <row r="106" spans="1:4" x14ac:dyDescent="0.35">
      <c r="A106" s="16">
        <v>2001</v>
      </c>
      <c r="B106" s="16" t="s">
        <v>255</v>
      </c>
      <c r="C106" t="str">
        <f t="shared" si="1"/>
        <v>2001Nagykátai járás</v>
      </c>
      <c r="D106" s="16">
        <v>41028</v>
      </c>
    </row>
    <row r="107" spans="1:4" x14ac:dyDescent="0.35">
      <c r="A107" s="16">
        <v>2001</v>
      </c>
      <c r="B107" s="16" t="s">
        <v>257</v>
      </c>
      <c r="C107" t="str">
        <f t="shared" si="1"/>
        <v>2001Nagykőrösi járás</v>
      </c>
      <c r="D107" s="16">
        <v>16511</v>
      </c>
    </row>
    <row r="108" spans="1:4" x14ac:dyDescent="0.35">
      <c r="A108" s="16">
        <v>2001</v>
      </c>
      <c r="B108" s="16" t="s">
        <v>259</v>
      </c>
      <c r="C108" t="str">
        <f t="shared" si="1"/>
        <v>2001Nyíradonyi járás</v>
      </c>
      <c r="D108" s="16">
        <v>16565</v>
      </c>
    </row>
    <row r="109" spans="1:4" x14ac:dyDescent="0.35">
      <c r="A109" s="16">
        <v>2001</v>
      </c>
      <c r="B109" s="16" t="s">
        <v>261</v>
      </c>
      <c r="C109" t="str">
        <f t="shared" si="1"/>
        <v>2001Nyírbátori járás</v>
      </c>
      <c r="D109" s="16">
        <v>24633</v>
      </c>
    </row>
    <row r="110" spans="1:4" x14ac:dyDescent="0.35">
      <c r="A110" s="16">
        <v>2001</v>
      </c>
      <c r="B110" s="16" t="s">
        <v>263</v>
      </c>
      <c r="C110" t="str">
        <f t="shared" si="1"/>
        <v>2001Nyíregyházi járás</v>
      </c>
      <c r="D110" s="16">
        <v>100548</v>
      </c>
    </row>
    <row r="111" spans="1:4" x14ac:dyDescent="0.35">
      <c r="A111" s="16">
        <v>2001</v>
      </c>
      <c r="B111" s="16" t="s">
        <v>265</v>
      </c>
      <c r="C111" t="str">
        <f t="shared" si="1"/>
        <v>2001Orosházi járás</v>
      </c>
      <c r="D111" s="16">
        <v>31752</v>
      </c>
    </row>
    <row r="112" spans="1:4" x14ac:dyDescent="0.35">
      <c r="A112" s="16">
        <v>2001</v>
      </c>
      <c r="B112" s="16" t="s">
        <v>267</v>
      </c>
      <c r="C112" t="str">
        <f t="shared" si="1"/>
        <v>2001Oroszlányi járás</v>
      </c>
      <c r="D112" s="16">
        <v>16260</v>
      </c>
    </row>
    <row r="113" spans="1:4" x14ac:dyDescent="0.35">
      <c r="A113" s="16">
        <v>2001</v>
      </c>
      <c r="B113" s="16" t="s">
        <v>269</v>
      </c>
      <c r="C113" t="str">
        <f t="shared" si="1"/>
        <v>2001Ózdi járás</v>
      </c>
      <c r="D113" s="16">
        <v>32126</v>
      </c>
    </row>
    <row r="114" spans="1:4" x14ac:dyDescent="0.35">
      <c r="A114" s="16">
        <v>2001</v>
      </c>
      <c r="B114" s="16" t="s">
        <v>271</v>
      </c>
      <c r="C114" t="str">
        <f t="shared" si="1"/>
        <v>2001Paksi járás</v>
      </c>
      <c r="D114" s="16">
        <v>30100</v>
      </c>
    </row>
    <row r="115" spans="1:4" x14ac:dyDescent="0.35">
      <c r="A115" s="16">
        <v>2001</v>
      </c>
      <c r="B115" s="16" t="s">
        <v>273</v>
      </c>
      <c r="C115" t="str">
        <f t="shared" si="1"/>
        <v>2001Pannonhalmi járás</v>
      </c>
      <c r="D115" s="16">
        <v>8529</v>
      </c>
    </row>
    <row r="116" spans="1:4" x14ac:dyDescent="0.35">
      <c r="A116" s="16">
        <v>2001</v>
      </c>
      <c r="B116" s="16" t="s">
        <v>275</v>
      </c>
      <c r="C116" t="str">
        <f t="shared" si="1"/>
        <v>2001Pápai járás</v>
      </c>
      <c r="D116" s="16">
        <v>35700</v>
      </c>
    </row>
    <row r="117" spans="1:4" x14ac:dyDescent="0.35">
      <c r="A117" s="16">
        <v>2001</v>
      </c>
      <c r="B117" s="16" t="s">
        <v>277</v>
      </c>
      <c r="C117" t="str">
        <f t="shared" si="1"/>
        <v>2001Pásztói járás</v>
      </c>
      <c r="D117" s="16">
        <v>19167</v>
      </c>
    </row>
    <row r="118" spans="1:4" x14ac:dyDescent="0.35">
      <c r="A118" s="16">
        <v>2001</v>
      </c>
      <c r="B118" s="16" t="s">
        <v>279</v>
      </c>
      <c r="C118" t="str">
        <f t="shared" si="1"/>
        <v>2001Pécsi járás</v>
      </c>
      <c r="D118" s="16">
        <v>112626</v>
      </c>
    </row>
    <row r="119" spans="1:4" x14ac:dyDescent="0.35">
      <c r="A119" s="16">
        <v>2001</v>
      </c>
      <c r="B119" s="16" t="s">
        <v>281</v>
      </c>
      <c r="C119" t="str">
        <f t="shared" si="1"/>
        <v>2001Pécsváradi járás</v>
      </c>
      <c r="D119" s="16">
        <v>7262</v>
      </c>
    </row>
    <row r="120" spans="1:4" x14ac:dyDescent="0.35">
      <c r="A120" s="16">
        <v>2001</v>
      </c>
      <c r="B120" s="16" t="s">
        <v>283</v>
      </c>
      <c r="C120" t="str">
        <f t="shared" si="1"/>
        <v>2001Pétervásárai járás</v>
      </c>
      <c r="D120" s="16">
        <v>12762</v>
      </c>
    </row>
    <row r="121" spans="1:4" x14ac:dyDescent="0.35">
      <c r="A121" s="16">
        <v>2001</v>
      </c>
      <c r="B121" s="16" t="s">
        <v>285</v>
      </c>
      <c r="C121" t="str">
        <f t="shared" si="1"/>
        <v>2001Pilisvörösvári járás</v>
      </c>
      <c r="D121" s="16">
        <v>26053</v>
      </c>
    </row>
    <row r="122" spans="1:4" x14ac:dyDescent="0.35">
      <c r="A122" s="16">
        <v>2001</v>
      </c>
      <c r="B122" s="16" t="s">
        <v>287</v>
      </c>
      <c r="C122" t="str">
        <f t="shared" si="1"/>
        <v>2001Putnoki járás</v>
      </c>
      <c r="D122" s="16">
        <v>11410</v>
      </c>
    </row>
    <row r="123" spans="1:4" x14ac:dyDescent="0.35">
      <c r="A123" s="16">
        <v>2001</v>
      </c>
      <c r="B123" s="16" t="s">
        <v>289</v>
      </c>
      <c r="C123" t="str">
        <f t="shared" si="1"/>
        <v>2001Püspökladányi járás</v>
      </c>
      <c r="D123" s="16">
        <v>23842</v>
      </c>
    </row>
    <row r="124" spans="1:4" x14ac:dyDescent="0.35">
      <c r="A124" s="16">
        <v>2001</v>
      </c>
      <c r="B124" s="16" t="s">
        <v>291</v>
      </c>
      <c r="C124" t="str">
        <f t="shared" si="1"/>
        <v>2001Ráckevei járás</v>
      </c>
      <c r="D124" s="16">
        <v>19530</v>
      </c>
    </row>
    <row r="125" spans="1:4" x14ac:dyDescent="0.35">
      <c r="A125" s="16">
        <v>2001</v>
      </c>
      <c r="B125" s="16" t="s">
        <v>293</v>
      </c>
      <c r="C125" t="str">
        <f t="shared" si="1"/>
        <v>2001Rétsági járás</v>
      </c>
      <c r="D125" s="16">
        <v>14836</v>
      </c>
    </row>
    <row r="126" spans="1:4" x14ac:dyDescent="0.35">
      <c r="A126" s="16">
        <v>2001</v>
      </c>
      <c r="B126" s="16" t="s">
        <v>295</v>
      </c>
      <c r="C126" t="str">
        <f t="shared" si="1"/>
        <v>2001Salgótarjáni járás</v>
      </c>
      <c r="D126" s="16">
        <v>39887</v>
      </c>
    </row>
    <row r="127" spans="1:4" x14ac:dyDescent="0.35">
      <c r="A127" s="16">
        <v>2001</v>
      </c>
      <c r="B127" s="16" t="s">
        <v>297</v>
      </c>
      <c r="C127" t="str">
        <f t="shared" si="1"/>
        <v>2001Sárbogárdi járás</v>
      </c>
      <c r="D127" s="16">
        <v>16658</v>
      </c>
    </row>
    <row r="128" spans="1:4" x14ac:dyDescent="0.35">
      <c r="A128" s="16">
        <v>2001</v>
      </c>
      <c r="B128" s="16" t="s">
        <v>299</v>
      </c>
      <c r="C128" t="str">
        <f t="shared" si="1"/>
        <v>2001Sarkadi járás</v>
      </c>
      <c r="D128" s="16">
        <v>13650</v>
      </c>
    </row>
    <row r="129" spans="1:4" x14ac:dyDescent="0.35">
      <c r="A129" s="16">
        <v>2001</v>
      </c>
      <c r="B129" s="16" t="s">
        <v>301</v>
      </c>
      <c r="C129" t="str">
        <f t="shared" si="1"/>
        <v>2001Sárospataki járás</v>
      </c>
      <c r="D129" s="16">
        <v>15107</v>
      </c>
    </row>
    <row r="130" spans="1:4" x14ac:dyDescent="0.35">
      <c r="A130" s="16">
        <v>2001</v>
      </c>
      <c r="B130" s="16" t="s">
        <v>303</v>
      </c>
      <c r="C130" t="str">
        <f t="shared" si="1"/>
        <v>2001Sárvári járás</v>
      </c>
      <c r="D130" s="16">
        <v>23610</v>
      </c>
    </row>
    <row r="131" spans="1:4" x14ac:dyDescent="0.35">
      <c r="A131" s="16">
        <v>2001</v>
      </c>
      <c r="B131" s="16" t="s">
        <v>305</v>
      </c>
      <c r="C131" t="str">
        <f t="shared" ref="C131:C194" si="2">A131&amp;B131</f>
        <v>2001Sátoraljaújhelyi járás</v>
      </c>
      <c r="D131" s="16">
        <v>14922</v>
      </c>
    </row>
    <row r="132" spans="1:4" x14ac:dyDescent="0.35">
      <c r="A132" s="16">
        <v>2001</v>
      </c>
      <c r="B132" s="16" t="s">
        <v>307</v>
      </c>
      <c r="C132" t="str">
        <f t="shared" si="2"/>
        <v>2001Sellyei járás</v>
      </c>
      <c r="D132" s="16">
        <v>9026</v>
      </c>
    </row>
    <row r="133" spans="1:4" x14ac:dyDescent="0.35">
      <c r="A133" s="16">
        <v>2001</v>
      </c>
      <c r="B133" s="16" t="s">
        <v>309</v>
      </c>
      <c r="C133" t="str">
        <f t="shared" si="2"/>
        <v>2001Siklósi járás</v>
      </c>
      <c r="D133" s="16">
        <v>22148</v>
      </c>
    </row>
    <row r="134" spans="1:4" x14ac:dyDescent="0.35">
      <c r="A134" s="16">
        <v>2001</v>
      </c>
      <c r="B134" s="16" t="s">
        <v>311</v>
      </c>
      <c r="C134" t="str">
        <f t="shared" si="2"/>
        <v>2001Siófoki járás</v>
      </c>
      <c r="D134" s="16">
        <v>28501</v>
      </c>
    </row>
    <row r="135" spans="1:4" x14ac:dyDescent="0.35">
      <c r="A135" s="16">
        <v>2001</v>
      </c>
      <c r="B135" s="16" t="s">
        <v>313</v>
      </c>
      <c r="C135" t="str">
        <f t="shared" si="2"/>
        <v>2001Soproni járás</v>
      </c>
      <c r="D135" s="16">
        <v>55457</v>
      </c>
    </row>
    <row r="136" spans="1:4" x14ac:dyDescent="0.35">
      <c r="A136" s="16">
        <v>2001</v>
      </c>
      <c r="B136" s="16" t="s">
        <v>315</v>
      </c>
      <c r="C136" t="str">
        <f t="shared" si="2"/>
        <v>2001Sümegi járás</v>
      </c>
      <c r="D136" s="16">
        <v>9247</v>
      </c>
    </row>
    <row r="137" spans="1:4" x14ac:dyDescent="0.35">
      <c r="A137" s="16">
        <v>2001</v>
      </c>
      <c r="B137" s="16" t="s">
        <v>317</v>
      </c>
      <c r="C137" t="str">
        <f t="shared" si="2"/>
        <v>2001Szarvasi járás</v>
      </c>
      <c r="D137" s="16">
        <v>17610</v>
      </c>
    </row>
    <row r="138" spans="1:4" x14ac:dyDescent="0.35">
      <c r="A138" s="16">
        <v>2001</v>
      </c>
      <c r="B138" s="16" t="s">
        <v>319</v>
      </c>
      <c r="C138" t="str">
        <f t="shared" si="2"/>
        <v>2001Szécsényi járás</v>
      </c>
      <c r="D138" s="16">
        <v>11564</v>
      </c>
    </row>
    <row r="139" spans="1:4" x14ac:dyDescent="0.35">
      <c r="A139" s="16">
        <v>2001</v>
      </c>
      <c r="B139" s="16" t="s">
        <v>321</v>
      </c>
      <c r="C139" t="str">
        <f t="shared" si="2"/>
        <v>2001Szegedi járás</v>
      </c>
      <c r="D139" s="16">
        <v>122943</v>
      </c>
    </row>
    <row r="140" spans="1:4" x14ac:dyDescent="0.35">
      <c r="A140" s="16">
        <v>2001</v>
      </c>
      <c r="B140" s="16" t="s">
        <v>323</v>
      </c>
      <c r="C140" t="str">
        <f t="shared" si="2"/>
        <v>2001Szeghalmi járás</v>
      </c>
      <c r="D140" s="16">
        <v>18354</v>
      </c>
    </row>
    <row r="141" spans="1:4" x14ac:dyDescent="0.35">
      <c r="A141" s="16">
        <v>2001</v>
      </c>
      <c r="B141" s="16" t="s">
        <v>325</v>
      </c>
      <c r="C141" t="str">
        <f t="shared" si="2"/>
        <v>2001Székesfehérvári járás</v>
      </c>
      <c r="D141" s="16">
        <v>95885</v>
      </c>
    </row>
    <row r="142" spans="1:4" x14ac:dyDescent="0.35">
      <c r="A142" s="16">
        <v>2001</v>
      </c>
      <c r="B142" s="16" t="s">
        <v>327</v>
      </c>
      <c r="C142" t="str">
        <f t="shared" si="2"/>
        <v>2001Szekszárdi járás</v>
      </c>
      <c r="D142" s="16">
        <v>37482</v>
      </c>
    </row>
    <row r="143" spans="1:4" x14ac:dyDescent="0.35">
      <c r="A143" s="16">
        <v>2001</v>
      </c>
      <c r="B143" s="16" t="s">
        <v>329</v>
      </c>
      <c r="C143" t="str">
        <f t="shared" si="2"/>
        <v>2001Szentendrei járás</v>
      </c>
      <c r="D143" s="16">
        <v>40577</v>
      </c>
    </row>
    <row r="144" spans="1:4" x14ac:dyDescent="0.35">
      <c r="A144" s="16">
        <v>2001</v>
      </c>
      <c r="B144" s="16" t="s">
        <v>331</v>
      </c>
      <c r="C144" t="str">
        <f t="shared" si="2"/>
        <v>2001Szentesi járás</v>
      </c>
      <c r="D144" s="16">
        <v>25893</v>
      </c>
    </row>
    <row r="145" spans="1:4" x14ac:dyDescent="0.35">
      <c r="A145" s="16">
        <v>2001</v>
      </c>
      <c r="B145" s="16" t="s">
        <v>333</v>
      </c>
      <c r="C145" t="str">
        <f t="shared" si="2"/>
        <v>2001Szentgotthárdi járás</v>
      </c>
      <c r="D145" s="16">
        <v>9304</v>
      </c>
    </row>
    <row r="146" spans="1:4" x14ac:dyDescent="0.35">
      <c r="A146" s="16">
        <v>2001</v>
      </c>
      <c r="B146" s="16" t="s">
        <v>335</v>
      </c>
      <c r="C146" t="str">
        <f t="shared" si="2"/>
        <v>2001Szentlőrinci járás</v>
      </c>
      <c r="D146" s="16">
        <v>9395</v>
      </c>
    </row>
    <row r="147" spans="1:4" x14ac:dyDescent="0.35">
      <c r="A147" s="16">
        <v>2001</v>
      </c>
      <c r="B147" s="16" t="s">
        <v>337</v>
      </c>
      <c r="C147" t="str">
        <f t="shared" si="2"/>
        <v>2001Szerencsi járás</v>
      </c>
      <c r="D147" s="16">
        <v>23664</v>
      </c>
    </row>
    <row r="148" spans="1:4" x14ac:dyDescent="0.35">
      <c r="A148" s="16">
        <v>2001</v>
      </c>
      <c r="B148" s="16" t="s">
        <v>339</v>
      </c>
      <c r="C148" t="str">
        <f t="shared" si="2"/>
        <v>2001Szigetszentmiklósi járás</v>
      </c>
      <c r="D148" s="16">
        <v>50751</v>
      </c>
    </row>
    <row r="149" spans="1:4" x14ac:dyDescent="0.35">
      <c r="A149" s="16">
        <v>2001</v>
      </c>
      <c r="B149" s="16" t="s">
        <v>341</v>
      </c>
      <c r="C149" t="str">
        <f t="shared" si="2"/>
        <v>2001Szigetvári járás</v>
      </c>
      <c r="D149" s="16">
        <v>16130</v>
      </c>
    </row>
    <row r="150" spans="1:4" x14ac:dyDescent="0.35">
      <c r="A150" s="16">
        <v>2001</v>
      </c>
      <c r="B150" s="16" t="s">
        <v>343</v>
      </c>
      <c r="C150" t="str">
        <f t="shared" si="2"/>
        <v>2001Szikszói járás</v>
      </c>
      <c r="D150" s="16">
        <v>9832</v>
      </c>
    </row>
    <row r="151" spans="1:4" x14ac:dyDescent="0.35">
      <c r="A151" s="16">
        <v>2001</v>
      </c>
      <c r="B151" s="16" t="s">
        <v>345</v>
      </c>
      <c r="C151" t="str">
        <f t="shared" si="2"/>
        <v>2001Szobi járás</v>
      </c>
      <c r="D151" s="16">
        <v>13894</v>
      </c>
    </row>
    <row r="152" spans="1:4" x14ac:dyDescent="0.35">
      <c r="A152" s="16">
        <v>2001</v>
      </c>
      <c r="B152" s="16" t="s">
        <v>347</v>
      </c>
      <c r="C152" t="str">
        <f t="shared" si="2"/>
        <v>2001Szolnoki járás</v>
      </c>
      <c r="D152" s="16">
        <v>73496</v>
      </c>
    </row>
    <row r="153" spans="1:4" x14ac:dyDescent="0.35">
      <c r="A153" s="16">
        <v>2001</v>
      </c>
      <c r="B153" s="16" t="s">
        <v>349</v>
      </c>
      <c r="C153" t="str">
        <f t="shared" si="2"/>
        <v>2001Szombathelyi járás</v>
      </c>
      <c r="D153" s="16">
        <v>68491</v>
      </c>
    </row>
    <row r="154" spans="1:4" x14ac:dyDescent="0.35">
      <c r="A154" s="16">
        <v>2001</v>
      </c>
      <c r="B154" s="16" t="s">
        <v>351</v>
      </c>
      <c r="C154" t="str">
        <f t="shared" si="2"/>
        <v>2001Tabi járás</v>
      </c>
      <c r="D154" s="16">
        <v>8256</v>
      </c>
    </row>
    <row r="155" spans="1:4" x14ac:dyDescent="0.35">
      <c r="A155" s="16">
        <v>2001</v>
      </c>
      <c r="B155" s="16" t="s">
        <v>353</v>
      </c>
      <c r="C155" t="str">
        <f t="shared" si="2"/>
        <v>2001Tamási járás</v>
      </c>
      <c r="D155" s="16">
        <v>23591</v>
      </c>
    </row>
    <row r="156" spans="1:4" x14ac:dyDescent="0.35">
      <c r="A156" s="16">
        <v>2001</v>
      </c>
      <c r="B156" s="16" t="s">
        <v>355</v>
      </c>
      <c r="C156" t="str">
        <f t="shared" si="2"/>
        <v>2001Tapolcai járás</v>
      </c>
      <c r="D156" s="16">
        <v>21522</v>
      </c>
    </row>
    <row r="157" spans="1:4" x14ac:dyDescent="0.35">
      <c r="A157" s="16">
        <v>2001</v>
      </c>
      <c r="B157" s="16" t="s">
        <v>357</v>
      </c>
      <c r="C157" t="str">
        <f t="shared" si="2"/>
        <v>2001Tatabányai járás</v>
      </c>
      <c r="D157" s="16">
        <v>53161</v>
      </c>
    </row>
    <row r="158" spans="1:4" x14ac:dyDescent="0.35">
      <c r="A158" s="16">
        <v>2001</v>
      </c>
      <c r="B158" s="16" t="s">
        <v>359</v>
      </c>
      <c r="C158" t="str">
        <f t="shared" si="2"/>
        <v>2001Tatai járás</v>
      </c>
      <c r="D158" s="16">
        <v>23693</v>
      </c>
    </row>
    <row r="159" spans="1:4" x14ac:dyDescent="0.35">
      <c r="A159" s="16">
        <v>2001</v>
      </c>
      <c r="B159" s="16" t="s">
        <v>361</v>
      </c>
      <c r="C159" t="str">
        <f t="shared" si="2"/>
        <v>2001Téti járás</v>
      </c>
      <c r="D159" s="16">
        <v>8239</v>
      </c>
    </row>
    <row r="160" spans="1:4" x14ac:dyDescent="0.35">
      <c r="A160" s="16">
        <v>2001</v>
      </c>
      <c r="B160" s="16" t="s">
        <v>363</v>
      </c>
      <c r="C160" t="str">
        <f t="shared" si="2"/>
        <v>2001Tiszafüredi járás</v>
      </c>
      <c r="D160" s="16">
        <v>11583</v>
      </c>
    </row>
    <row r="161" spans="1:4" x14ac:dyDescent="0.35">
      <c r="A161" s="16">
        <v>2001</v>
      </c>
      <c r="B161" s="16" t="s">
        <v>365</v>
      </c>
      <c r="C161" t="str">
        <f t="shared" si="2"/>
        <v>2001Tiszakécskei járás</v>
      </c>
      <c r="D161" s="16">
        <v>13208</v>
      </c>
    </row>
    <row r="162" spans="1:4" x14ac:dyDescent="0.35">
      <c r="A162" s="16">
        <v>2001</v>
      </c>
      <c r="B162" s="16" t="s">
        <v>367</v>
      </c>
      <c r="C162" t="str">
        <f t="shared" si="2"/>
        <v>2001Tiszaújvárosi járás</v>
      </c>
      <c r="D162" s="16">
        <v>19555</v>
      </c>
    </row>
    <row r="163" spans="1:4" x14ac:dyDescent="0.35">
      <c r="A163" s="16">
        <v>2001</v>
      </c>
      <c r="B163" s="16" t="s">
        <v>369</v>
      </c>
      <c r="C163" t="str">
        <f t="shared" si="2"/>
        <v>2001Tiszavasvári járás</v>
      </c>
      <c r="D163" s="16">
        <v>15514</v>
      </c>
    </row>
    <row r="164" spans="1:4" x14ac:dyDescent="0.35">
      <c r="A164" s="16">
        <v>2001</v>
      </c>
      <c r="B164" s="16" t="s">
        <v>371</v>
      </c>
      <c r="C164" t="str">
        <f t="shared" si="2"/>
        <v>2001Tokaji járás</v>
      </c>
      <c r="D164" s="16">
        <v>7994</v>
      </c>
    </row>
    <row r="165" spans="1:4" x14ac:dyDescent="0.35">
      <c r="A165" s="16">
        <v>2001</v>
      </c>
      <c r="B165" s="16" t="s">
        <v>373</v>
      </c>
      <c r="C165" t="str">
        <f t="shared" si="2"/>
        <v>2001Tolnai járás</v>
      </c>
      <c r="D165" s="16">
        <v>11161</v>
      </c>
    </row>
    <row r="166" spans="1:4" x14ac:dyDescent="0.35">
      <c r="A166" s="16">
        <v>2001</v>
      </c>
      <c r="B166" s="16" t="s">
        <v>375</v>
      </c>
      <c r="C166" t="str">
        <f t="shared" si="2"/>
        <v>2001Törökszentmiklósi járás</v>
      </c>
      <c r="D166" s="16">
        <v>22281</v>
      </c>
    </row>
    <row r="167" spans="1:4" x14ac:dyDescent="0.35">
      <c r="A167" s="16">
        <v>2001</v>
      </c>
      <c r="B167" s="16" t="s">
        <v>377</v>
      </c>
      <c r="C167" t="str">
        <f t="shared" si="2"/>
        <v>2001Váci járás</v>
      </c>
      <c r="D167" s="16">
        <v>38974</v>
      </c>
    </row>
    <row r="168" spans="1:4" x14ac:dyDescent="0.35">
      <c r="A168" s="16">
        <v>2001</v>
      </c>
      <c r="B168" s="16" t="s">
        <v>379</v>
      </c>
      <c r="C168" t="str">
        <f t="shared" si="2"/>
        <v>2001Várpalotai járás</v>
      </c>
      <c r="D168" s="16">
        <v>23326</v>
      </c>
    </row>
    <row r="169" spans="1:4" x14ac:dyDescent="0.35">
      <c r="A169" s="16">
        <v>2001</v>
      </c>
      <c r="B169" s="16" t="s">
        <v>381</v>
      </c>
      <c r="C169" t="str">
        <f t="shared" si="2"/>
        <v>2001Vásárosnaményi járás</v>
      </c>
      <c r="D169" s="16">
        <v>20454</v>
      </c>
    </row>
    <row r="170" spans="1:4" x14ac:dyDescent="0.35">
      <c r="A170" s="16">
        <v>2001</v>
      </c>
      <c r="B170" s="16" t="s">
        <v>383</v>
      </c>
      <c r="C170" t="str">
        <f t="shared" si="2"/>
        <v>2001Vasvári járás</v>
      </c>
      <c r="D170" s="16">
        <v>8223</v>
      </c>
    </row>
    <row r="171" spans="1:4" x14ac:dyDescent="0.35">
      <c r="A171" s="16">
        <v>2001</v>
      </c>
      <c r="B171" s="16" t="s">
        <v>385</v>
      </c>
      <c r="C171" t="str">
        <f t="shared" si="2"/>
        <v>2001Vecsési járás</v>
      </c>
      <c r="D171" s="16">
        <v>24669</v>
      </c>
    </row>
    <row r="172" spans="1:4" x14ac:dyDescent="0.35">
      <c r="A172" s="16">
        <v>2001</v>
      </c>
      <c r="B172" s="16" t="s">
        <v>387</v>
      </c>
      <c r="C172" t="str">
        <f t="shared" si="2"/>
        <v>2001Veszprémi járás</v>
      </c>
      <c r="D172" s="16">
        <v>51935</v>
      </c>
    </row>
    <row r="173" spans="1:4" x14ac:dyDescent="0.35">
      <c r="A173" s="16">
        <v>2001</v>
      </c>
      <c r="B173" s="16" t="s">
        <v>389</v>
      </c>
      <c r="C173" t="str">
        <f t="shared" si="2"/>
        <v>2001Záhonyi járás</v>
      </c>
      <c r="D173" s="16">
        <v>11481</v>
      </c>
    </row>
    <row r="174" spans="1:4" x14ac:dyDescent="0.35">
      <c r="A174" s="16">
        <v>2001</v>
      </c>
      <c r="B174" s="16" t="s">
        <v>391</v>
      </c>
      <c r="C174" t="str">
        <f t="shared" si="2"/>
        <v>2001Zalaegerszegi járás</v>
      </c>
      <c r="D174" s="16">
        <v>63122</v>
      </c>
    </row>
    <row r="175" spans="1:4" x14ac:dyDescent="0.35">
      <c r="A175" s="16">
        <v>2001</v>
      </c>
      <c r="B175" s="16" t="s">
        <v>393</v>
      </c>
      <c r="C175" t="str">
        <f t="shared" si="2"/>
        <v>2001Zalaszentgróti járás</v>
      </c>
      <c r="D175" s="16">
        <v>9404</v>
      </c>
    </row>
    <row r="176" spans="1:4" x14ac:dyDescent="0.35">
      <c r="A176" s="16">
        <v>2001</v>
      </c>
      <c r="B176" s="16" t="s">
        <v>395</v>
      </c>
      <c r="C176" t="str">
        <f t="shared" si="2"/>
        <v>2001Zirci járás</v>
      </c>
      <c r="D176" s="16">
        <v>11650</v>
      </c>
    </row>
    <row r="177" spans="1:4" x14ac:dyDescent="0.35">
      <c r="A177" s="17">
        <v>2001</v>
      </c>
      <c r="B177" s="17" t="s">
        <v>41</v>
      </c>
      <c r="C177" t="str">
        <f t="shared" si="2"/>
        <v>2001Budapest 01. ker. járás</v>
      </c>
      <c r="D177" s="17">
        <v>13450</v>
      </c>
    </row>
    <row r="178" spans="1:4" x14ac:dyDescent="0.35">
      <c r="A178" s="17">
        <v>2001</v>
      </c>
      <c r="B178" s="17" t="s">
        <v>43</v>
      </c>
      <c r="C178" t="str">
        <f t="shared" si="2"/>
        <v>2001Budapest 02. ker. járás</v>
      </c>
      <c r="D178" s="17">
        <v>50740</v>
      </c>
    </row>
    <row r="179" spans="1:4" x14ac:dyDescent="0.35">
      <c r="A179" s="17">
        <v>2001</v>
      </c>
      <c r="B179" s="17" t="s">
        <v>45</v>
      </c>
      <c r="C179" t="str">
        <f t="shared" si="2"/>
        <v>2001Budapest 03. ker. járás</v>
      </c>
      <c r="D179" s="17">
        <v>80992</v>
      </c>
    </row>
    <row r="180" spans="1:4" x14ac:dyDescent="0.35">
      <c r="A180" s="17">
        <v>2001</v>
      </c>
      <c r="B180" s="17" t="s">
        <v>47</v>
      </c>
      <c r="C180" t="str">
        <f t="shared" si="2"/>
        <v>2001Budapest 04. ker. járás</v>
      </c>
      <c r="D180" s="17">
        <v>65875</v>
      </c>
    </row>
    <row r="181" spans="1:4" x14ac:dyDescent="0.35">
      <c r="A181" s="17">
        <v>2001</v>
      </c>
      <c r="B181" s="17" t="s">
        <v>49</v>
      </c>
      <c r="C181" t="str">
        <f t="shared" si="2"/>
        <v>2001Budapest 05. ker. járás</v>
      </c>
      <c r="D181" s="17">
        <v>16016</v>
      </c>
    </row>
    <row r="182" spans="1:4" x14ac:dyDescent="0.35">
      <c r="A182" s="17">
        <v>2001</v>
      </c>
      <c r="B182" s="17" t="s">
        <v>51</v>
      </c>
      <c r="C182" t="str">
        <f t="shared" si="2"/>
        <v>2001Budapest 06. ker. járás</v>
      </c>
      <c r="D182" s="17">
        <v>25791</v>
      </c>
    </row>
    <row r="183" spans="1:4" x14ac:dyDescent="0.35">
      <c r="A183" s="17">
        <v>2001</v>
      </c>
      <c r="B183" s="17" t="s">
        <v>53</v>
      </c>
      <c r="C183" t="str">
        <f t="shared" si="2"/>
        <v>2001Budapest 07. ker. járás</v>
      </c>
      <c r="D183" s="17">
        <v>37718</v>
      </c>
    </row>
    <row r="184" spans="1:4" x14ac:dyDescent="0.35">
      <c r="A184" s="17">
        <v>2001</v>
      </c>
      <c r="B184" s="17" t="s">
        <v>55</v>
      </c>
      <c r="C184" t="str">
        <f t="shared" si="2"/>
        <v>2001Budapest 08. ker. járás</v>
      </c>
      <c r="D184" s="17">
        <v>49067</v>
      </c>
    </row>
    <row r="185" spans="1:4" x14ac:dyDescent="0.35">
      <c r="A185" s="17">
        <v>2001</v>
      </c>
      <c r="B185" s="17" t="s">
        <v>57</v>
      </c>
      <c r="C185" t="str">
        <f t="shared" si="2"/>
        <v>2001Budapest 09. ker. járás</v>
      </c>
      <c r="D185" s="17">
        <v>36692</v>
      </c>
    </row>
    <row r="186" spans="1:4" x14ac:dyDescent="0.35">
      <c r="A186" s="17">
        <v>2001</v>
      </c>
      <c r="B186" s="17" t="s">
        <v>59</v>
      </c>
      <c r="C186" t="str">
        <f t="shared" si="2"/>
        <v>2001Budapest 10. ker. járás</v>
      </c>
      <c r="D186" s="17">
        <v>50288</v>
      </c>
    </row>
    <row r="187" spans="1:4" x14ac:dyDescent="0.35">
      <c r="A187" s="17">
        <v>2001</v>
      </c>
      <c r="B187" s="17" t="s">
        <v>61</v>
      </c>
      <c r="C187" t="str">
        <f t="shared" si="2"/>
        <v>2001Budapest 11. ker. járás</v>
      </c>
      <c r="D187" s="17">
        <v>83595</v>
      </c>
    </row>
    <row r="188" spans="1:4" x14ac:dyDescent="0.35">
      <c r="A188" s="17">
        <v>2001</v>
      </c>
      <c r="B188" s="17" t="s">
        <v>63</v>
      </c>
      <c r="C188" t="str">
        <f t="shared" si="2"/>
        <v>2001Budapest 12. ker. járás</v>
      </c>
      <c r="D188" s="17">
        <v>33460</v>
      </c>
    </row>
    <row r="189" spans="1:4" x14ac:dyDescent="0.35">
      <c r="A189" s="17">
        <v>2001</v>
      </c>
      <c r="B189" s="17" t="s">
        <v>65</v>
      </c>
      <c r="C189" t="str">
        <f t="shared" si="2"/>
        <v>2001Budapest 13. ker. járás</v>
      </c>
      <c r="D189" s="17">
        <v>67544</v>
      </c>
    </row>
    <row r="190" spans="1:4" x14ac:dyDescent="0.35">
      <c r="A190" s="17">
        <v>2001</v>
      </c>
      <c r="B190" s="17" t="s">
        <v>67</v>
      </c>
      <c r="C190" t="str">
        <f t="shared" si="2"/>
        <v>2001Budapest 14. ker. járás</v>
      </c>
      <c r="D190" s="17">
        <v>69133</v>
      </c>
    </row>
    <row r="191" spans="1:4" x14ac:dyDescent="0.35">
      <c r="A191" s="17">
        <v>2001</v>
      </c>
      <c r="B191" s="17" t="s">
        <v>77</v>
      </c>
      <c r="C191" t="str">
        <f t="shared" si="2"/>
        <v>2001Budapest 19. ker. járás</v>
      </c>
      <c r="D191" s="17">
        <v>40004</v>
      </c>
    </row>
    <row r="192" spans="1:4" x14ac:dyDescent="0.35">
      <c r="A192" s="17">
        <v>2001</v>
      </c>
      <c r="B192" s="17" t="s">
        <v>69</v>
      </c>
      <c r="C192" t="str">
        <f t="shared" si="2"/>
        <v>2001Budapest 15. ker. járás</v>
      </c>
      <c r="D192" s="17">
        <v>49847</v>
      </c>
    </row>
    <row r="193" spans="1:4" x14ac:dyDescent="0.35">
      <c r="A193" s="17">
        <v>2001</v>
      </c>
      <c r="B193" s="17" t="s">
        <v>71</v>
      </c>
      <c r="C193" t="str">
        <f t="shared" si="2"/>
        <v>2001Budapest 16. ker. járás</v>
      </c>
      <c r="D193" s="17">
        <v>42670</v>
      </c>
    </row>
    <row r="194" spans="1:4" x14ac:dyDescent="0.35">
      <c r="A194" s="17">
        <v>2001</v>
      </c>
      <c r="B194" s="17" t="s">
        <v>73</v>
      </c>
      <c r="C194" t="str">
        <f t="shared" si="2"/>
        <v>2001Budapest 17. ker. járás</v>
      </c>
      <c r="D194" s="17">
        <v>48975</v>
      </c>
    </row>
    <row r="195" spans="1:4" x14ac:dyDescent="0.35">
      <c r="A195" s="17">
        <v>2001</v>
      </c>
      <c r="B195" s="17" t="s">
        <v>75</v>
      </c>
      <c r="C195" t="str">
        <f t="shared" ref="C195:C258" si="3">A195&amp;B195</f>
        <v>2001Budapest 18. ker. járás</v>
      </c>
      <c r="D195" s="17">
        <v>57661</v>
      </c>
    </row>
    <row r="196" spans="1:4" x14ac:dyDescent="0.35">
      <c r="A196" s="17">
        <v>2001</v>
      </c>
      <c r="B196" s="17" t="s">
        <v>79</v>
      </c>
      <c r="C196" t="str">
        <f t="shared" si="3"/>
        <v>2001Budapest 20. ker. járás</v>
      </c>
      <c r="D196" s="17">
        <v>38712</v>
      </c>
    </row>
    <row r="197" spans="1:4" x14ac:dyDescent="0.35">
      <c r="A197" s="17">
        <v>2001</v>
      </c>
      <c r="B197" s="17" t="s">
        <v>81</v>
      </c>
      <c r="C197" t="str">
        <f t="shared" si="3"/>
        <v>2001Budapest 21. ker. járás</v>
      </c>
      <c r="D197" s="17">
        <v>50530</v>
      </c>
    </row>
    <row r="198" spans="1:4" x14ac:dyDescent="0.35">
      <c r="A198" s="17">
        <v>2001</v>
      </c>
      <c r="B198" s="17" t="s">
        <v>83</v>
      </c>
      <c r="C198" t="str">
        <f t="shared" si="3"/>
        <v>2001Budapest 22. ker. járás</v>
      </c>
      <c r="D198" s="17">
        <v>31677</v>
      </c>
    </row>
    <row r="199" spans="1:4" x14ac:dyDescent="0.35">
      <c r="A199" s="17">
        <v>2001</v>
      </c>
      <c r="B199" s="17" t="s">
        <v>85</v>
      </c>
      <c r="C199" t="str">
        <f t="shared" si="3"/>
        <v>2001Budapest 23. ker. járás</v>
      </c>
      <c r="D199" s="17">
        <v>11988</v>
      </c>
    </row>
    <row r="200" spans="1:4" x14ac:dyDescent="0.35">
      <c r="A200" s="16">
        <v>2011</v>
      </c>
      <c r="B200" s="16" t="s">
        <v>1</v>
      </c>
      <c r="C200" t="str">
        <f t="shared" si="3"/>
        <v>2011Ajkai járás</v>
      </c>
      <c r="D200" s="16">
        <v>24208</v>
      </c>
    </row>
    <row r="201" spans="1:4" x14ac:dyDescent="0.35">
      <c r="A201" s="16">
        <v>2011</v>
      </c>
      <c r="B201" s="16" t="s">
        <v>3</v>
      </c>
      <c r="C201" t="str">
        <f t="shared" si="3"/>
        <v>2011Aszódi járás</v>
      </c>
      <c r="D201" s="16">
        <v>22888</v>
      </c>
    </row>
    <row r="202" spans="1:4" x14ac:dyDescent="0.35">
      <c r="A202" s="16">
        <v>2011</v>
      </c>
      <c r="B202" s="16" t="s">
        <v>5</v>
      </c>
      <c r="C202" t="str">
        <f t="shared" si="3"/>
        <v>2011Bácsalmási járás</v>
      </c>
      <c r="D202" s="16">
        <v>11576</v>
      </c>
    </row>
    <row r="203" spans="1:4" x14ac:dyDescent="0.35">
      <c r="A203" s="16">
        <v>2011</v>
      </c>
      <c r="B203" s="16" t="s">
        <v>7</v>
      </c>
      <c r="C203" t="str">
        <f t="shared" si="3"/>
        <v>2011Bajai járás</v>
      </c>
      <c r="D203" s="16">
        <v>39338</v>
      </c>
    </row>
    <row r="204" spans="1:4" x14ac:dyDescent="0.35">
      <c r="A204" s="16">
        <v>2011</v>
      </c>
      <c r="B204" s="16" t="s">
        <v>9</v>
      </c>
      <c r="C204" t="str">
        <f t="shared" si="3"/>
        <v>2011Baktalórántházai járás</v>
      </c>
      <c r="D204" s="16">
        <v>11561</v>
      </c>
    </row>
    <row r="205" spans="1:4" x14ac:dyDescent="0.35">
      <c r="A205" s="16">
        <v>2011</v>
      </c>
      <c r="B205" s="16" t="s">
        <v>11</v>
      </c>
      <c r="C205" t="str">
        <f t="shared" si="3"/>
        <v>2011Balassagyarmati járás</v>
      </c>
      <c r="D205" s="16">
        <v>24482</v>
      </c>
    </row>
    <row r="206" spans="1:4" x14ac:dyDescent="0.35">
      <c r="A206" s="16">
        <v>2011</v>
      </c>
      <c r="B206" s="16" t="s">
        <v>13</v>
      </c>
      <c r="C206" t="str">
        <f t="shared" si="3"/>
        <v>2011Balatonalmádi járás</v>
      </c>
      <c r="D206" s="16">
        <v>14302</v>
      </c>
    </row>
    <row r="207" spans="1:4" x14ac:dyDescent="0.35">
      <c r="A207" s="16">
        <v>2011</v>
      </c>
      <c r="B207" s="16" t="s">
        <v>15</v>
      </c>
      <c r="C207" t="str">
        <f t="shared" si="3"/>
        <v>2011Balatonfüredi járás</v>
      </c>
      <c r="D207" s="16">
        <v>14150</v>
      </c>
    </row>
    <row r="208" spans="1:4" x14ac:dyDescent="0.35">
      <c r="A208" s="16">
        <v>2011</v>
      </c>
      <c r="B208" s="16" t="s">
        <v>17</v>
      </c>
      <c r="C208" t="str">
        <f t="shared" si="3"/>
        <v>2011Balmazújvárosi járás</v>
      </c>
      <c r="D208" s="16">
        <v>17841</v>
      </c>
    </row>
    <row r="209" spans="1:4" x14ac:dyDescent="0.35">
      <c r="A209" s="16">
        <v>2011</v>
      </c>
      <c r="B209" s="16" t="s">
        <v>19</v>
      </c>
      <c r="C209" t="str">
        <f t="shared" si="3"/>
        <v>2011Barcsi járás</v>
      </c>
      <c r="D209" s="16">
        <v>14263</v>
      </c>
    </row>
    <row r="210" spans="1:4" x14ac:dyDescent="0.35">
      <c r="A210" s="16">
        <v>2011</v>
      </c>
      <c r="B210" s="16" t="s">
        <v>21</v>
      </c>
      <c r="C210" t="str">
        <f t="shared" si="3"/>
        <v>2011Bátonyterenyei járás</v>
      </c>
      <c r="D210" s="16">
        <v>12862</v>
      </c>
    </row>
    <row r="211" spans="1:4" x14ac:dyDescent="0.35">
      <c r="A211" s="16">
        <v>2011</v>
      </c>
      <c r="B211" s="16" t="s">
        <v>23</v>
      </c>
      <c r="C211" t="str">
        <f t="shared" si="3"/>
        <v>2011Békéscsabai járás</v>
      </c>
      <c r="D211" s="16">
        <v>50213</v>
      </c>
    </row>
    <row r="212" spans="1:4" x14ac:dyDescent="0.35">
      <c r="A212" s="16">
        <v>2011</v>
      </c>
      <c r="B212" s="16" t="s">
        <v>25</v>
      </c>
      <c r="C212" t="str">
        <f t="shared" si="3"/>
        <v>2011Békési járás</v>
      </c>
      <c r="D212" s="16">
        <v>21862</v>
      </c>
    </row>
    <row r="213" spans="1:4" x14ac:dyDescent="0.35">
      <c r="A213" s="16">
        <v>2011</v>
      </c>
      <c r="B213" s="16" t="s">
        <v>27</v>
      </c>
      <c r="C213" t="str">
        <f t="shared" si="3"/>
        <v>2011Bélapátfalvai járás</v>
      </c>
      <c r="D213" s="16">
        <v>5307</v>
      </c>
    </row>
    <row r="214" spans="1:4" x14ac:dyDescent="0.35">
      <c r="A214" s="16">
        <v>2011</v>
      </c>
      <c r="B214" s="16" t="s">
        <v>29</v>
      </c>
      <c r="C214" t="str">
        <f t="shared" si="3"/>
        <v>2011Berettyóújfalui járás</v>
      </c>
      <c r="D214" s="16">
        <v>26827</v>
      </c>
    </row>
    <row r="215" spans="1:4" x14ac:dyDescent="0.35">
      <c r="A215" s="16">
        <v>2011</v>
      </c>
      <c r="B215" s="16" t="s">
        <v>31</v>
      </c>
      <c r="C215" t="str">
        <f t="shared" si="3"/>
        <v>2011Bicskei járás</v>
      </c>
      <c r="D215" s="16">
        <v>21739</v>
      </c>
    </row>
    <row r="216" spans="1:4" x14ac:dyDescent="0.35">
      <c r="A216" s="16">
        <v>2011</v>
      </c>
      <c r="B216" s="16" t="s">
        <v>33</v>
      </c>
      <c r="C216" t="str">
        <f t="shared" si="3"/>
        <v>2011Bólyi járás</v>
      </c>
      <c r="D216" s="16">
        <v>7246</v>
      </c>
    </row>
    <row r="217" spans="1:4" x14ac:dyDescent="0.35">
      <c r="A217" s="16">
        <v>2011</v>
      </c>
      <c r="B217" s="16" t="s">
        <v>35</v>
      </c>
      <c r="C217" t="str">
        <f t="shared" si="3"/>
        <v>2011Bonyhádi járás</v>
      </c>
      <c r="D217" s="16">
        <v>19195</v>
      </c>
    </row>
    <row r="218" spans="1:4" x14ac:dyDescent="0.35">
      <c r="A218" s="16">
        <v>2011</v>
      </c>
      <c r="B218" s="16" t="s">
        <v>37</v>
      </c>
      <c r="C218" t="str">
        <f t="shared" si="3"/>
        <v>2011Budakeszi járás</v>
      </c>
      <c r="D218" s="16">
        <v>50287</v>
      </c>
    </row>
    <row r="219" spans="1:4" x14ac:dyDescent="0.35">
      <c r="A219" s="17">
        <v>2011</v>
      </c>
      <c r="B219" s="17" t="s">
        <v>39</v>
      </c>
      <c r="C219" t="str">
        <f t="shared" si="3"/>
        <v>2011Budapest</v>
      </c>
      <c r="D219" s="17">
        <v>1076676</v>
      </c>
    </row>
    <row r="220" spans="1:4" x14ac:dyDescent="0.35">
      <c r="A220" s="16">
        <v>2011</v>
      </c>
      <c r="B220" s="16" t="s">
        <v>87</v>
      </c>
      <c r="C220" t="str">
        <f t="shared" si="3"/>
        <v>2011Ceglédi járás</v>
      </c>
      <c r="D220" s="16">
        <v>53050</v>
      </c>
    </row>
    <row r="221" spans="1:4" x14ac:dyDescent="0.35">
      <c r="A221" s="16">
        <v>2011</v>
      </c>
      <c r="B221" s="16" t="s">
        <v>89</v>
      </c>
      <c r="C221" t="str">
        <f t="shared" si="3"/>
        <v>2011Celldömölki járás</v>
      </c>
      <c r="D221" s="16">
        <v>14898</v>
      </c>
    </row>
    <row r="222" spans="1:4" x14ac:dyDescent="0.35">
      <c r="A222" s="16">
        <v>2011</v>
      </c>
      <c r="B222" s="16" t="s">
        <v>91</v>
      </c>
      <c r="C222" t="str">
        <f t="shared" si="3"/>
        <v>2011Cigándi járás</v>
      </c>
      <c r="D222" s="16">
        <v>9037</v>
      </c>
    </row>
    <row r="223" spans="1:4" x14ac:dyDescent="0.35">
      <c r="A223" s="16">
        <v>2011</v>
      </c>
      <c r="B223" s="16" t="s">
        <v>93</v>
      </c>
      <c r="C223" t="str">
        <f t="shared" si="3"/>
        <v>2011Csengeri járás</v>
      </c>
      <c r="D223" s="16">
        <v>7783</v>
      </c>
    </row>
    <row r="224" spans="1:4" x14ac:dyDescent="0.35">
      <c r="A224" s="16">
        <v>2011</v>
      </c>
      <c r="B224" s="16" t="s">
        <v>95</v>
      </c>
      <c r="C224" t="str">
        <f t="shared" si="3"/>
        <v>2011Csongrádi járás</v>
      </c>
      <c r="D224" s="16">
        <v>13305</v>
      </c>
    </row>
    <row r="225" spans="1:4" x14ac:dyDescent="0.35">
      <c r="A225" s="16">
        <v>2011</v>
      </c>
      <c r="B225" s="16" t="s">
        <v>97</v>
      </c>
      <c r="C225" t="str">
        <f t="shared" si="3"/>
        <v>2011Csornai járás</v>
      </c>
      <c r="D225" s="16">
        <v>20066</v>
      </c>
    </row>
    <row r="226" spans="1:4" x14ac:dyDescent="0.35">
      <c r="A226" s="16">
        <v>2011</v>
      </c>
      <c r="B226" s="16" t="s">
        <v>99</v>
      </c>
      <c r="C226" t="str">
        <f t="shared" si="3"/>
        <v>2011Csurgói járás</v>
      </c>
      <c r="D226" s="16">
        <v>10035</v>
      </c>
    </row>
    <row r="227" spans="1:4" x14ac:dyDescent="0.35">
      <c r="A227" s="16">
        <v>2011</v>
      </c>
      <c r="B227" s="16" t="s">
        <v>101</v>
      </c>
      <c r="C227" t="str">
        <f t="shared" si="3"/>
        <v>2011Dabasi járás</v>
      </c>
      <c r="D227" s="16">
        <v>29852</v>
      </c>
    </row>
    <row r="228" spans="1:4" x14ac:dyDescent="0.35">
      <c r="A228" s="16">
        <v>2011</v>
      </c>
      <c r="B228" s="16" t="s">
        <v>103</v>
      </c>
      <c r="C228" t="str">
        <f t="shared" si="3"/>
        <v>2011Debreceni járás</v>
      </c>
      <c r="D228" s="16">
        <v>142738</v>
      </c>
    </row>
    <row r="229" spans="1:4" x14ac:dyDescent="0.35">
      <c r="A229" s="16">
        <v>2011</v>
      </c>
      <c r="B229" s="16" t="s">
        <v>105</v>
      </c>
      <c r="C229" t="str">
        <f t="shared" si="3"/>
        <v>2011Derecskei járás</v>
      </c>
      <c r="D229" s="16">
        <v>24742</v>
      </c>
    </row>
    <row r="230" spans="1:4" x14ac:dyDescent="0.35">
      <c r="A230" s="16">
        <v>2011</v>
      </c>
      <c r="B230" s="16" t="s">
        <v>107</v>
      </c>
      <c r="C230" t="str">
        <f t="shared" si="3"/>
        <v>2011Devecseri járás</v>
      </c>
      <c r="D230" s="16">
        <v>9088</v>
      </c>
    </row>
    <row r="231" spans="1:4" x14ac:dyDescent="0.35">
      <c r="A231" s="16">
        <v>2011</v>
      </c>
      <c r="B231" s="16" t="s">
        <v>109</v>
      </c>
      <c r="C231" t="str">
        <f t="shared" si="3"/>
        <v>2011Dombóvári járás</v>
      </c>
      <c r="D231" s="16">
        <v>19409</v>
      </c>
    </row>
    <row r="232" spans="1:4" x14ac:dyDescent="0.35">
      <c r="A232" s="16">
        <v>2011</v>
      </c>
      <c r="B232" s="16" t="s">
        <v>111</v>
      </c>
      <c r="C232" t="str">
        <f t="shared" si="3"/>
        <v>2011Dunakeszi járás</v>
      </c>
      <c r="D232" s="16">
        <v>48942</v>
      </c>
    </row>
    <row r="233" spans="1:4" x14ac:dyDescent="0.35">
      <c r="A233" s="16">
        <v>2011</v>
      </c>
      <c r="B233" s="16" t="s">
        <v>113</v>
      </c>
      <c r="C233" t="str">
        <f t="shared" si="3"/>
        <v>2011Dunaújvárosi járás</v>
      </c>
      <c r="D233" s="16">
        <v>59152</v>
      </c>
    </row>
    <row r="234" spans="1:4" x14ac:dyDescent="0.35">
      <c r="A234" s="16">
        <v>2011</v>
      </c>
      <c r="B234" s="16" t="s">
        <v>115</v>
      </c>
      <c r="C234" t="str">
        <f t="shared" si="3"/>
        <v>2011Edelényi járás</v>
      </c>
      <c r="D234" s="16">
        <v>19006</v>
      </c>
    </row>
    <row r="235" spans="1:4" x14ac:dyDescent="0.35">
      <c r="A235" s="16">
        <v>2011</v>
      </c>
      <c r="B235" s="16" t="s">
        <v>117</v>
      </c>
      <c r="C235" t="str">
        <f t="shared" si="3"/>
        <v>2011Egri járás</v>
      </c>
      <c r="D235" s="16">
        <v>53301</v>
      </c>
    </row>
    <row r="236" spans="1:4" x14ac:dyDescent="0.35">
      <c r="A236" s="16">
        <v>2011</v>
      </c>
      <c r="B236" s="16" t="s">
        <v>119</v>
      </c>
      <c r="C236" t="str">
        <f t="shared" si="3"/>
        <v>2011Encsi járás</v>
      </c>
      <c r="D236" s="16">
        <v>12152</v>
      </c>
    </row>
    <row r="237" spans="1:4" x14ac:dyDescent="0.35">
      <c r="A237" s="16">
        <v>2011</v>
      </c>
      <c r="B237" s="16" t="s">
        <v>121</v>
      </c>
      <c r="C237" t="str">
        <f t="shared" si="3"/>
        <v>2011Enyingi járás</v>
      </c>
      <c r="D237" s="16">
        <v>12640</v>
      </c>
    </row>
    <row r="238" spans="1:4" x14ac:dyDescent="0.35">
      <c r="A238" s="16">
        <v>2011</v>
      </c>
      <c r="B238" s="16" t="s">
        <v>123</v>
      </c>
      <c r="C238" t="str">
        <f t="shared" si="3"/>
        <v>2011Érdi járás</v>
      </c>
      <c r="D238" s="16">
        <v>71755</v>
      </c>
    </row>
    <row r="239" spans="1:4" x14ac:dyDescent="0.35">
      <c r="A239" s="16">
        <v>2011</v>
      </c>
      <c r="B239" s="16" t="s">
        <v>125</v>
      </c>
      <c r="C239" t="str">
        <f t="shared" si="3"/>
        <v>2011Esztergomi járás</v>
      </c>
      <c r="D239" s="16">
        <v>56905</v>
      </c>
    </row>
    <row r="240" spans="1:4" x14ac:dyDescent="0.35">
      <c r="A240" s="16">
        <v>2011</v>
      </c>
      <c r="B240" s="16" t="s">
        <v>127</v>
      </c>
      <c r="C240" t="str">
        <f t="shared" si="3"/>
        <v>2011Fehérgyarmati járás</v>
      </c>
      <c r="D240" s="16">
        <v>21960</v>
      </c>
    </row>
    <row r="241" spans="1:4" x14ac:dyDescent="0.35">
      <c r="A241" s="16">
        <v>2011</v>
      </c>
      <c r="B241" s="16" t="s">
        <v>129</v>
      </c>
      <c r="C241" t="str">
        <f t="shared" si="3"/>
        <v>2011Fonyódi járás</v>
      </c>
      <c r="D241" s="16">
        <v>20011</v>
      </c>
    </row>
    <row r="242" spans="1:4" x14ac:dyDescent="0.35">
      <c r="A242" s="16">
        <v>2011</v>
      </c>
      <c r="B242" s="16" t="s">
        <v>131</v>
      </c>
      <c r="C242" t="str">
        <f t="shared" si="3"/>
        <v>2011Füzesabonyi járás</v>
      </c>
      <c r="D242" s="16">
        <v>17777</v>
      </c>
    </row>
    <row r="243" spans="1:4" x14ac:dyDescent="0.35">
      <c r="A243" s="16">
        <v>2011</v>
      </c>
      <c r="B243" s="16" t="s">
        <v>133</v>
      </c>
      <c r="C243" t="str">
        <f t="shared" si="3"/>
        <v>2011Gárdonyi járás</v>
      </c>
      <c r="D243" s="16">
        <v>17499</v>
      </c>
    </row>
    <row r="244" spans="1:4" x14ac:dyDescent="0.35">
      <c r="A244" s="16">
        <v>2011</v>
      </c>
      <c r="B244" s="16" t="s">
        <v>135</v>
      </c>
      <c r="C244" t="str">
        <f t="shared" si="3"/>
        <v>2011Gödöllői járás</v>
      </c>
      <c r="D244" s="16">
        <v>85428</v>
      </c>
    </row>
    <row r="245" spans="1:4" x14ac:dyDescent="0.35">
      <c r="A245" s="16">
        <v>2011</v>
      </c>
      <c r="B245" s="16" t="s">
        <v>137</v>
      </c>
      <c r="C245" t="str">
        <f t="shared" si="3"/>
        <v>2011Gönci járás</v>
      </c>
      <c r="D245" s="16">
        <v>9622</v>
      </c>
    </row>
    <row r="246" spans="1:4" x14ac:dyDescent="0.35">
      <c r="A246" s="16">
        <v>2011</v>
      </c>
      <c r="B246" s="16" t="s">
        <v>139</v>
      </c>
      <c r="C246" t="str">
        <f t="shared" si="3"/>
        <v>2011Gyáli járás</v>
      </c>
      <c r="D246" s="16">
        <v>25417</v>
      </c>
    </row>
    <row r="247" spans="1:4" x14ac:dyDescent="0.35">
      <c r="A247" s="16">
        <v>2011</v>
      </c>
      <c r="B247" s="16" t="s">
        <v>141</v>
      </c>
      <c r="C247" t="str">
        <f t="shared" si="3"/>
        <v>2011Gyomaendrődi járás</v>
      </c>
      <c r="D247" s="16">
        <v>14082</v>
      </c>
    </row>
    <row r="248" spans="1:4" x14ac:dyDescent="0.35">
      <c r="A248" s="16">
        <v>2011</v>
      </c>
      <c r="B248" s="16" t="s">
        <v>143</v>
      </c>
      <c r="C248" t="str">
        <f t="shared" si="3"/>
        <v>2011Gyöngyösi járás</v>
      </c>
      <c r="D248" s="16">
        <v>42806</v>
      </c>
    </row>
    <row r="249" spans="1:4" x14ac:dyDescent="0.35">
      <c r="A249" s="16">
        <v>2011</v>
      </c>
      <c r="B249" s="16" t="s">
        <v>145</v>
      </c>
      <c r="C249" t="str">
        <f t="shared" si="3"/>
        <v>2011Győri járás</v>
      </c>
      <c r="D249" s="16">
        <v>118570</v>
      </c>
    </row>
    <row r="250" spans="1:4" x14ac:dyDescent="0.35">
      <c r="A250" s="16">
        <v>2011</v>
      </c>
      <c r="B250" s="16" t="s">
        <v>147</v>
      </c>
      <c r="C250" t="str">
        <f t="shared" si="3"/>
        <v>2011Gyulai járás</v>
      </c>
      <c r="D250" s="16">
        <v>24768</v>
      </c>
    </row>
    <row r="251" spans="1:4" x14ac:dyDescent="0.35">
      <c r="A251" s="16">
        <v>2011</v>
      </c>
      <c r="B251" s="16" t="s">
        <v>149</v>
      </c>
      <c r="C251" t="str">
        <f t="shared" si="3"/>
        <v>2011Hajdúböszörményi járás</v>
      </c>
      <c r="D251" s="16">
        <v>24434</v>
      </c>
    </row>
    <row r="252" spans="1:4" x14ac:dyDescent="0.35">
      <c r="A252" s="16">
        <v>2011</v>
      </c>
      <c r="B252" s="16" t="s">
        <v>151</v>
      </c>
      <c r="C252" t="str">
        <f t="shared" si="3"/>
        <v>2011Hajdúhadházi járás</v>
      </c>
      <c r="D252" s="16">
        <v>13306</v>
      </c>
    </row>
    <row r="253" spans="1:4" x14ac:dyDescent="0.35">
      <c r="A253" s="16">
        <v>2011</v>
      </c>
      <c r="B253" s="16" t="s">
        <v>153</v>
      </c>
      <c r="C253" t="str">
        <f t="shared" si="3"/>
        <v>2011Hajdúnánási járás</v>
      </c>
      <c r="D253" s="16">
        <v>17802</v>
      </c>
    </row>
    <row r="254" spans="1:4" x14ac:dyDescent="0.35">
      <c r="A254" s="16">
        <v>2011</v>
      </c>
      <c r="B254" s="16" t="s">
        <v>155</v>
      </c>
      <c r="C254" t="str">
        <f t="shared" si="3"/>
        <v>2011Hajdúszoboszlói járás</v>
      </c>
      <c r="D254" s="16">
        <v>26096</v>
      </c>
    </row>
    <row r="255" spans="1:4" x14ac:dyDescent="0.35">
      <c r="A255" s="16">
        <v>2011</v>
      </c>
      <c r="B255" s="16" t="s">
        <v>157</v>
      </c>
      <c r="C255" t="str">
        <f t="shared" si="3"/>
        <v>2011Hatvani járás</v>
      </c>
      <c r="D255" s="16">
        <v>31658</v>
      </c>
    </row>
    <row r="256" spans="1:4" x14ac:dyDescent="0.35">
      <c r="A256" s="16">
        <v>2011</v>
      </c>
      <c r="B256" s="16" t="s">
        <v>159</v>
      </c>
      <c r="C256" t="str">
        <f t="shared" si="3"/>
        <v>2011Hegyháti járás</v>
      </c>
      <c r="D256" s="16">
        <v>7661</v>
      </c>
    </row>
    <row r="257" spans="1:4" x14ac:dyDescent="0.35">
      <c r="A257" s="16">
        <v>2011</v>
      </c>
      <c r="B257" s="16" t="s">
        <v>161</v>
      </c>
      <c r="C257" t="str">
        <f t="shared" si="3"/>
        <v>2011Hevesi járás</v>
      </c>
      <c r="D257" s="16">
        <v>20104</v>
      </c>
    </row>
    <row r="258" spans="1:4" x14ac:dyDescent="0.35">
      <c r="A258" s="16">
        <v>2011</v>
      </c>
      <c r="B258" s="16" t="s">
        <v>163</v>
      </c>
      <c r="C258" t="str">
        <f t="shared" si="3"/>
        <v>2011Hódmezővásárhelyi járás</v>
      </c>
      <c r="D258" s="16">
        <v>34253</v>
      </c>
    </row>
    <row r="259" spans="1:4" x14ac:dyDescent="0.35">
      <c r="A259" s="16">
        <v>2011</v>
      </c>
      <c r="B259" s="16" t="s">
        <v>165</v>
      </c>
      <c r="C259" t="str">
        <f t="shared" ref="C259:C322" si="4">A259&amp;B259</f>
        <v>2011Ibrányi járás</v>
      </c>
      <c r="D259" s="16">
        <v>14125</v>
      </c>
    </row>
    <row r="260" spans="1:4" x14ac:dyDescent="0.35">
      <c r="A260" s="16">
        <v>2011</v>
      </c>
      <c r="B260" s="16" t="s">
        <v>431</v>
      </c>
      <c r="C260" t="str">
        <f t="shared" si="4"/>
        <v>2011Jánoshalmai járás</v>
      </c>
      <c r="D260" s="16">
        <v>9897</v>
      </c>
    </row>
    <row r="261" spans="1:4" x14ac:dyDescent="0.35">
      <c r="A261" s="16">
        <v>2011</v>
      </c>
      <c r="B261" s="16" t="s">
        <v>169</v>
      </c>
      <c r="C261" t="str">
        <f t="shared" si="4"/>
        <v>2011Jászapáti járás</v>
      </c>
      <c r="D261" s="16">
        <v>19130</v>
      </c>
    </row>
    <row r="262" spans="1:4" x14ac:dyDescent="0.35">
      <c r="A262" s="16">
        <v>2011</v>
      </c>
      <c r="B262" s="16" t="s">
        <v>171</v>
      </c>
      <c r="C262" t="str">
        <f t="shared" si="4"/>
        <v>2011Jászberényi járás</v>
      </c>
      <c r="D262" s="16">
        <v>30636</v>
      </c>
    </row>
    <row r="263" spans="1:4" x14ac:dyDescent="0.35">
      <c r="A263" s="16">
        <v>2011</v>
      </c>
      <c r="B263" s="16" t="s">
        <v>173</v>
      </c>
      <c r="C263" t="str">
        <f t="shared" si="4"/>
        <v>2011Kalocsai járás</v>
      </c>
      <c r="D263" s="16">
        <v>31987</v>
      </c>
    </row>
    <row r="264" spans="1:4" x14ac:dyDescent="0.35">
      <c r="A264" s="16">
        <v>2011</v>
      </c>
      <c r="B264" s="16" t="s">
        <v>175</v>
      </c>
      <c r="C264" t="str">
        <f t="shared" si="4"/>
        <v>2011Kaposvári járás</v>
      </c>
      <c r="D264" s="16">
        <v>71200</v>
      </c>
    </row>
    <row r="265" spans="1:4" x14ac:dyDescent="0.35">
      <c r="A265" s="16">
        <v>2011</v>
      </c>
      <c r="B265" s="16" t="s">
        <v>177</v>
      </c>
      <c r="C265" t="str">
        <f t="shared" si="4"/>
        <v>2011Kapuvári járás</v>
      </c>
      <c r="D265" s="16">
        <v>15265</v>
      </c>
    </row>
    <row r="266" spans="1:4" x14ac:dyDescent="0.35">
      <c r="A266" s="16">
        <v>2011</v>
      </c>
      <c r="B266" s="16" t="s">
        <v>179</v>
      </c>
      <c r="C266" t="str">
        <f t="shared" si="4"/>
        <v>2011Karcagi járás</v>
      </c>
      <c r="D266" s="16">
        <v>25478</v>
      </c>
    </row>
    <row r="267" spans="1:4" x14ac:dyDescent="0.35">
      <c r="A267" s="16">
        <v>2011</v>
      </c>
      <c r="B267" s="16" t="s">
        <v>181</v>
      </c>
      <c r="C267" t="str">
        <f t="shared" si="4"/>
        <v>2011Kazincbarcikai járás</v>
      </c>
      <c r="D267" s="16">
        <v>40405</v>
      </c>
    </row>
    <row r="268" spans="1:4" x14ac:dyDescent="0.35">
      <c r="A268" s="16">
        <v>2011</v>
      </c>
      <c r="B268" s="16" t="s">
        <v>183</v>
      </c>
      <c r="C268" t="str">
        <f t="shared" si="4"/>
        <v>2011Kecskeméti járás</v>
      </c>
      <c r="D268" s="16">
        <v>95763</v>
      </c>
    </row>
    <row r="269" spans="1:4" x14ac:dyDescent="0.35">
      <c r="A269" s="16">
        <v>2011</v>
      </c>
      <c r="B269" s="16" t="s">
        <v>185</v>
      </c>
      <c r="C269" t="str">
        <f t="shared" si="4"/>
        <v>2011Kemecsei járás</v>
      </c>
      <c r="D269" s="16">
        <v>13388</v>
      </c>
    </row>
    <row r="270" spans="1:4" x14ac:dyDescent="0.35">
      <c r="A270" s="16">
        <v>2011</v>
      </c>
      <c r="B270" s="16" t="s">
        <v>187</v>
      </c>
      <c r="C270" t="str">
        <f t="shared" si="4"/>
        <v>2011Keszthelyi járás</v>
      </c>
      <c r="D270" s="16">
        <v>29737</v>
      </c>
    </row>
    <row r="271" spans="1:4" x14ac:dyDescent="0.35">
      <c r="A271" s="16">
        <v>2011</v>
      </c>
      <c r="B271" s="16" t="s">
        <v>189</v>
      </c>
      <c r="C271" t="str">
        <f t="shared" si="4"/>
        <v>2011Kisbéri járás</v>
      </c>
      <c r="D271" s="16">
        <v>12734</v>
      </c>
    </row>
    <row r="272" spans="1:4" x14ac:dyDescent="0.35">
      <c r="A272" s="16">
        <v>2011</v>
      </c>
      <c r="B272" s="16" t="s">
        <v>191</v>
      </c>
      <c r="C272" t="str">
        <f t="shared" si="4"/>
        <v>2011Kiskőrösi járás</v>
      </c>
      <c r="D272" s="16">
        <v>32404</v>
      </c>
    </row>
    <row r="273" spans="1:4" x14ac:dyDescent="0.35">
      <c r="A273" s="16">
        <v>2011</v>
      </c>
      <c r="B273" s="16" t="s">
        <v>193</v>
      </c>
      <c r="C273" t="str">
        <f t="shared" si="4"/>
        <v>2011Kiskunfélegyházi járás</v>
      </c>
      <c r="D273" s="16">
        <v>22396</v>
      </c>
    </row>
    <row r="274" spans="1:4" x14ac:dyDescent="0.35">
      <c r="A274" s="16">
        <v>2011</v>
      </c>
      <c r="B274" s="16" t="s">
        <v>195</v>
      </c>
      <c r="C274" t="str">
        <f t="shared" si="4"/>
        <v>2011Kiskunhalasi járás</v>
      </c>
      <c r="D274" s="16">
        <v>26499</v>
      </c>
    </row>
    <row r="275" spans="1:4" x14ac:dyDescent="0.35">
      <c r="A275" s="16">
        <v>2011</v>
      </c>
      <c r="B275" s="16" t="s">
        <v>197</v>
      </c>
      <c r="C275" t="str">
        <f t="shared" si="4"/>
        <v>2011Kiskunmajsai járás</v>
      </c>
      <c r="D275" s="16">
        <v>11147</v>
      </c>
    </row>
    <row r="276" spans="1:4" x14ac:dyDescent="0.35">
      <c r="A276" s="16">
        <v>2011</v>
      </c>
      <c r="B276" s="16" t="s">
        <v>199</v>
      </c>
      <c r="C276" t="str">
        <f t="shared" si="4"/>
        <v>2011Kisteleki járás</v>
      </c>
      <c r="D276" s="16">
        <v>10793</v>
      </c>
    </row>
    <row r="277" spans="1:4" x14ac:dyDescent="0.35">
      <c r="A277" s="16">
        <v>2011</v>
      </c>
      <c r="B277" s="16" t="s">
        <v>201</v>
      </c>
      <c r="C277" t="str">
        <f t="shared" si="4"/>
        <v>2011Kisvárdai járás</v>
      </c>
      <c r="D277" s="16">
        <v>34248</v>
      </c>
    </row>
    <row r="278" spans="1:4" x14ac:dyDescent="0.35">
      <c r="A278" s="16">
        <v>2011</v>
      </c>
      <c r="B278" s="16" t="s">
        <v>203</v>
      </c>
      <c r="C278" t="str">
        <f t="shared" si="4"/>
        <v>2011Komáromi járás</v>
      </c>
      <c r="D278" s="16">
        <v>24578</v>
      </c>
    </row>
    <row r="279" spans="1:4" x14ac:dyDescent="0.35">
      <c r="A279" s="16">
        <v>2011</v>
      </c>
      <c r="B279" s="16" t="s">
        <v>205</v>
      </c>
      <c r="C279" t="str">
        <f t="shared" si="4"/>
        <v>2011Komlói járás</v>
      </c>
      <c r="D279" s="16">
        <v>21542</v>
      </c>
    </row>
    <row r="280" spans="1:4" x14ac:dyDescent="0.35">
      <c r="A280" s="16">
        <v>2011</v>
      </c>
      <c r="B280" s="16" t="s">
        <v>207</v>
      </c>
      <c r="C280" t="str">
        <f t="shared" si="4"/>
        <v>2011Körmendi járás</v>
      </c>
      <c r="D280" s="16">
        <v>16801</v>
      </c>
    </row>
    <row r="281" spans="1:4" x14ac:dyDescent="0.35">
      <c r="A281" s="16">
        <v>2011</v>
      </c>
      <c r="B281" s="16" t="s">
        <v>209</v>
      </c>
      <c r="C281" t="str">
        <f t="shared" si="4"/>
        <v>2011Kőszegi járás</v>
      </c>
      <c r="D281" s="16">
        <v>15367</v>
      </c>
    </row>
    <row r="282" spans="1:4" x14ac:dyDescent="0.35">
      <c r="A282" s="16">
        <v>2011</v>
      </c>
      <c r="B282" s="16" t="s">
        <v>211</v>
      </c>
      <c r="C282" t="str">
        <f t="shared" si="4"/>
        <v>2011Kunhegyesi járás</v>
      </c>
      <c r="D282" s="16">
        <v>11611</v>
      </c>
    </row>
    <row r="283" spans="1:4" x14ac:dyDescent="0.35">
      <c r="A283" s="16">
        <v>2011</v>
      </c>
      <c r="B283" s="16" t="s">
        <v>213</v>
      </c>
      <c r="C283" t="str">
        <f t="shared" si="4"/>
        <v>2011Kunszentmártoni járás</v>
      </c>
      <c r="D283" s="16">
        <v>21092</v>
      </c>
    </row>
    <row r="284" spans="1:4" x14ac:dyDescent="0.35">
      <c r="A284" s="16">
        <v>2011</v>
      </c>
      <c r="B284" s="16" t="s">
        <v>215</v>
      </c>
      <c r="C284" t="str">
        <f t="shared" si="4"/>
        <v>2011Kunszentmiklósi járás</v>
      </c>
      <c r="D284" s="16">
        <v>17899</v>
      </c>
    </row>
    <row r="285" spans="1:4" x14ac:dyDescent="0.35">
      <c r="A285" s="16">
        <v>2011</v>
      </c>
      <c r="B285" s="16" t="s">
        <v>217</v>
      </c>
      <c r="C285" t="str">
        <f t="shared" si="4"/>
        <v>2011Lenti járás</v>
      </c>
      <c r="D285" s="16">
        <v>11861</v>
      </c>
    </row>
    <row r="286" spans="1:4" x14ac:dyDescent="0.35">
      <c r="A286" s="16">
        <v>2011</v>
      </c>
      <c r="B286" s="16" t="s">
        <v>219</v>
      </c>
      <c r="C286" t="str">
        <f t="shared" si="4"/>
        <v>2011Letenyei járás</v>
      </c>
      <c r="D286" s="16">
        <v>9823</v>
      </c>
    </row>
    <row r="287" spans="1:4" x14ac:dyDescent="0.35">
      <c r="A287" s="16">
        <v>2011</v>
      </c>
      <c r="B287" s="16" t="s">
        <v>221</v>
      </c>
      <c r="C287" t="str">
        <f t="shared" si="4"/>
        <v>2011Makói járás</v>
      </c>
      <c r="D287" s="16">
        <v>26558</v>
      </c>
    </row>
    <row r="288" spans="1:4" x14ac:dyDescent="0.35">
      <c r="A288" s="16">
        <v>2011</v>
      </c>
      <c r="B288" s="16" t="s">
        <v>223</v>
      </c>
      <c r="C288" t="str">
        <f t="shared" si="4"/>
        <v>2011Marcali járás</v>
      </c>
      <c r="D288" s="16">
        <v>20514</v>
      </c>
    </row>
    <row r="289" spans="1:4" x14ac:dyDescent="0.35">
      <c r="A289" s="16">
        <v>2011</v>
      </c>
      <c r="B289" s="16" t="s">
        <v>225</v>
      </c>
      <c r="C289" t="str">
        <f t="shared" si="4"/>
        <v>2011Martonvásári járás</v>
      </c>
      <c r="D289" s="16">
        <v>17570</v>
      </c>
    </row>
    <row r="290" spans="1:4" x14ac:dyDescent="0.35">
      <c r="A290" s="16">
        <v>2011</v>
      </c>
      <c r="B290" s="16" t="s">
        <v>227</v>
      </c>
      <c r="C290" t="str">
        <f t="shared" si="4"/>
        <v>2011Mátészalkai járás</v>
      </c>
      <c r="D290" s="16">
        <v>38953</v>
      </c>
    </row>
    <row r="291" spans="1:4" x14ac:dyDescent="0.35">
      <c r="A291" s="16">
        <v>2011</v>
      </c>
      <c r="B291" s="16" t="s">
        <v>229</v>
      </c>
      <c r="C291" t="str">
        <f t="shared" si="4"/>
        <v>2011Mezőcsáti járás</v>
      </c>
      <c r="D291" s="16">
        <v>8610</v>
      </c>
    </row>
    <row r="292" spans="1:4" x14ac:dyDescent="0.35">
      <c r="A292" s="16">
        <v>2011</v>
      </c>
      <c r="B292" s="16" t="s">
        <v>231</v>
      </c>
      <c r="C292" t="str">
        <f t="shared" si="4"/>
        <v>2011Mezőkovácsházai járás</v>
      </c>
      <c r="D292" s="16">
        <v>23795</v>
      </c>
    </row>
    <row r="293" spans="1:4" x14ac:dyDescent="0.35">
      <c r="A293" s="16">
        <v>2011</v>
      </c>
      <c r="B293" s="16" t="s">
        <v>233</v>
      </c>
      <c r="C293" t="str">
        <f t="shared" si="4"/>
        <v>2011Mezőkövesdi járás</v>
      </c>
      <c r="D293" s="16">
        <v>24905</v>
      </c>
    </row>
    <row r="294" spans="1:4" x14ac:dyDescent="0.35">
      <c r="A294" s="16">
        <v>2011</v>
      </c>
      <c r="B294" s="16" t="s">
        <v>235</v>
      </c>
      <c r="C294" t="str">
        <f t="shared" si="4"/>
        <v>2011Mezőtúri járás</v>
      </c>
      <c r="D294" s="16">
        <v>16668</v>
      </c>
    </row>
    <row r="295" spans="1:4" x14ac:dyDescent="0.35">
      <c r="A295" s="16">
        <v>2011</v>
      </c>
      <c r="B295" s="16" t="s">
        <v>237</v>
      </c>
      <c r="C295" t="str">
        <f t="shared" si="4"/>
        <v>2011Miskolci járás</v>
      </c>
      <c r="D295" s="16">
        <v>152278</v>
      </c>
    </row>
    <row r="296" spans="1:4" x14ac:dyDescent="0.35">
      <c r="A296" s="16">
        <v>2011</v>
      </c>
      <c r="B296" s="16" t="s">
        <v>239</v>
      </c>
      <c r="C296" t="str">
        <f t="shared" si="4"/>
        <v>2011Mohácsi járás</v>
      </c>
      <c r="D296" s="16">
        <v>21137</v>
      </c>
    </row>
    <row r="297" spans="1:4" x14ac:dyDescent="0.35">
      <c r="A297" s="16">
        <v>2011</v>
      </c>
      <c r="B297" s="16" t="s">
        <v>241</v>
      </c>
      <c r="C297" t="str">
        <f t="shared" si="4"/>
        <v>2011Monori járás</v>
      </c>
      <c r="D297" s="16">
        <v>40650</v>
      </c>
    </row>
    <row r="298" spans="1:4" x14ac:dyDescent="0.35">
      <c r="A298" s="16">
        <v>2011</v>
      </c>
      <c r="B298" s="16" t="s">
        <v>243</v>
      </c>
      <c r="C298" t="str">
        <f t="shared" si="4"/>
        <v>2011Mórahalmi járás</v>
      </c>
      <c r="D298" s="16">
        <v>17279</v>
      </c>
    </row>
    <row r="299" spans="1:4" x14ac:dyDescent="0.35">
      <c r="A299" s="16">
        <v>2011</v>
      </c>
      <c r="B299" s="16" t="s">
        <v>245</v>
      </c>
      <c r="C299" t="str">
        <f t="shared" si="4"/>
        <v>2011Móri járás</v>
      </c>
      <c r="D299" s="16">
        <v>21745</v>
      </c>
    </row>
    <row r="300" spans="1:4" x14ac:dyDescent="0.35">
      <c r="A300" s="16">
        <v>2011</v>
      </c>
      <c r="B300" s="16" t="s">
        <v>247</v>
      </c>
      <c r="C300" t="str">
        <f t="shared" si="4"/>
        <v>2011Mosonmagyaróvári járás</v>
      </c>
      <c r="D300" s="16">
        <v>45791</v>
      </c>
    </row>
    <row r="301" spans="1:4" x14ac:dyDescent="0.35">
      <c r="A301" s="16">
        <v>2011</v>
      </c>
      <c r="B301" s="16" t="s">
        <v>249</v>
      </c>
      <c r="C301" t="str">
        <f t="shared" si="4"/>
        <v>2011Nagyatádi járás</v>
      </c>
      <c r="D301" s="16">
        <v>15772</v>
      </c>
    </row>
    <row r="302" spans="1:4" x14ac:dyDescent="0.35">
      <c r="A302" s="16">
        <v>2011</v>
      </c>
      <c r="B302" s="16" t="s">
        <v>251</v>
      </c>
      <c r="C302" t="str">
        <f t="shared" si="4"/>
        <v>2011Nagykállói járás</v>
      </c>
      <c r="D302" s="16">
        <v>18594</v>
      </c>
    </row>
    <row r="303" spans="1:4" x14ac:dyDescent="0.35">
      <c r="A303" s="16">
        <v>2011</v>
      </c>
      <c r="B303" s="16" t="s">
        <v>253</v>
      </c>
      <c r="C303" t="str">
        <f t="shared" si="4"/>
        <v>2011Nagykanizsai járás</v>
      </c>
      <c r="D303" s="16">
        <v>48119</v>
      </c>
    </row>
    <row r="304" spans="1:4" x14ac:dyDescent="0.35">
      <c r="A304" s="16">
        <v>2011</v>
      </c>
      <c r="B304" s="16" t="s">
        <v>255</v>
      </c>
      <c r="C304" t="str">
        <f t="shared" si="4"/>
        <v>2011Nagykátai járás</v>
      </c>
      <c r="D304" s="16">
        <v>43577</v>
      </c>
    </row>
    <row r="305" spans="1:4" x14ac:dyDescent="0.35">
      <c r="A305" s="16">
        <v>2011</v>
      </c>
      <c r="B305" s="16" t="s">
        <v>257</v>
      </c>
      <c r="C305" t="str">
        <f t="shared" si="4"/>
        <v>2011Nagykőrösi járás</v>
      </c>
      <c r="D305" s="16">
        <v>16523</v>
      </c>
    </row>
    <row r="306" spans="1:4" x14ac:dyDescent="0.35">
      <c r="A306" s="16">
        <v>2011</v>
      </c>
      <c r="B306" s="16" t="s">
        <v>259</v>
      </c>
      <c r="C306" t="str">
        <f t="shared" si="4"/>
        <v>2011Nyíradonyi járás</v>
      </c>
      <c r="D306" s="16">
        <v>17748</v>
      </c>
    </row>
    <row r="307" spans="1:4" x14ac:dyDescent="0.35">
      <c r="A307" s="16">
        <v>2011</v>
      </c>
      <c r="B307" s="16" t="s">
        <v>261</v>
      </c>
      <c r="C307" t="str">
        <f t="shared" si="4"/>
        <v>2011Nyírbátori járás</v>
      </c>
      <c r="D307" s="16">
        <v>26123</v>
      </c>
    </row>
    <row r="308" spans="1:4" x14ac:dyDescent="0.35">
      <c r="A308" s="16">
        <v>2011</v>
      </c>
      <c r="B308" s="16" t="s">
        <v>263</v>
      </c>
      <c r="C308" t="str">
        <f t="shared" si="4"/>
        <v>2011Nyíregyházi járás</v>
      </c>
      <c r="D308" s="16">
        <v>105671</v>
      </c>
    </row>
    <row r="309" spans="1:4" x14ac:dyDescent="0.35">
      <c r="A309" s="16">
        <v>2011</v>
      </c>
      <c r="B309" s="16" t="s">
        <v>265</v>
      </c>
      <c r="C309" t="str">
        <f t="shared" si="4"/>
        <v>2011Orosházi járás</v>
      </c>
      <c r="D309" s="16">
        <v>30320</v>
      </c>
    </row>
    <row r="310" spans="1:4" x14ac:dyDescent="0.35">
      <c r="A310" s="16">
        <v>2011</v>
      </c>
      <c r="B310" s="16" t="s">
        <v>267</v>
      </c>
      <c r="C310" t="str">
        <f t="shared" si="4"/>
        <v>2011Oroszlányi járás</v>
      </c>
      <c r="D310" s="16">
        <v>16116</v>
      </c>
    </row>
    <row r="311" spans="1:4" x14ac:dyDescent="0.35">
      <c r="A311" s="16">
        <v>2011</v>
      </c>
      <c r="B311" s="16" t="s">
        <v>269</v>
      </c>
      <c r="C311" t="str">
        <f t="shared" si="4"/>
        <v>2011Ózdi járás</v>
      </c>
      <c r="D311" s="16">
        <v>30825</v>
      </c>
    </row>
    <row r="312" spans="1:4" x14ac:dyDescent="0.35">
      <c r="A312" s="16">
        <v>2011</v>
      </c>
      <c r="B312" s="16" t="s">
        <v>271</v>
      </c>
      <c r="C312" t="str">
        <f t="shared" si="4"/>
        <v>2011Paksi járás</v>
      </c>
      <c r="D312" s="16">
        <v>30682</v>
      </c>
    </row>
    <row r="313" spans="1:4" x14ac:dyDescent="0.35">
      <c r="A313" s="16">
        <v>2011</v>
      </c>
      <c r="B313" s="16" t="s">
        <v>273</v>
      </c>
      <c r="C313" t="str">
        <f t="shared" si="4"/>
        <v>2011Pannonhalmi járás</v>
      </c>
      <c r="D313" s="16">
        <v>9173</v>
      </c>
    </row>
    <row r="314" spans="1:4" x14ac:dyDescent="0.35">
      <c r="A314" s="16">
        <v>2011</v>
      </c>
      <c r="B314" s="16" t="s">
        <v>275</v>
      </c>
      <c r="C314" t="str">
        <f t="shared" si="4"/>
        <v>2011Pápai járás</v>
      </c>
      <c r="D314" s="16">
        <v>35767</v>
      </c>
    </row>
    <row r="315" spans="1:4" x14ac:dyDescent="0.35">
      <c r="A315" s="16">
        <v>2011</v>
      </c>
      <c r="B315" s="16" t="s">
        <v>277</v>
      </c>
      <c r="C315" t="str">
        <f t="shared" si="4"/>
        <v>2011Pásztói járás</v>
      </c>
      <c r="D315" s="16">
        <v>18851</v>
      </c>
    </row>
    <row r="316" spans="1:4" x14ac:dyDescent="0.35">
      <c r="A316" s="16">
        <v>2011</v>
      </c>
      <c r="B316" s="16" t="s">
        <v>279</v>
      </c>
      <c r="C316" t="str">
        <f t="shared" si="4"/>
        <v>2011Pécsi járás</v>
      </c>
      <c r="D316" s="16">
        <v>116451</v>
      </c>
    </row>
    <row r="317" spans="1:4" x14ac:dyDescent="0.35">
      <c r="A317" s="16">
        <v>2011</v>
      </c>
      <c r="B317" s="16" t="s">
        <v>281</v>
      </c>
      <c r="C317" t="str">
        <f t="shared" si="4"/>
        <v>2011Pécsváradi járás</v>
      </c>
      <c r="D317" s="16">
        <v>7166</v>
      </c>
    </row>
    <row r="318" spans="1:4" x14ac:dyDescent="0.35">
      <c r="A318" s="16">
        <v>2011</v>
      </c>
      <c r="B318" s="16" t="s">
        <v>283</v>
      </c>
      <c r="C318" t="str">
        <f t="shared" si="4"/>
        <v>2011Pétervásárai járás</v>
      </c>
      <c r="D318" s="16">
        <v>11990</v>
      </c>
    </row>
    <row r="319" spans="1:4" x14ac:dyDescent="0.35">
      <c r="A319" s="16">
        <v>2011</v>
      </c>
      <c r="B319" s="16" t="s">
        <v>285</v>
      </c>
      <c r="C319" t="str">
        <f t="shared" si="4"/>
        <v>2011Pilisvörösvári járás</v>
      </c>
      <c r="D319" s="16">
        <v>31948</v>
      </c>
    </row>
    <row r="320" spans="1:4" x14ac:dyDescent="0.35">
      <c r="A320" s="16">
        <v>2011</v>
      </c>
      <c r="B320" s="16" t="s">
        <v>287</v>
      </c>
      <c r="C320" t="str">
        <f t="shared" si="4"/>
        <v>2011Putnoki járás</v>
      </c>
      <c r="D320" s="16">
        <v>11432</v>
      </c>
    </row>
    <row r="321" spans="1:4" x14ac:dyDescent="0.35">
      <c r="A321" s="16">
        <v>2011</v>
      </c>
      <c r="B321" s="16" t="s">
        <v>289</v>
      </c>
      <c r="C321" t="str">
        <f t="shared" si="4"/>
        <v>2011Püspökladányi járás</v>
      </c>
      <c r="D321" s="16">
        <v>24363</v>
      </c>
    </row>
    <row r="322" spans="1:4" x14ac:dyDescent="0.35">
      <c r="A322" s="16">
        <v>2011</v>
      </c>
      <c r="B322" s="16" t="s">
        <v>291</v>
      </c>
      <c r="C322" t="str">
        <f t="shared" si="4"/>
        <v>2011Ráckevei járás</v>
      </c>
      <c r="D322" s="16">
        <v>21184</v>
      </c>
    </row>
    <row r="323" spans="1:4" x14ac:dyDescent="0.35">
      <c r="A323" s="16">
        <v>2011</v>
      </c>
      <c r="B323" s="16" t="s">
        <v>293</v>
      </c>
      <c r="C323" t="str">
        <f t="shared" ref="C323:C386" si="5">A323&amp;B323</f>
        <v>2011Rétsági járás</v>
      </c>
      <c r="D323" s="16">
        <v>14975</v>
      </c>
    </row>
    <row r="324" spans="1:4" x14ac:dyDescent="0.35">
      <c r="A324" s="16">
        <v>2011</v>
      </c>
      <c r="B324" s="16" t="s">
        <v>295</v>
      </c>
      <c r="C324" t="str">
        <f t="shared" si="5"/>
        <v>2011Salgótarjáni járás</v>
      </c>
      <c r="D324" s="16">
        <v>37826</v>
      </c>
    </row>
    <row r="325" spans="1:4" x14ac:dyDescent="0.35">
      <c r="A325" s="16">
        <v>2011</v>
      </c>
      <c r="B325" s="16" t="s">
        <v>297</v>
      </c>
      <c r="C325" t="str">
        <f t="shared" si="5"/>
        <v>2011Sárbogárdi járás</v>
      </c>
      <c r="D325" s="16">
        <v>17236</v>
      </c>
    </row>
    <row r="326" spans="1:4" x14ac:dyDescent="0.35">
      <c r="A326" s="16">
        <v>2011</v>
      </c>
      <c r="B326" s="16" t="s">
        <v>299</v>
      </c>
      <c r="C326" t="str">
        <f t="shared" si="5"/>
        <v>2011Sarkadi járás</v>
      </c>
      <c r="D326" s="16">
        <v>13453</v>
      </c>
    </row>
    <row r="327" spans="1:4" x14ac:dyDescent="0.35">
      <c r="A327" s="16">
        <v>2011</v>
      </c>
      <c r="B327" s="16" t="s">
        <v>301</v>
      </c>
      <c r="C327" t="str">
        <f t="shared" si="5"/>
        <v>2011Sárospataki járás</v>
      </c>
      <c r="D327" s="16">
        <v>14791</v>
      </c>
    </row>
    <row r="328" spans="1:4" x14ac:dyDescent="0.35">
      <c r="A328" s="16">
        <v>2011</v>
      </c>
      <c r="B328" s="16" t="s">
        <v>303</v>
      </c>
      <c r="C328" t="str">
        <f t="shared" si="5"/>
        <v>2011Sárvári járás</v>
      </c>
      <c r="D328" s="16">
        <v>24025</v>
      </c>
    </row>
    <row r="329" spans="1:4" x14ac:dyDescent="0.35">
      <c r="A329" s="16">
        <v>2011</v>
      </c>
      <c r="B329" s="16" t="s">
        <v>305</v>
      </c>
      <c r="C329" t="str">
        <f t="shared" si="5"/>
        <v>2011Sátoraljaújhelyi járás</v>
      </c>
      <c r="D329" s="16">
        <v>13925</v>
      </c>
    </row>
    <row r="330" spans="1:4" x14ac:dyDescent="0.35">
      <c r="A330" s="16">
        <v>2011</v>
      </c>
      <c r="B330" s="16" t="s">
        <v>307</v>
      </c>
      <c r="C330" t="str">
        <f t="shared" si="5"/>
        <v>2011Sellyei járás</v>
      </c>
      <c r="D330" s="16">
        <v>8592</v>
      </c>
    </row>
    <row r="331" spans="1:4" x14ac:dyDescent="0.35">
      <c r="A331" s="16">
        <v>2011</v>
      </c>
      <c r="B331" s="16" t="s">
        <v>309</v>
      </c>
      <c r="C331" t="str">
        <f t="shared" si="5"/>
        <v>2011Siklósi járás</v>
      </c>
      <c r="D331" s="16">
        <v>21831</v>
      </c>
    </row>
    <row r="332" spans="1:4" x14ac:dyDescent="0.35">
      <c r="A332" s="16">
        <v>2011</v>
      </c>
      <c r="B332" s="16" t="s">
        <v>311</v>
      </c>
      <c r="C332" t="str">
        <f t="shared" si="5"/>
        <v>2011Siófoki járás</v>
      </c>
      <c r="D332" s="16">
        <v>30798</v>
      </c>
    </row>
    <row r="333" spans="1:4" x14ac:dyDescent="0.35">
      <c r="A333" s="16">
        <v>2011</v>
      </c>
      <c r="B333" s="16" t="s">
        <v>313</v>
      </c>
      <c r="C333" t="str">
        <f t="shared" si="5"/>
        <v>2011Soproni járás</v>
      </c>
      <c r="D333" s="16">
        <v>60755</v>
      </c>
    </row>
    <row r="334" spans="1:4" x14ac:dyDescent="0.35">
      <c r="A334" s="16">
        <v>2011</v>
      </c>
      <c r="B334" s="16" t="s">
        <v>315</v>
      </c>
      <c r="C334" t="str">
        <f t="shared" si="5"/>
        <v>2011Sümegi járás</v>
      </c>
      <c r="D334" s="16">
        <v>9414</v>
      </c>
    </row>
    <row r="335" spans="1:4" x14ac:dyDescent="0.35">
      <c r="A335" s="16">
        <v>2011</v>
      </c>
      <c r="B335" s="16" t="s">
        <v>317</v>
      </c>
      <c r="C335" t="str">
        <f t="shared" si="5"/>
        <v>2011Szarvasi járás</v>
      </c>
      <c r="D335" s="16">
        <v>16962</v>
      </c>
    </row>
    <row r="336" spans="1:4" x14ac:dyDescent="0.35">
      <c r="A336" s="16">
        <v>2011</v>
      </c>
      <c r="B336" s="16" t="s">
        <v>319</v>
      </c>
      <c r="C336" t="str">
        <f t="shared" si="5"/>
        <v>2011Szécsényi járás</v>
      </c>
      <c r="D336" s="16">
        <v>11538</v>
      </c>
    </row>
    <row r="337" spans="1:4" x14ac:dyDescent="0.35">
      <c r="A337" s="16">
        <v>2011</v>
      </c>
      <c r="B337" s="16" t="s">
        <v>321</v>
      </c>
      <c r="C337" t="str">
        <f t="shared" si="5"/>
        <v>2011Szegedi járás</v>
      </c>
      <c r="D337" s="16">
        <v>128064</v>
      </c>
    </row>
    <row r="338" spans="1:4" x14ac:dyDescent="0.35">
      <c r="A338" s="16">
        <v>2011</v>
      </c>
      <c r="B338" s="16" t="s">
        <v>323</v>
      </c>
      <c r="C338" t="str">
        <f t="shared" si="5"/>
        <v>2011Szeghalmi járás</v>
      </c>
      <c r="D338" s="16">
        <v>17928</v>
      </c>
    </row>
    <row r="339" spans="1:4" x14ac:dyDescent="0.35">
      <c r="A339" s="16">
        <v>2011</v>
      </c>
      <c r="B339" s="16" t="s">
        <v>325</v>
      </c>
      <c r="C339" t="str">
        <f t="shared" si="5"/>
        <v>2011Székesfehérvári járás</v>
      </c>
      <c r="D339" s="16">
        <v>97314</v>
      </c>
    </row>
    <row r="340" spans="1:4" x14ac:dyDescent="0.35">
      <c r="A340" s="16">
        <v>2011</v>
      </c>
      <c r="B340" s="16" t="s">
        <v>327</v>
      </c>
      <c r="C340" t="str">
        <f t="shared" si="5"/>
        <v>2011Szekszárdi járás</v>
      </c>
      <c r="D340" s="16">
        <v>36646</v>
      </c>
    </row>
    <row r="341" spans="1:4" x14ac:dyDescent="0.35">
      <c r="A341" s="16">
        <v>2011</v>
      </c>
      <c r="B341" s="16" t="s">
        <v>329</v>
      </c>
      <c r="C341" t="str">
        <f t="shared" si="5"/>
        <v>2011Szentendrei járás</v>
      </c>
      <c r="D341" s="16">
        <v>46896</v>
      </c>
    </row>
    <row r="342" spans="1:4" x14ac:dyDescent="0.35">
      <c r="A342" s="16">
        <v>2011</v>
      </c>
      <c r="B342" s="16" t="s">
        <v>331</v>
      </c>
      <c r="C342" t="str">
        <f t="shared" si="5"/>
        <v>2011Szentesi járás</v>
      </c>
      <c r="D342" s="16">
        <v>24438</v>
      </c>
    </row>
    <row r="343" spans="1:4" x14ac:dyDescent="0.35">
      <c r="A343" s="16">
        <v>2011</v>
      </c>
      <c r="B343" s="16" t="s">
        <v>333</v>
      </c>
      <c r="C343" t="str">
        <f t="shared" si="5"/>
        <v>2011Szentgotthárdi járás</v>
      </c>
      <c r="D343" s="16">
        <v>9265</v>
      </c>
    </row>
    <row r="344" spans="1:4" x14ac:dyDescent="0.35">
      <c r="A344" s="16">
        <v>2011</v>
      </c>
      <c r="B344" s="16" t="s">
        <v>335</v>
      </c>
      <c r="C344" t="str">
        <f t="shared" si="5"/>
        <v>2011Szentlőrinci járás</v>
      </c>
      <c r="D344" s="16">
        <v>9437</v>
      </c>
    </row>
    <row r="345" spans="1:4" x14ac:dyDescent="0.35">
      <c r="A345" s="16">
        <v>2011</v>
      </c>
      <c r="B345" s="16" t="s">
        <v>337</v>
      </c>
      <c r="C345" t="str">
        <f t="shared" si="5"/>
        <v>2011Szerencsi járás</v>
      </c>
      <c r="D345" s="16">
        <v>23790</v>
      </c>
    </row>
    <row r="346" spans="1:4" x14ac:dyDescent="0.35">
      <c r="A346" s="16">
        <v>2011</v>
      </c>
      <c r="B346" s="16" t="s">
        <v>339</v>
      </c>
      <c r="C346" t="str">
        <f t="shared" si="5"/>
        <v>2011Szigetszentmiklósi járás</v>
      </c>
      <c r="D346" s="16">
        <v>68542</v>
      </c>
    </row>
    <row r="347" spans="1:4" x14ac:dyDescent="0.35">
      <c r="A347" s="16">
        <v>2011</v>
      </c>
      <c r="B347" s="16" t="s">
        <v>341</v>
      </c>
      <c r="C347" t="str">
        <f t="shared" si="5"/>
        <v>2011Szigetvári járás</v>
      </c>
      <c r="D347" s="16">
        <v>15654</v>
      </c>
    </row>
    <row r="348" spans="1:4" x14ac:dyDescent="0.35">
      <c r="A348" s="16">
        <v>2011</v>
      </c>
      <c r="B348" s="16" t="s">
        <v>343</v>
      </c>
      <c r="C348" t="str">
        <f t="shared" si="5"/>
        <v>2011Szikszói járás</v>
      </c>
      <c r="D348" s="16">
        <v>10121</v>
      </c>
    </row>
    <row r="349" spans="1:4" x14ac:dyDescent="0.35">
      <c r="A349" s="16">
        <v>2011</v>
      </c>
      <c r="B349" s="16" t="s">
        <v>345</v>
      </c>
      <c r="C349" t="str">
        <f t="shared" si="5"/>
        <v>2011Szobi járás</v>
      </c>
      <c r="D349" s="16">
        <v>14892</v>
      </c>
    </row>
    <row r="350" spans="1:4" x14ac:dyDescent="0.35">
      <c r="A350" s="16">
        <v>2011</v>
      </c>
      <c r="B350" s="16" t="s">
        <v>347</v>
      </c>
      <c r="C350" t="str">
        <f t="shared" si="5"/>
        <v>2011Szolnoki járás</v>
      </c>
      <c r="D350" s="16">
        <v>71832</v>
      </c>
    </row>
    <row r="351" spans="1:4" x14ac:dyDescent="0.35">
      <c r="A351" s="16">
        <v>2011</v>
      </c>
      <c r="B351" s="16" t="s">
        <v>349</v>
      </c>
      <c r="C351" t="str">
        <f t="shared" si="5"/>
        <v>2011Szombathelyi járás</v>
      </c>
      <c r="D351" s="16">
        <v>69574</v>
      </c>
    </row>
    <row r="352" spans="1:4" x14ac:dyDescent="0.35">
      <c r="A352" s="16">
        <v>2011</v>
      </c>
      <c r="B352" s="16" t="s">
        <v>351</v>
      </c>
      <c r="C352" t="str">
        <f t="shared" si="5"/>
        <v>2011Tabi járás</v>
      </c>
      <c r="D352" s="16">
        <v>7601</v>
      </c>
    </row>
    <row r="353" spans="1:4" x14ac:dyDescent="0.35">
      <c r="A353" s="16">
        <v>2011</v>
      </c>
      <c r="B353" s="16" t="s">
        <v>353</v>
      </c>
      <c r="C353" t="str">
        <f t="shared" si="5"/>
        <v>2011Tamási járás</v>
      </c>
      <c r="D353" s="16">
        <v>22860</v>
      </c>
    </row>
    <row r="354" spans="1:4" x14ac:dyDescent="0.35">
      <c r="A354" s="16">
        <v>2011</v>
      </c>
      <c r="B354" s="16" t="s">
        <v>355</v>
      </c>
      <c r="C354" t="str">
        <f t="shared" si="5"/>
        <v>2011Tapolcai járás</v>
      </c>
      <c r="D354" s="16">
        <v>20905</v>
      </c>
    </row>
    <row r="355" spans="1:4" x14ac:dyDescent="0.35">
      <c r="A355" s="16">
        <v>2011</v>
      </c>
      <c r="B355" s="16" t="s">
        <v>357</v>
      </c>
      <c r="C355" t="str">
        <f t="shared" si="5"/>
        <v>2011Tatabányai járás</v>
      </c>
      <c r="D355" s="16">
        <v>53157</v>
      </c>
    </row>
    <row r="356" spans="1:4" x14ac:dyDescent="0.35">
      <c r="A356" s="16">
        <v>2011</v>
      </c>
      <c r="B356" s="16" t="s">
        <v>359</v>
      </c>
      <c r="C356" t="str">
        <f t="shared" si="5"/>
        <v>2011Tatai járás</v>
      </c>
      <c r="D356" s="16">
        <v>24070</v>
      </c>
    </row>
    <row r="357" spans="1:4" x14ac:dyDescent="0.35">
      <c r="A357" s="16">
        <v>2011</v>
      </c>
      <c r="B357" s="16" t="s">
        <v>361</v>
      </c>
      <c r="C357" t="str">
        <f t="shared" si="5"/>
        <v>2011Téti járás</v>
      </c>
      <c r="D357" s="16">
        <v>9018</v>
      </c>
    </row>
    <row r="358" spans="1:4" x14ac:dyDescent="0.35">
      <c r="A358" s="16">
        <v>2011</v>
      </c>
      <c r="B358" s="16" t="s">
        <v>363</v>
      </c>
      <c r="C358" t="str">
        <f t="shared" si="5"/>
        <v>2011Tiszafüredi járás</v>
      </c>
      <c r="D358" s="16">
        <v>11720</v>
      </c>
    </row>
    <row r="359" spans="1:4" x14ac:dyDescent="0.35">
      <c r="A359" s="16">
        <v>2011</v>
      </c>
      <c r="B359" s="16" t="s">
        <v>365</v>
      </c>
      <c r="C359" t="str">
        <f t="shared" si="5"/>
        <v>2011Tiszakécskei járás</v>
      </c>
      <c r="D359" s="16">
        <v>13851</v>
      </c>
    </row>
    <row r="360" spans="1:4" x14ac:dyDescent="0.35">
      <c r="A360" s="16">
        <v>2011</v>
      </c>
      <c r="B360" s="16" t="s">
        <v>367</v>
      </c>
      <c r="C360" t="str">
        <f t="shared" si="5"/>
        <v>2011Tiszaújvárosi járás</v>
      </c>
      <c r="D360" s="16">
        <v>19726</v>
      </c>
    </row>
    <row r="361" spans="1:4" x14ac:dyDescent="0.35">
      <c r="A361" s="16">
        <v>2011</v>
      </c>
      <c r="B361" s="16" t="s">
        <v>369</v>
      </c>
      <c r="C361" t="str">
        <f t="shared" si="5"/>
        <v>2011Tiszavasvári járás</v>
      </c>
      <c r="D361" s="16">
        <v>16229</v>
      </c>
    </row>
    <row r="362" spans="1:4" x14ac:dyDescent="0.35">
      <c r="A362" s="16">
        <v>2011</v>
      </c>
      <c r="B362" s="16" t="s">
        <v>371</v>
      </c>
      <c r="C362" t="str">
        <f t="shared" si="5"/>
        <v>2011Tokaji járás</v>
      </c>
      <c r="D362" s="16">
        <v>7902</v>
      </c>
    </row>
    <row r="363" spans="1:4" x14ac:dyDescent="0.35">
      <c r="A363" s="16">
        <v>2011</v>
      </c>
      <c r="B363" s="16" t="s">
        <v>373</v>
      </c>
      <c r="C363" t="str">
        <f t="shared" si="5"/>
        <v>2011Tolnai járás</v>
      </c>
      <c r="D363" s="16">
        <v>10867</v>
      </c>
    </row>
    <row r="364" spans="1:4" x14ac:dyDescent="0.35">
      <c r="A364" s="16">
        <v>2011</v>
      </c>
      <c r="B364" s="16" t="s">
        <v>375</v>
      </c>
      <c r="C364" t="str">
        <f t="shared" si="5"/>
        <v>2011Törökszentmiklósi járás</v>
      </c>
      <c r="D364" s="16">
        <v>21774</v>
      </c>
    </row>
    <row r="365" spans="1:4" x14ac:dyDescent="0.35">
      <c r="A365" s="16">
        <v>2011</v>
      </c>
      <c r="B365" s="16" t="s">
        <v>377</v>
      </c>
      <c r="C365" t="str">
        <f t="shared" si="5"/>
        <v>2011Váci járás</v>
      </c>
      <c r="D365" s="16">
        <v>41992</v>
      </c>
    </row>
    <row r="366" spans="1:4" x14ac:dyDescent="0.35">
      <c r="A366" s="16">
        <v>2011</v>
      </c>
      <c r="B366" s="16" t="s">
        <v>379</v>
      </c>
      <c r="C366" t="str">
        <f t="shared" si="5"/>
        <v>2011Várpalotai járás</v>
      </c>
      <c r="D366" s="16">
        <v>23271</v>
      </c>
    </row>
    <row r="367" spans="1:4" x14ac:dyDescent="0.35">
      <c r="A367" s="16">
        <v>2011</v>
      </c>
      <c r="B367" s="16" t="s">
        <v>381</v>
      </c>
      <c r="C367" t="str">
        <f t="shared" si="5"/>
        <v>2011Vásárosnaményi járás</v>
      </c>
      <c r="D367" s="16">
        <v>20682</v>
      </c>
    </row>
    <row r="368" spans="1:4" x14ac:dyDescent="0.35">
      <c r="A368" s="16">
        <v>2011</v>
      </c>
      <c r="B368" s="16" t="s">
        <v>383</v>
      </c>
      <c r="C368" t="str">
        <f t="shared" si="5"/>
        <v>2011Vasvári járás</v>
      </c>
      <c r="D368" s="16">
        <v>8415</v>
      </c>
    </row>
    <row r="369" spans="1:4" x14ac:dyDescent="0.35">
      <c r="A369" s="16">
        <v>2011</v>
      </c>
      <c r="B369" s="16" t="s">
        <v>385</v>
      </c>
      <c r="C369" t="str">
        <f t="shared" si="5"/>
        <v>2011Vecsési járás</v>
      </c>
      <c r="D369" s="16">
        <v>29278</v>
      </c>
    </row>
    <row r="370" spans="1:4" x14ac:dyDescent="0.35">
      <c r="A370" s="16">
        <v>2011</v>
      </c>
      <c r="B370" s="16" t="s">
        <v>387</v>
      </c>
      <c r="C370" t="str">
        <f t="shared" si="5"/>
        <v>2011Veszprémi járás</v>
      </c>
      <c r="D370" s="16">
        <v>52949</v>
      </c>
    </row>
    <row r="371" spans="1:4" x14ac:dyDescent="0.35">
      <c r="A371" s="16">
        <v>2011</v>
      </c>
      <c r="B371" s="16" t="s">
        <v>389</v>
      </c>
      <c r="C371" t="str">
        <f t="shared" si="5"/>
        <v>2011Záhonyi járás</v>
      </c>
      <c r="D371" s="16">
        <v>11585</v>
      </c>
    </row>
    <row r="372" spans="1:4" x14ac:dyDescent="0.35">
      <c r="A372" s="16">
        <v>2011</v>
      </c>
      <c r="B372" s="16" t="s">
        <v>391</v>
      </c>
      <c r="C372" t="str">
        <f t="shared" si="5"/>
        <v>2011Zalaegerszegi járás</v>
      </c>
      <c r="D372" s="16">
        <v>64010</v>
      </c>
    </row>
    <row r="373" spans="1:4" x14ac:dyDescent="0.35">
      <c r="A373" s="16">
        <v>2011</v>
      </c>
      <c r="B373" s="16" t="s">
        <v>393</v>
      </c>
      <c r="C373" t="str">
        <f t="shared" si="5"/>
        <v>2011Zalaszentgróti járás</v>
      </c>
      <c r="D373" s="16">
        <v>9396</v>
      </c>
    </row>
    <row r="374" spans="1:4" x14ac:dyDescent="0.35">
      <c r="A374" s="16">
        <v>2011</v>
      </c>
      <c r="B374" s="16" t="s">
        <v>395</v>
      </c>
      <c r="C374" t="str">
        <f t="shared" si="5"/>
        <v>2011Zirci járás</v>
      </c>
      <c r="D374" s="16">
        <v>11949</v>
      </c>
    </row>
    <row r="375" spans="1:4" x14ac:dyDescent="0.35">
      <c r="A375" s="17">
        <v>2011</v>
      </c>
      <c r="B375" s="17" t="s">
        <v>41</v>
      </c>
      <c r="C375" t="str">
        <f t="shared" si="5"/>
        <v>2011Budapest 01. ker. járás</v>
      </c>
      <c r="D375" s="17">
        <v>13972</v>
      </c>
    </row>
    <row r="376" spans="1:4" x14ac:dyDescent="0.35">
      <c r="A376" s="17">
        <v>2011</v>
      </c>
      <c r="B376" s="17" t="s">
        <v>43</v>
      </c>
      <c r="C376" t="str">
        <f t="shared" si="5"/>
        <v>2011Budapest 02. ker. járás</v>
      </c>
      <c r="D376" s="17">
        <v>48361</v>
      </c>
    </row>
    <row r="377" spans="1:4" x14ac:dyDescent="0.35">
      <c r="A377" s="17">
        <v>2011</v>
      </c>
      <c r="B377" s="17" t="s">
        <v>45</v>
      </c>
      <c r="C377" t="str">
        <f t="shared" si="5"/>
        <v>2011Budapest 03. ker. járás</v>
      </c>
      <c r="D377" s="17">
        <v>77616</v>
      </c>
    </row>
    <row r="378" spans="1:4" x14ac:dyDescent="0.35">
      <c r="A378" s="17">
        <v>2011</v>
      </c>
      <c r="B378" s="17" t="s">
        <v>47</v>
      </c>
      <c r="C378" t="str">
        <f t="shared" si="5"/>
        <v>2011Budapest 04. ker. járás</v>
      </c>
      <c r="D378" s="17">
        <v>64464</v>
      </c>
    </row>
    <row r="379" spans="1:4" x14ac:dyDescent="0.35">
      <c r="A379" s="17">
        <v>2011</v>
      </c>
      <c r="B379" s="17" t="s">
        <v>49</v>
      </c>
      <c r="C379" t="str">
        <f t="shared" si="5"/>
        <v>2011Budapest 05. ker. járás</v>
      </c>
      <c r="D379" s="17">
        <v>15453</v>
      </c>
    </row>
    <row r="380" spans="1:4" x14ac:dyDescent="0.35">
      <c r="A380" s="17">
        <v>2011</v>
      </c>
      <c r="B380" s="17" t="s">
        <v>51</v>
      </c>
      <c r="C380" t="str">
        <f t="shared" si="5"/>
        <v>2011Budapest 06. ker. járás</v>
      </c>
      <c r="D380" s="17">
        <v>26169</v>
      </c>
    </row>
    <row r="381" spans="1:4" x14ac:dyDescent="0.35">
      <c r="A381" s="17">
        <v>2011</v>
      </c>
      <c r="B381" s="17" t="s">
        <v>53</v>
      </c>
      <c r="C381" t="str">
        <f t="shared" si="5"/>
        <v>2011Budapest 07. ker. járás</v>
      </c>
      <c r="D381" s="17">
        <v>38030</v>
      </c>
    </row>
    <row r="382" spans="1:4" x14ac:dyDescent="0.35">
      <c r="A382" s="17">
        <v>2011</v>
      </c>
      <c r="B382" s="17" t="s">
        <v>55</v>
      </c>
      <c r="C382" t="str">
        <f t="shared" si="5"/>
        <v>2011Budapest 08. ker. járás</v>
      </c>
      <c r="D382" s="17">
        <v>52209</v>
      </c>
    </row>
    <row r="383" spans="1:4" x14ac:dyDescent="0.35">
      <c r="A383" s="17">
        <v>2011</v>
      </c>
      <c r="B383" s="17" t="s">
        <v>57</v>
      </c>
      <c r="C383" t="str">
        <f t="shared" si="5"/>
        <v>2011Budapest 09. ker. járás</v>
      </c>
      <c r="D383" s="17">
        <v>41950</v>
      </c>
    </row>
    <row r="384" spans="1:4" x14ac:dyDescent="0.35">
      <c r="A384" s="17">
        <v>2011</v>
      </c>
      <c r="B384" s="17" t="s">
        <v>59</v>
      </c>
      <c r="C384" t="str">
        <f t="shared" si="5"/>
        <v>2011Budapest 10. ker. járás</v>
      </c>
      <c r="D384" s="17">
        <v>52763</v>
      </c>
    </row>
    <row r="385" spans="1:4" x14ac:dyDescent="0.35">
      <c r="A385" s="17">
        <v>2011</v>
      </c>
      <c r="B385" s="17" t="s">
        <v>61</v>
      </c>
      <c r="C385" t="str">
        <f t="shared" si="5"/>
        <v>2011Budapest 11. ker. járás</v>
      </c>
      <c r="D385" s="17">
        <v>86537</v>
      </c>
    </row>
    <row r="386" spans="1:4" x14ac:dyDescent="0.35">
      <c r="A386" s="17">
        <v>2011</v>
      </c>
      <c r="B386" s="17" t="s">
        <v>63</v>
      </c>
      <c r="C386" t="str">
        <f t="shared" si="5"/>
        <v>2011Budapest 12. ker. járás</v>
      </c>
      <c r="D386" s="17">
        <v>31231</v>
      </c>
    </row>
    <row r="387" spans="1:4" x14ac:dyDescent="0.35">
      <c r="A387" s="17">
        <v>2011</v>
      </c>
      <c r="B387" s="17" t="s">
        <v>65</v>
      </c>
      <c r="C387" t="str">
        <f t="shared" ref="C387:C450" si="6">A387&amp;B387</f>
        <v>2011Budapest 13. ker. járás</v>
      </c>
      <c r="D387" s="17">
        <v>78208</v>
      </c>
    </row>
    <row r="388" spans="1:4" x14ac:dyDescent="0.35">
      <c r="A388" s="17">
        <v>2011</v>
      </c>
      <c r="B388" s="17" t="s">
        <v>67</v>
      </c>
      <c r="C388" t="str">
        <f t="shared" si="6"/>
        <v>2011Budapest 14. ker. járás</v>
      </c>
      <c r="D388" s="17">
        <v>77423</v>
      </c>
    </row>
    <row r="389" spans="1:4" x14ac:dyDescent="0.35">
      <c r="A389" s="17">
        <v>2011</v>
      </c>
      <c r="B389" s="17" t="s">
        <v>69</v>
      </c>
      <c r="C389" t="str">
        <f t="shared" si="6"/>
        <v>2011Budapest 15. ker. járás</v>
      </c>
      <c r="D389" s="17">
        <v>48911</v>
      </c>
    </row>
    <row r="390" spans="1:4" x14ac:dyDescent="0.35">
      <c r="A390" s="17">
        <v>2011</v>
      </c>
      <c r="B390" s="17" t="s">
        <v>71</v>
      </c>
      <c r="C390" t="str">
        <f t="shared" si="6"/>
        <v>2011Budapest 16. ker. járás</v>
      </c>
      <c r="D390" s="17">
        <v>42567</v>
      </c>
    </row>
    <row r="391" spans="1:4" x14ac:dyDescent="0.35">
      <c r="A391" s="17">
        <v>2011</v>
      </c>
      <c r="B391" s="17" t="s">
        <v>73</v>
      </c>
      <c r="C391" t="str">
        <f t="shared" si="6"/>
        <v>2011Budapest 17. ker. járás</v>
      </c>
      <c r="D391" s="17">
        <v>52265</v>
      </c>
    </row>
    <row r="392" spans="1:4" x14ac:dyDescent="0.35">
      <c r="A392" s="17">
        <v>2011</v>
      </c>
      <c r="B392" s="17" t="s">
        <v>75</v>
      </c>
      <c r="C392" t="str">
        <f t="shared" si="6"/>
        <v>2011Budapest 18. ker. járás</v>
      </c>
      <c r="D392" s="17">
        <v>60208</v>
      </c>
    </row>
    <row r="393" spans="1:4" x14ac:dyDescent="0.35">
      <c r="A393" s="17">
        <v>2011</v>
      </c>
      <c r="B393" s="17" t="s">
        <v>77</v>
      </c>
      <c r="C393" t="str">
        <f t="shared" si="6"/>
        <v>2011Budapest 19. ker. járás</v>
      </c>
      <c r="D393" s="17">
        <v>36569</v>
      </c>
    </row>
    <row r="394" spans="1:4" x14ac:dyDescent="0.35">
      <c r="A394" s="17">
        <v>2011</v>
      </c>
      <c r="B394" s="17" t="s">
        <v>79</v>
      </c>
      <c r="C394" t="str">
        <f t="shared" si="6"/>
        <v>2011Budapest 20. ker. járás</v>
      </c>
      <c r="D394" s="17">
        <v>39159</v>
      </c>
    </row>
    <row r="395" spans="1:4" x14ac:dyDescent="0.35">
      <c r="A395" s="17">
        <v>2011</v>
      </c>
      <c r="B395" s="17" t="s">
        <v>81</v>
      </c>
      <c r="C395" t="str">
        <f t="shared" si="6"/>
        <v>2011Budapest 21. ker. járás</v>
      </c>
      <c r="D395" s="17">
        <v>47003</v>
      </c>
    </row>
    <row r="396" spans="1:4" x14ac:dyDescent="0.35">
      <c r="A396" s="17">
        <v>2011</v>
      </c>
      <c r="B396" s="17" t="s">
        <v>83</v>
      </c>
      <c r="C396" t="str">
        <f t="shared" si="6"/>
        <v>2011Budapest 22. ker. járás</v>
      </c>
      <c r="D396" s="17">
        <v>32345</v>
      </c>
    </row>
    <row r="397" spans="1:4" x14ac:dyDescent="0.35">
      <c r="A397" s="17">
        <v>2011</v>
      </c>
      <c r="B397" s="17" t="s">
        <v>85</v>
      </c>
      <c r="C397" t="str">
        <f t="shared" si="6"/>
        <v>2011Budapest 23. ker. járás</v>
      </c>
      <c r="D397" s="17">
        <v>13263</v>
      </c>
    </row>
    <row r="398" spans="1:4" x14ac:dyDescent="0.35">
      <c r="A398" s="16">
        <v>2022</v>
      </c>
      <c r="B398" s="16" t="s">
        <v>1</v>
      </c>
      <c r="C398" t="str">
        <f t="shared" si="6"/>
        <v>2022Ajkai járás</v>
      </c>
      <c r="D398" s="16">
        <v>22842</v>
      </c>
    </row>
    <row r="399" spans="1:4" x14ac:dyDescent="0.35">
      <c r="A399" s="16">
        <v>2022</v>
      </c>
      <c r="B399" s="16" t="s">
        <v>3</v>
      </c>
      <c r="C399" t="str">
        <f t="shared" si="6"/>
        <v>2022Aszódi járás</v>
      </c>
      <c r="D399" s="16">
        <v>24391</v>
      </c>
    </row>
    <row r="400" spans="1:4" x14ac:dyDescent="0.35">
      <c r="A400" s="16">
        <v>2022</v>
      </c>
      <c r="B400" s="16" t="s">
        <v>5</v>
      </c>
      <c r="C400" t="str">
        <f t="shared" si="6"/>
        <v>2022Bácsalmási járás</v>
      </c>
      <c r="D400" s="16">
        <v>10675</v>
      </c>
    </row>
    <row r="401" spans="1:4" x14ac:dyDescent="0.35">
      <c r="A401" s="16">
        <v>2022</v>
      </c>
      <c r="B401" s="16" t="s">
        <v>7</v>
      </c>
      <c r="C401" t="str">
        <f t="shared" si="6"/>
        <v>2022Bajai járás</v>
      </c>
      <c r="D401" s="16">
        <v>37088</v>
      </c>
    </row>
    <row r="402" spans="1:4" x14ac:dyDescent="0.35">
      <c r="A402" s="16">
        <v>2022</v>
      </c>
      <c r="B402" s="16" t="s">
        <v>9</v>
      </c>
      <c r="C402" t="str">
        <f t="shared" si="6"/>
        <v>2022Baktalórántházai járás</v>
      </c>
      <c r="D402" s="16">
        <v>11459</v>
      </c>
    </row>
    <row r="403" spans="1:4" x14ac:dyDescent="0.35">
      <c r="A403" s="16">
        <v>2022</v>
      </c>
      <c r="B403" s="16" t="s">
        <v>11</v>
      </c>
      <c r="C403" t="str">
        <f t="shared" si="6"/>
        <v>2022Balassagyarmati járás</v>
      </c>
      <c r="D403" s="16">
        <v>22987</v>
      </c>
    </row>
    <row r="404" spans="1:4" x14ac:dyDescent="0.35">
      <c r="A404" s="16">
        <v>2022</v>
      </c>
      <c r="B404" s="16" t="s">
        <v>13</v>
      </c>
      <c r="C404" t="str">
        <f t="shared" si="6"/>
        <v>2022Balatonalmádi járás</v>
      </c>
      <c r="D404" s="16">
        <v>15650</v>
      </c>
    </row>
    <row r="405" spans="1:4" x14ac:dyDescent="0.35">
      <c r="A405" s="16">
        <v>2022</v>
      </c>
      <c r="B405" s="16" t="s">
        <v>15</v>
      </c>
      <c r="C405" t="str">
        <f t="shared" si="6"/>
        <v>2022Balatonfüredi járás</v>
      </c>
      <c r="D405" s="16">
        <v>14676</v>
      </c>
    </row>
    <row r="406" spans="1:4" x14ac:dyDescent="0.35">
      <c r="A406" s="16">
        <v>2022</v>
      </c>
      <c r="B406" s="16" t="s">
        <v>17</v>
      </c>
      <c r="C406" t="str">
        <f t="shared" si="6"/>
        <v>2022Balmazújvárosi járás</v>
      </c>
      <c r="D406" s="16">
        <v>18276</v>
      </c>
    </row>
    <row r="407" spans="1:4" x14ac:dyDescent="0.35">
      <c r="A407" s="16">
        <v>2022</v>
      </c>
      <c r="B407" s="16" t="s">
        <v>19</v>
      </c>
      <c r="C407" t="str">
        <f t="shared" si="6"/>
        <v>2022Barcsi járás</v>
      </c>
      <c r="D407" s="16">
        <v>13346</v>
      </c>
    </row>
    <row r="408" spans="1:4" x14ac:dyDescent="0.35">
      <c r="A408" s="16">
        <v>2022</v>
      </c>
      <c r="B408" s="16" t="s">
        <v>21</v>
      </c>
      <c r="C408" t="str">
        <f t="shared" si="6"/>
        <v>2022Bátonyterenyei járás</v>
      </c>
      <c r="D408" s="16">
        <v>11647</v>
      </c>
    </row>
    <row r="409" spans="1:4" x14ac:dyDescent="0.35">
      <c r="A409" s="16">
        <v>2022</v>
      </c>
      <c r="B409" s="16" t="s">
        <v>23</v>
      </c>
      <c r="C409" t="str">
        <f t="shared" si="6"/>
        <v>2022Békéscsabai járás</v>
      </c>
      <c r="D409" s="16">
        <v>46299</v>
      </c>
    </row>
    <row r="410" spans="1:4" x14ac:dyDescent="0.35">
      <c r="A410" s="16">
        <v>2022</v>
      </c>
      <c r="B410" s="16" t="s">
        <v>25</v>
      </c>
      <c r="C410" t="str">
        <f t="shared" si="6"/>
        <v>2022Békési járás</v>
      </c>
      <c r="D410" s="16">
        <v>20302</v>
      </c>
    </row>
    <row r="411" spans="1:4" x14ac:dyDescent="0.35">
      <c r="A411" s="16">
        <v>2022</v>
      </c>
      <c r="B411" s="16" t="s">
        <v>27</v>
      </c>
      <c r="C411" t="str">
        <f t="shared" si="6"/>
        <v>2022Bélapátfalvai járás</v>
      </c>
      <c r="D411" s="16">
        <v>4823</v>
      </c>
    </row>
    <row r="412" spans="1:4" x14ac:dyDescent="0.35">
      <c r="A412" s="16">
        <v>2022</v>
      </c>
      <c r="B412" s="16" t="s">
        <v>29</v>
      </c>
      <c r="C412" t="str">
        <f t="shared" si="6"/>
        <v>2022Berettyóújfalui járás</v>
      </c>
      <c r="D412" s="16">
        <v>25977</v>
      </c>
    </row>
    <row r="413" spans="1:4" x14ac:dyDescent="0.35">
      <c r="A413" s="16">
        <v>2022</v>
      </c>
      <c r="B413" s="16" t="s">
        <v>31</v>
      </c>
      <c r="C413" t="str">
        <f t="shared" si="6"/>
        <v>2022Bicskei járás</v>
      </c>
      <c r="D413" s="16">
        <v>23336</v>
      </c>
    </row>
    <row r="414" spans="1:4" x14ac:dyDescent="0.35">
      <c r="A414" s="16">
        <v>2022</v>
      </c>
      <c r="B414" s="16" t="s">
        <v>33</v>
      </c>
      <c r="C414" t="str">
        <f t="shared" si="6"/>
        <v>2022Bólyi járás</v>
      </c>
      <c r="D414" s="16">
        <v>6971</v>
      </c>
    </row>
    <row r="415" spans="1:4" x14ac:dyDescent="0.35">
      <c r="A415" s="16">
        <v>2022</v>
      </c>
      <c r="B415" s="16" t="s">
        <v>35</v>
      </c>
      <c r="C415" t="str">
        <f t="shared" si="6"/>
        <v>2022Bonyhádi járás</v>
      </c>
      <c r="D415" s="16">
        <v>17436</v>
      </c>
    </row>
    <row r="416" spans="1:4" x14ac:dyDescent="0.35">
      <c r="A416" s="16">
        <v>2022</v>
      </c>
      <c r="B416" s="16" t="s">
        <v>37</v>
      </c>
      <c r="C416" t="str">
        <f t="shared" si="6"/>
        <v>2022Budakeszi járás</v>
      </c>
      <c r="D416" s="16">
        <v>60464</v>
      </c>
    </row>
    <row r="417" spans="1:4" x14ac:dyDescent="0.35">
      <c r="A417" s="16">
        <v>2022</v>
      </c>
      <c r="B417" s="16" t="s">
        <v>39</v>
      </c>
      <c r="C417" t="str">
        <f t="shared" si="6"/>
        <v>2022Budapest</v>
      </c>
      <c r="D417" s="16">
        <v>1105608</v>
      </c>
    </row>
    <row r="418" spans="1:4" x14ac:dyDescent="0.35">
      <c r="A418" s="16">
        <v>2022</v>
      </c>
      <c r="B418" s="16" t="s">
        <v>87</v>
      </c>
      <c r="C418" t="str">
        <f t="shared" si="6"/>
        <v>2022Ceglédi járás</v>
      </c>
      <c r="D418" s="16">
        <v>56751</v>
      </c>
    </row>
    <row r="419" spans="1:4" x14ac:dyDescent="0.35">
      <c r="A419" s="16">
        <v>2022</v>
      </c>
      <c r="B419" s="16" t="s">
        <v>89</v>
      </c>
      <c r="C419" t="str">
        <f t="shared" si="6"/>
        <v>2022Celldömölki járás</v>
      </c>
      <c r="D419" s="16">
        <v>14545</v>
      </c>
    </row>
    <row r="420" spans="1:4" x14ac:dyDescent="0.35">
      <c r="A420" s="16">
        <v>2022</v>
      </c>
      <c r="B420" s="16" t="s">
        <v>91</v>
      </c>
      <c r="C420" t="str">
        <f t="shared" si="6"/>
        <v>2022Cigándi járás</v>
      </c>
      <c r="D420" s="16">
        <v>9273</v>
      </c>
    </row>
    <row r="421" spans="1:4" x14ac:dyDescent="0.35">
      <c r="A421" s="16">
        <v>2022</v>
      </c>
      <c r="B421" s="16" t="s">
        <v>93</v>
      </c>
      <c r="C421" t="str">
        <f t="shared" si="6"/>
        <v>2022Csengeri járás</v>
      </c>
      <c r="D421" s="16">
        <v>7733</v>
      </c>
    </row>
    <row r="422" spans="1:4" x14ac:dyDescent="0.35">
      <c r="A422" s="16">
        <v>2022</v>
      </c>
      <c r="B422" s="16" t="s">
        <v>95</v>
      </c>
      <c r="C422" t="str">
        <f t="shared" si="6"/>
        <v>2022Csongrádi járás</v>
      </c>
      <c r="D422" s="16">
        <v>12673</v>
      </c>
    </row>
    <row r="423" spans="1:4" x14ac:dyDescent="0.35">
      <c r="A423" s="16">
        <v>2022</v>
      </c>
      <c r="B423" s="16" t="s">
        <v>97</v>
      </c>
      <c r="C423" t="str">
        <f t="shared" si="6"/>
        <v>2022Csornai járás</v>
      </c>
      <c r="D423" s="16">
        <v>20285</v>
      </c>
    </row>
    <row r="424" spans="1:4" x14ac:dyDescent="0.35">
      <c r="A424" s="16">
        <v>2022</v>
      </c>
      <c r="B424" s="16" t="s">
        <v>99</v>
      </c>
      <c r="C424" t="str">
        <f t="shared" si="6"/>
        <v>2022Csurgói járás</v>
      </c>
      <c r="D424" s="16">
        <v>9616</v>
      </c>
    </row>
    <row r="425" spans="1:4" x14ac:dyDescent="0.35">
      <c r="A425" s="16">
        <v>2022</v>
      </c>
      <c r="B425" s="16" t="s">
        <v>101</v>
      </c>
      <c r="C425" t="str">
        <f t="shared" si="6"/>
        <v>2022Dabasi járás</v>
      </c>
      <c r="D425" s="16">
        <v>32697</v>
      </c>
    </row>
    <row r="426" spans="1:4" x14ac:dyDescent="0.35">
      <c r="A426" s="16">
        <v>2022</v>
      </c>
      <c r="B426" s="16" t="s">
        <v>103</v>
      </c>
      <c r="C426" t="str">
        <f t="shared" si="6"/>
        <v>2022Debreceni járás</v>
      </c>
      <c r="D426" s="16">
        <v>140445</v>
      </c>
    </row>
    <row r="427" spans="1:4" x14ac:dyDescent="0.35">
      <c r="A427" s="16">
        <v>2022</v>
      </c>
      <c r="B427" s="16" t="s">
        <v>105</v>
      </c>
      <c r="C427" t="str">
        <f t="shared" si="6"/>
        <v>2022Derecskei járás</v>
      </c>
      <c r="D427" s="16">
        <v>25834</v>
      </c>
    </row>
    <row r="428" spans="1:4" x14ac:dyDescent="0.35">
      <c r="A428" s="16">
        <v>2022</v>
      </c>
      <c r="B428" s="16" t="s">
        <v>107</v>
      </c>
      <c r="C428" t="str">
        <f t="shared" si="6"/>
        <v>2022Devecseri járás</v>
      </c>
      <c r="D428" s="16">
        <v>9028</v>
      </c>
    </row>
    <row r="429" spans="1:4" x14ac:dyDescent="0.35">
      <c r="A429" s="16">
        <v>2022</v>
      </c>
      <c r="B429" s="16" t="s">
        <v>109</v>
      </c>
      <c r="C429" t="str">
        <f t="shared" si="6"/>
        <v>2022Dombóvári járás</v>
      </c>
      <c r="D429" s="16">
        <v>17928</v>
      </c>
    </row>
    <row r="430" spans="1:4" x14ac:dyDescent="0.35">
      <c r="A430" s="16">
        <v>2022</v>
      </c>
      <c r="B430" s="16" t="s">
        <v>111</v>
      </c>
      <c r="C430" t="str">
        <f t="shared" si="6"/>
        <v>2022Dunakeszi járás</v>
      </c>
      <c r="D430" s="16">
        <v>56890</v>
      </c>
    </row>
    <row r="431" spans="1:4" x14ac:dyDescent="0.35">
      <c r="A431" s="16">
        <v>2022</v>
      </c>
      <c r="B431" s="16" t="s">
        <v>113</v>
      </c>
      <c r="C431" t="str">
        <f t="shared" si="6"/>
        <v>2022Dunaújvárosi járás</v>
      </c>
      <c r="D431" s="16">
        <v>57077</v>
      </c>
    </row>
    <row r="432" spans="1:4" x14ac:dyDescent="0.35">
      <c r="A432" s="16">
        <v>2022</v>
      </c>
      <c r="B432" s="16" t="s">
        <v>115</v>
      </c>
      <c r="C432" t="str">
        <f t="shared" si="6"/>
        <v>2022Edelényi járás</v>
      </c>
      <c r="D432" s="16">
        <v>19398</v>
      </c>
    </row>
    <row r="433" spans="1:4" x14ac:dyDescent="0.35">
      <c r="A433" s="16">
        <v>2022</v>
      </c>
      <c r="B433" s="16" t="s">
        <v>117</v>
      </c>
      <c r="C433" t="str">
        <f t="shared" si="6"/>
        <v>2022Egri járás</v>
      </c>
      <c r="D433" s="16">
        <v>50648</v>
      </c>
    </row>
    <row r="434" spans="1:4" x14ac:dyDescent="0.35">
      <c r="A434" s="16">
        <v>2022</v>
      </c>
      <c r="B434" s="16" t="s">
        <v>119</v>
      </c>
      <c r="C434" t="str">
        <f t="shared" si="6"/>
        <v>2022Encsi járás</v>
      </c>
      <c r="D434" s="16">
        <v>12794</v>
      </c>
    </row>
    <row r="435" spans="1:4" x14ac:dyDescent="0.35">
      <c r="A435" s="16">
        <v>2022</v>
      </c>
      <c r="B435" s="16" t="s">
        <v>121</v>
      </c>
      <c r="C435" t="str">
        <f t="shared" si="6"/>
        <v>2022Enyingi járás</v>
      </c>
      <c r="D435" s="16">
        <v>12682</v>
      </c>
    </row>
    <row r="436" spans="1:4" x14ac:dyDescent="0.35">
      <c r="A436" s="16">
        <v>2022</v>
      </c>
      <c r="B436" s="16" t="s">
        <v>123</v>
      </c>
      <c r="C436" t="str">
        <f t="shared" si="6"/>
        <v>2022Érdi járás</v>
      </c>
      <c r="D436" s="16">
        <v>83631</v>
      </c>
    </row>
    <row r="437" spans="1:4" x14ac:dyDescent="0.35">
      <c r="A437" s="16">
        <v>2022</v>
      </c>
      <c r="B437" s="16" t="s">
        <v>125</v>
      </c>
      <c r="C437" t="str">
        <f t="shared" si="6"/>
        <v>2022Esztergomi járás</v>
      </c>
      <c r="D437" s="16">
        <v>58928</v>
      </c>
    </row>
    <row r="438" spans="1:4" x14ac:dyDescent="0.35">
      <c r="A438" s="16">
        <v>2022</v>
      </c>
      <c r="B438" s="16" t="s">
        <v>127</v>
      </c>
      <c r="C438" t="str">
        <f t="shared" si="6"/>
        <v>2022Fehérgyarmati járás</v>
      </c>
      <c r="D438" s="16">
        <v>22486</v>
      </c>
    </row>
    <row r="439" spans="1:4" x14ac:dyDescent="0.35">
      <c r="A439" s="16">
        <v>2022</v>
      </c>
      <c r="B439" s="16" t="s">
        <v>129</v>
      </c>
      <c r="C439" t="str">
        <f t="shared" si="6"/>
        <v>2022Fonyódi járás</v>
      </c>
      <c r="D439" s="16">
        <v>19755</v>
      </c>
    </row>
    <row r="440" spans="1:4" x14ac:dyDescent="0.35">
      <c r="A440" s="16">
        <v>2022</v>
      </c>
      <c r="B440" s="16" t="s">
        <v>131</v>
      </c>
      <c r="C440" t="str">
        <f t="shared" si="6"/>
        <v>2022Füzesabonyi járás</v>
      </c>
      <c r="D440" s="16">
        <v>17881</v>
      </c>
    </row>
    <row r="441" spans="1:4" x14ac:dyDescent="0.35">
      <c r="A441" s="16">
        <v>2022</v>
      </c>
      <c r="B441" s="16" t="s">
        <v>133</v>
      </c>
      <c r="C441" t="str">
        <f t="shared" si="6"/>
        <v>2022Gárdonyi járás</v>
      </c>
      <c r="D441" s="16">
        <v>22496</v>
      </c>
    </row>
    <row r="442" spans="1:4" x14ac:dyDescent="0.35">
      <c r="A442" s="16">
        <v>2022</v>
      </c>
      <c r="B442" s="16" t="s">
        <v>135</v>
      </c>
      <c r="C442" t="str">
        <f t="shared" si="6"/>
        <v>2022Gödöllői járás</v>
      </c>
      <c r="D442" s="16">
        <v>103200</v>
      </c>
    </row>
    <row r="443" spans="1:4" x14ac:dyDescent="0.35">
      <c r="A443" s="16">
        <v>2022</v>
      </c>
      <c r="B443" s="16" t="s">
        <v>137</v>
      </c>
      <c r="C443" t="str">
        <f t="shared" si="6"/>
        <v>2022Gönci járás</v>
      </c>
      <c r="D443" s="16">
        <v>10027</v>
      </c>
    </row>
    <row r="444" spans="1:4" x14ac:dyDescent="0.35">
      <c r="A444" s="16">
        <v>2022</v>
      </c>
      <c r="B444" s="16" t="s">
        <v>139</v>
      </c>
      <c r="C444" t="str">
        <f t="shared" si="6"/>
        <v>2022Gyáli járás</v>
      </c>
      <c r="D444" s="16">
        <v>28369</v>
      </c>
    </row>
    <row r="445" spans="1:4" x14ac:dyDescent="0.35">
      <c r="A445" s="16">
        <v>2022</v>
      </c>
      <c r="B445" s="16" t="s">
        <v>141</v>
      </c>
      <c r="C445" t="str">
        <f t="shared" si="6"/>
        <v>2022Gyomaendrődi járás</v>
      </c>
      <c r="D445" s="16">
        <v>12998</v>
      </c>
    </row>
    <row r="446" spans="1:4" x14ac:dyDescent="0.35">
      <c r="A446" s="16">
        <v>2022</v>
      </c>
      <c r="B446" s="16" t="s">
        <v>143</v>
      </c>
      <c r="C446" t="str">
        <f t="shared" si="6"/>
        <v>2022Gyöngyösi járás</v>
      </c>
      <c r="D446" s="16">
        <v>41731</v>
      </c>
    </row>
    <row r="447" spans="1:4" x14ac:dyDescent="0.35">
      <c r="A447" s="16">
        <v>2022</v>
      </c>
      <c r="B447" s="16" t="s">
        <v>145</v>
      </c>
      <c r="C447" t="str">
        <f t="shared" si="6"/>
        <v>2022Győri járás</v>
      </c>
      <c r="D447" s="16">
        <v>129276</v>
      </c>
    </row>
    <row r="448" spans="1:4" x14ac:dyDescent="0.35">
      <c r="A448" s="16">
        <v>2022</v>
      </c>
      <c r="B448" s="16" t="s">
        <v>147</v>
      </c>
      <c r="C448" t="str">
        <f t="shared" si="6"/>
        <v>2022Gyulai járás</v>
      </c>
      <c r="D448" s="16">
        <v>22834</v>
      </c>
    </row>
    <row r="449" spans="1:4" x14ac:dyDescent="0.35">
      <c r="A449" s="16">
        <v>2022</v>
      </c>
      <c r="B449" s="16" t="s">
        <v>149</v>
      </c>
      <c r="C449" t="str">
        <f t="shared" si="6"/>
        <v>2022Hajdúböszörményi járás</v>
      </c>
      <c r="D449" s="16">
        <v>24107</v>
      </c>
    </row>
    <row r="450" spans="1:4" x14ac:dyDescent="0.35">
      <c r="A450" s="16">
        <v>2022</v>
      </c>
      <c r="B450" s="16" t="s">
        <v>151</v>
      </c>
      <c r="C450" t="str">
        <f t="shared" si="6"/>
        <v>2022Hajdúhadházi járás</v>
      </c>
      <c r="D450" s="16">
        <v>14667</v>
      </c>
    </row>
    <row r="451" spans="1:4" x14ac:dyDescent="0.35">
      <c r="A451" s="16">
        <v>2022</v>
      </c>
      <c r="B451" s="16" t="s">
        <v>153</v>
      </c>
      <c r="C451" t="str">
        <f t="shared" ref="C451:C514" si="7">A451&amp;B451</f>
        <v>2022Hajdúnánási járás</v>
      </c>
      <c r="D451" s="16">
        <v>17797</v>
      </c>
    </row>
    <row r="452" spans="1:4" x14ac:dyDescent="0.35">
      <c r="A452" s="16">
        <v>2022</v>
      </c>
      <c r="B452" s="16" t="s">
        <v>155</v>
      </c>
      <c r="C452" t="str">
        <f t="shared" si="7"/>
        <v>2022Hajdúszoboszlói járás</v>
      </c>
      <c r="D452" s="16">
        <v>26145</v>
      </c>
    </row>
    <row r="453" spans="1:4" x14ac:dyDescent="0.35">
      <c r="A453" s="16">
        <v>2022</v>
      </c>
      <c r="B453" s="16" t="s">
        <v>157</v>
      </c>
      <c r="C453" t="str">
        <f t="shared" si="7"/>
        <v>2022Hatvani járás</v>
      </c>
      <c r="D453" s="16">
        <v>32109</v>
      </c>
    </row>
    <row r="454" spans="1:4" x14ac:dyDescent="0.35">
      <c r="A454" s="16">
        <v>2022</v>
      </c>
      <c r="B454" s="16" t="s">
        <v>159</v>
      </c>
      <c r="C454" t="str">
        <f t="shared" si="7"/>
        <v>2022Hegyháti járás</v>
      </c>
      <c r="D454" s="16">
        <v>7019</v>
      </c>
    </row>
    <row r="455" spans="1:4" x14ac:dyDescent="0.35">
      <c r="A455" s="16">
        <v>2022</v>
      </c>
      <c r="B455" s="16" t="s">
        <v>161</v>
      </c>
      <c r="C455" t="str">
        <f t="shared" si="7"/>
        <v>2022Hevesi járás</v>
      </c>
      <c r="D455" s="16">
        <v>20307</v>
      </c>
    </row>
    <row r="456" spans="1:4" x14ac:dyDescent="0.35">
      <c r="A456" s="16">
        <v>2022</v>
      </c>
      <c r="B456" s="16" t="s">
        <v>163</v>
      </c>
      <c r="C456" t="str">
        <f t="shared" si="7"/>
        <v>2022Hódmezővásárhelyi járás</v>
      </c>
      <c r="D456" s="16">
        <v>31648</v>
      </c>
    </row>
    <row r="457" spans="1:4" x14ac:dyDescent="0.35">
      <c r="A457" s="16">
        <v>2022</v>
      </c>
      <c r="B457" s="16" t="s">
        <v>165</v>
      </c>
      <c r="C457" t="str">
        <f t="shared" si="7"/>
        <v>2022Ibrányi járás</v>
      </c>
      <c r="D457" s="16">
        <v>14194</v>
      </c>
    </row>
    <row r="458" spans="1:4" x14ac:dyDescent="0.35">
      <c r="A458" s="16">
        <v>2022</v>
      </c>
      <c r="B458" s="16" t="s">
        <v>431</v>
      </c>
      <c r="C458" t="str">
        <f t="shared" si="7"/>
        <v>2022Jánoshalmai járás</v>
      </c>
      <c r="D458" s="16">
        <v>9596</v>
      </c>
    </row>
    <row r="459" spans="1:4" x14ac:dyDescent="0.35">
      <c r="A459" s="16">
        <v>2022</v>
      </c>
      <c r="B459" s="16" t="s">
        <v>169</v>
      </c>
      <c r="C459" t="str">
        <f t="shared" si="7"/>
        <v>2022Jászapáti járás</v>
      </c>
      <c r="D459" s="16">
        <v>19297</v>
      </c>
    </row>
    <row r="460" spans="1:4" x14ac:dyDescent="0.35">
      <c r="A460" s="16">
        <v>2022</v>
      </c>
      <c r="B460" s="16" t="s">
        <v>171</v>
      </c>
      <c r="C460" t="str">
        <f t="shared" si="7"/>
        <v>2022Jászberényi járás</v>
      </c>
      <c r="D460" s="16">
        <v>31405</v>
      </c>
    </row>
    <row r="461" spans="1:4" x14ac:dyDescent="0.35">
      <c r="A461" s="16">
        <v>2022</v>
      </c>
      <c r="B461" s="16" t="s">
        <v>173</v>
      </c>
      <c r="C461" t="str">
        <f t="shared" si="7"/>
        <v>2022Kalocsai járás</v>
      </c>
      <c r="D461" s="16">
        <v>29788</v>
      </c>
    </row>
    <row r="462" spans="1:4" x14ac:dyDescent="0.35">
      <c r="A462" s="16">
        <v>2022</v>
      </c>
      <c r="B462" s="16" t="s">
        <v>175</v>
      </c>
      <c r="C462" t="str">
        <f t="shared" si="7"/>
        <v>2022Kaposvári járás</v>
      </c>
      <c r="D462" s="16">
        <v>66965</v>
      </c>
    </row>
    <row r="463" spans="1:4" x14ac:dyDescent="0.35">
      <c r="A463" s="16">
        <v>2022</v>
      </c>
      <c r="B463" s="16" t="s">
        <v>177</v>
      </c>
      <c r="C463" t="str">
        <f t="shared" si="7"/>
        <v>2022Kapuvári járás</v>
      </c>
      <c r="D463" s="16">
        <v>15228</v>
      </c>
    </row>
    <row r="464" spans="1:4" x14ac:dyDescent="0.35">
      <c r="A464" s="16">
        <v>2022</v>
      </c>
      <c r="B464" s="16" t="s">
        <v>179</v>
      </c>
      <c r="C464" t="str">
        <f t="shared" si="7"/>
        <v>2022Karcagi járás</v>
      </c>
      <c r="D464" s="16">
        <v>24000</v>
      </c>
    </row>
    <row r="465" spans="1:4" x14ac:dyDescent="0.35">
      <c r="A465" s="16">
        <v>2022</v>
      </c>
      <c r="B465" s="16" t="s">
        <v>181</v>
      </c>
      <c r="C465" t="str">
        <f t="shared" si="7"/>
        <v>2022Kazincbarcikai járás</v>
      </c>
      <c r="D465" s="16">
        <v>37432</v>
      </c>
    </row>
    <row r="466" spans="1:4" x14ac:dyDescent="0.35">
      <c r="A466" s="16">
        <v>2022</v>
      </c>
      <c r="B466" s="16" t="s">
        <v>183</v>
      </c>
      <c r="C466" t="str">
        <f t="shared" si="7"/>
        <v>2022Kecskeméti járás</v>
      </c>
      <c r="D466" s="16">
        <v>99234</v>
      </c>
    </row>
    <row r="467" spans="1:4" x14ac:dyDescent="0.35">
      <c r="A467" s="16">
        <v>2022</v>
      </c>
      <c r="B467" s="16" t="s">
        <v>185</v>
      </c>
      <c r="C467" t="str">
        <f t="shared" si="7"/>
        <v>2022Kemecsei járás</v>
      </c>
      <c r="D467" s="16">
        <v>13513</v>
      </c>
    </row>
    <row r="468" spans="1:4" x14ac:dyDescent="0.35">
      <c r="A468" s="16">
        <v>2022</v>
      </c>
      <c r="B468" s="16" t="s">
        <v>187</v>
      </c>
      <c r="C468" t="str">
        <f t="shared" si="7"/>
        <v>2022Keszthelyi járás</v>
      </c>
      <c r="D468" s="16">
        <v>29310</v>
      </c>
    </row>
    <row r="469" spans="1:4" x14ac:dyDescent="0.35">
      <c r="A469" s="16">
        <v>2022</v>
      </c>
      <c r="B469" s="16" t="s">
        <v>189</v>
      </c>
      <c r="C469" t="str">
        <f t="shared" si="7"/>
        <v>2022Kisbéri járás</v>
      </c>
      <c r="D469" s="16">
        <v>12667</v>
      </c>
    </row>
    <row r="470" spans="1:4" x14ac:dyDescent="0.35">
      <c r="A470" s="16">
        <v>2022</v>
      </c>
      <c r="B470" s="16" t="s">
        <v>191</v>
      </c>
      <c r="C470" t="str">
        <f t="shared" si="7"/>
        <v>2022Kiskőrösi járás</v>
      </c>
      <c r="D470" s="16">
        <v>32245</v>
      </c>
    </row>
    <row r="471" spans="1:4" x14ac:dyDescent="0.35">
      <c r="A471" s="16">
        <v>2022</v>
      </c>
      <c r="B471" s="16" t="s">
        <v>193</v>
      </c>
      <c r="C471" t="str">
        <f t="shared" si="7"/>
        <v>2022Kiskunfélegyházi járás</v>
      </c>
      <c r="D471" s="16">
        <v>22474</v>
      </c>
    </row>
    <row r="472" spans="1:4" x14ac:dyDescent="0.35">
      <c r="A472" s="16">
        <v>2022</v>
      </c>
      <c r="B472" s="16" t="s">
        <v>195</v>
      </c>
      <c r="C472" t="str">
        <f t="shared" si="7"/>
        <v>2022Kiskunhalasi járás</v>
      </c>
      <c r="D472" s="16">
        <v>26203</v>
      </c>
    </row>
    <row r="473" spans="1:4" x14ac:dyDescent="0.35">
      <c r="A473" s="16">
        <v>2022</v>
      </c>
      <c r="B473" s="16" t="s">
        <v>197</v>
      </c>
      <c r="C473" t="str">
        <f t="shared" si="7"/>
        <v>2022Kiskunmajsai járás</v>
      </c>
      <c r="D473" s="16">
        <v>11318</v>
      </c>
    </row>
    <row r="474" spans="1:4" x14ac:dyDescent="0.35">
      <c r="A474" s="16">
        <v>2022</v>
      </c>
      <c r="B474" s="16" t="s">
        <v>199</v>
      </c>
      <c r="C474" t="str">
        <f t="shared" si="7"/>
        <v>2022Kisteleki járás</v>
      </c>
      <c r="D474" s="16">
        <v>10724</v>
      </c>
    </row>
    <row r="475" spans="1:4" x14ac:dyDescent="0.35">
      <c r="A475" s="16">
        <v>2022</v>
      </c>
      <c r="B475" s="16" t="s">
        <v>201</v>
      </c>
      <c r="C475" t="str">
        <f t="shared" si="7"/>
        <v>2022Kisvárdai járás</v>
      </c>
      <c r="D475" s="16">
        <v>33664</v>
      </c>
    </row>
    <row r="476" spans="1:4" x14ac:dyDescent="0.35">
      <c r="A476" s="16">
        <v>2022</v>
      </c>
      <c r="B476" s="16" t="s">
        <v>203</v>
      </c>
      <c r="C476" t="str">
        <f t="shared" si="7"/>
        <v>2022Komáromi járás</v>
      </c>
      <c r="D476" s="16">
        <v>24723</v>
      </c>
    </row>
    <row r="477" spans="1:4" x14ac:dyDescent="0.35">
      <c r="A477" s="16">
        <v>2022</v>
      </c>
      <c r="B477" s="16" t="s">
        <v>205</v>
      </c>
      <c r="C477" t="str">
        <f t="shared" si="7"/>
        <v>2022Komlói járás</v>
      </c>
      <c r="D477" s="16">
        <v>19861</v>
      </c>
    </row>
    <row r="478" spans="1:4" x14ac:dyDescent="0.35">
      <c r="A478" s="16">
        <v>2022</v>
      </c>
      <c r="B478" s="16" t="s">
        <v>207</v>
      </c>
      <c r="C478" t="str">
        <f t="shared" si="7"/>
        <v>2022Körmendi járás</v>
      </c>
      <c r="D478" s="16">
        <v>16170</v>
      </c>
    </row>
    <row r="479" spans="1:4" x14ac:dyDescent="0.35">
      <c r="A479" s="16">
        <v>2022</v>
      </c>
      <c r="B479" s="16" t="s">
        <v>209</v>
      </c>
      <c r="C479" t="str">
        <f t="shared" si="7"/>
        <v>2022Kőszegi járás</v>
      </c>
      <c r="D479" s="16">
        <v>16143</v>
      </c>
    </row>
    <row r="480" spans="1:4" x14ac:dyDescent="0.35">
      <c r="A480" s="16">
        <v>2022</v>
      </c>
      <c r="B480" s="16" t="s">
        <v>211</v>
      </c>
      <c r="C480" t="str">
        <f t="shared" si="7"/>
        <v>2022Kunhegyesi járás</v>
      </c>
      <c r="D480" s="16">
        <v>11938</v>
      </c>
    </row>
    <row r="481" spans="1:4" x14ac:dyDescent="0.35">
      <c r="A481" s="16">
        <v>2022</v>
      </c>
      <c r="B481" s="16" t="s">
        <v>213</v>
      </c>
      <c r="C481" t="str">
        <f t="shared" si="7"/>
        <v>2022Kunszentmártoni járás</v>
      </c>
      <c r="D481" s="16">
        <v>19635</v>
      </c>
    </row>
    <row r="482" spans="1:4" x14ac:dyDescent="0.35">
      <c r="A482" s="16">
        <v>2022</v>
      </c>
      <c r="B482" s="16" t="s">
        <v>215</v>
      </c>
      <c r="C482" t="str">
        <f t="shared" si="7"/>
        <v>2022Kunszentmiklósi járás</v>
      </c>
      <c r="D482" s="16">
        <v>18364</v>
      </c>
    </row>
    <row r="483" spans="1:4" x14ac:dyDescent="0.35">
      <c r="A483" s="16">
        <v>2022</v>
      </c>
      <c r="B483" s="16" t="s">
        <v>217</v>
      </c>
      <c r="C483" t="str">
        <f t="shared" si="7"/>
        <v>2022Lenti járás</v>
      </c>
      <c r="D483" s="16">
        <v>11143</v>
      </c>
    </row>
    <row r="484" spans="1:4" x14ac:dyDescent="0.35">
      <c r="A484" s="16">
        <v>2022</v>
      </c>
      <c r="B484" s="16" t="s">
        <v>219</v>
      </c>
      <c r="C484" t="str">
        <f t="shared" si="7"/>
        <v>2022Letenyei járás</v>
      </c>
      <c r="D484" s="16">
        <v>9129</v>
      </c>
    </row>
    <row r="485" spans="1:4" x14ac:dyDescent="0.35">
      <c r="A485" s="16">
        <v>2022</v>
      </c>
      <c r="B485" s="16" t="s">
        <v>221</v>
      </c>
      <c r="C485" t="str">
        <f t="shared" si="7"/>
        <v>2022Makói járás</v>
      </c>
      <c r="D485" s="16">
        <v>25911</v>
      </c>
    </row>
    <row r="486" spans="1:4" x14ac:dyDescent="0.35">
      <c r="A486" s="16">
        <v>2022</v>
      </c>
      <c r="B486" s="16" t="s">
        <v>223</v>
      </c>
      <c r="C486" t="str">
        <f t="shared" si="7"/>
        <v>2022Marcali járás</v>
      </c>
      <c r="D486" s="16">
        <v>20063</v>
      </c>
    </row>
    <row r="487" spans="1:4" x14ac:dyDescent="0.35">
      <c r="A487" s="16">
        <v>2022</v>
      </c>
      <c r="B487" s="16" t="s">
        <v>225</v>
      </c>
      <c r="C487" t="str">
        <f t="shared" si="7"/>
        <v>2022Martonvásári járás</v>
      </c>
      <c r="D487" s="16">
        <v>19315</v>
      </c>
    </row>
    <row r="488" spans="1:4" x14ac:dyDescent="0.35">
      <c r="A488" s="16">
        <v>2022</v>
      </c>
      <c r="B488" s="16" t="s">
        <v>227</v>
      </c>
      <c r="C488" t="str">
        <f t="shared" si="7"/>
        <v>2022Mátészalkai járás</v>
      </c>
      <c r="D488" s="16">
        <v>38515</v>
      </c>
    </row>
    <row r="489" spans="1:4" x14ac:dyDescent="0.35">
      <c r="A489" s="16">
        <v>2022</v>
      </c>
      <c r="B489" s="16" t="s">
        <v>229</v>
      </c>
      <c r="C489" t="str">
        <f t="shared" si="7"/>
        <v>2022Mezőcsáti járás</v>
      </c>
      <c r="D489" s="16">
        <v>8691</v>
      </c>
    </row>
    <row r="490" spans="1:4" x14ac:dyDescent="0.35">
      <c r="A490" s="16">
        <v>2022</v>
      </c>
      <c r="B490" s="16" t="s">
        <v>231</v>
      </c>
      <c r="C490" t="str">
        <f t="shared" si="7"/>
        <v>2022Mezőkovácsházai járás</v>
      </c>
      <c r="D490" s="16">
        <v>20538</v>
      </c>
    </row>
    <row r="491" spans="1:4" x14ac:dyDescent="0.35">
      <c r="A491" s="16">
        <v>2022</v>
      </c>
      <c r="B491" s="16" t="s">
        <v>233</v>
      </c>
      <c r="C491" t="str">
        <f t="shared" si="7"/>
        <v>2022Mezőkövesdi járás</v>
      </c>
      <c r="D491" s="16">
        <v>24207</v>
      </c>
    </row>
    <row r="492" spans="1:4" x14ac:dyDescent="0.35">
      <c r="A492" s="16">
        <v>2022</v>
      </c>
      <c r="B492" s="16" t="s">
        <v>235</v>
      </c>
      <c r="C492" t="str">
        <f t="shared" si="7"/>
        <v>2022Mezőtúri járás</v>
      </c>
      <c r="D492" s="16">
        <v>15416</v>
      </c>
    </row>
    <row r="493" spans="1:4" x14ac:dyDescent="0.35">
      <c r="A493" s="16">
        <v>2022</v>
      </c>
      <c r="B493" s="16" t="s">
        <v>237</v>
      </c>
      <c r="C493" t="str">
        <f t="shared" si="7"/>
        <v>2022Miskolci járás</v>
      </c>
      <c r="D493" s="16">
        <v>144111</v>
      </c>
    </row>
    <row r="494" spans="1:4" x14ac:dyDescent="0.35">
      <c r="A494" s="16">
        <v>2022</v>
      </c>
      <c r="B494" s="16" t="s">
        <v>239</v>
      </c>
      <c r="C494" t="str">
        <f t="shared" si="7"/>
        <v>2022Mohácsi járás</v>
      </c>
      <c r="D494" s="16">
        <v>20048</v>
      </c>
    </row>
    <row r="495" spans="1:4" x14ac:dyDescent="0.35">
      <c r="A495" s="16">
        <v>2022</v>
      </c>
      <c r="B495" s="16" t="s">
        <v>241</v>
      </c>
      <c r="C495" t="str">
        <f t="shared" si="7"/>
        <v>2022Monori járás</v>
      </c>
      <c r="D495" s="16">
        <v>47774</v>
      </c>
    </row>
    <row r="496" spans="1:4" x14ac:dyDescent="0.35">
      <c r="A496" s="16">
        <v>2022</v>
      </c>
      <c r="B496" s="16" t="s">
        <v>243</v>
      </c>
      <c r="C496" t="str">
        <f t="shared" si="7"/>
        <v>2022Mórahalmi járás</v>
      </c>
      <c r="D496" s="16">
        <v>17525</v>
      </c>
    </row>
    <row r="497" spans="1:4" x14ac:dyDescent="0.35">
      <c r="A497" s="16">
        <v>2022</v>
      </c>
      <c r="B497" s="16" t="s">
        <v>245</v>
      </c>
      <c r="C497" t="str">
        <f t="shared" si="7"/>
        <v>2022Móri járás</v>
      </c>
      <c r="D497" s="16">
        <v>21599</v>
      </c>
    </row>
    <row r="498" spans="1:4" x14ac:dyDescent="0.35">
      <c r="A498" s="16">
        <v>2022</v>
      </c>
      <c r="B498" s="16" t="s">
        <v>247</v>
      </c>
      <c r="C498" t="str">
        <f t="shared" si="7"/>
        <v>2022Mosonmagyaróvári járás</v>
      </c>
      <c r="D498" s="16">
        <v>52631</v>
      </c>
    </row>
    <row r="499" spans="1:4" x14ac:dyDescent="0.35">
      <c r="A499" s="16">
        <v>2022</v>
      </c>
      <c r="B499" s="16" t="s">
        <v>249</v>
      </c>
      <c r="C499" t="str">
        <f t="shared" si="7"/>
        <v>2022Nagyatádi járás</v>
      </c>
      <c r="D499" s="16">
        <v>14537</v>
      </c>
    </row>
    <row r="500" spans="1:4" x14ac:dyDescent="0.35">
      <c r="A500" s="16">
        <v>2022</v>
      </c>
      <c r="B500" s="16" t="s">
        <v>251</v>
      </c>
      <c r="C500" t="str">
        <f t="shared" si="7"/>
        <v>2022Nagykállói járás</v>
      </c>
      <c r="D500" s="16">
        <v>18679</v>
      </c>
    </row>
    <row r="501" spans="1:4" x14ac:dyDescent="0.35">
      <c r="A501" s="16">
        <v>2022</v>
      </c>
      <c r="B501" s="16" t="s">
        <v>253</v>
      </c>
      <c r="C501" t="str">
        <f t="shared" si="7"/>
        <v>2022Nagykanizsai járás</v>
      </c>
      <c r="D501" s="16">
        <v>44049</v>
      </c>
    </row>
    <row r="502" spans="1:4" x14ac:dyDescent="0.35">
      <c r="A502" s="16">
        <v>2022</v>
      </c>
      <c r="B502" s="16" t="s">
        <v>255</v>
      </c>
      <c r="C502" t="str">
        <f t="shared" si="7"/>
        <v>2022Nagykátai járás</v>
      </c>
      <c r="D502" s="16">
        <v>47376</v>
      </c>
    </row>
    <row r="503" spans="1:4" x14ac:dyDescent="0.35">
      <c r="A503" s="16">
        <v>2022</v>
      </c>
      <c r="B503" s="16" t="s">
        <v>257</v>
      </c>
      <c r="C503" t="str">
        <f t="shared" si="7"/>
        <v>2022Nagykőrösi járás</v>
      </c>
      <c r="D503" s="16">
        <v>17016</v>
      </c>
    </row>
    <row r="504" spans="1:4" x14ac:dyDescent="0.35">
      <c r="A504" s="16">
        <v>2022</v>
      </c>
      <c r="B504" s="16" t="s">
        <v>259</v>
      </c>
      <c r="C504" t="str">
        <f t="shared" si="7"/>
        <v>2022Nyíradonyi járás</v>
      </c>
      <c r="D504" s="16">
        <v>18257</v>
      </c>
    </row>
    <row r="505" spans="1:4" x14ac:dyDescent="0.35">
      <c r="A505" s="16">
        <v>2022</v>
      </c>
      <c r="B505" s="16" t="s">
        <v>261</v>
      </c>
      <c r="C505" t="str">
        <f t="shared" si="7"/>
        <v>2022Nyírbátori járás</v>
      </c>
      <c r="D505" s="16">
        <v>26043</v>
      </c>
    </row>
    <row r="506" spans="1:4" x14ac:dyDescent="0.35">
      <c r="A506" s="16">
        <v>2022</v>
      </c>
      <c r="B506" s="16" t="s">
        <v>263</v>
      </c>
      <c r="C506" t="str">
        <f t="shared" si="7"/>
        <v>2022Nyíregyházi járás</v>
      </c>
      <c r="D506" s="16">
        <v>105496</v>
      </c>
    </row>
    <row r="507" spans="1:4" x14ac:dyDescent="0.35">
      <c r="A507" s="16">
        <v>2022</v>
      </c>
      <c r="B507" s="16" t="s">
        <v>265</v>
      </c>
      <c r="C507" t="str">
        <f t="shared" si="7"/>
        <v>2022Orosházi járás</v>
      </c>
      <c r="D507" s="16">
        <v>28047</v>
      </c>
    </row>
    <row r="508" spans="1:4" x14ac:dyDescent="0.35">
      <c r="A508" s="16">
        <v>2022</v>
      </c>
      <c r="B508" s="16" t="s">
        <v>267</v>
      </c>
      <c r="C508" t="str">
        <f t="shared" si="7"/>
        <v>2022Oroszlányi járás</v>
      </c>
      <c r="D508" s="16">
        <v>16955</v>
      </c>
    </row>
    <row r="509" spans="1:4" x14ac:dyDescent="0.35">
      <c r="A509" s="16">
        <v>2022</v>
      </c>
      <c r="B509" s="16" t="s">
        <v>269</v>
      </c>
      <c r="C509" t="str">
        <f t="shared" si="7"/>
        <v>2022Ózdi járás</v>
      </c>
      <c r="D509" s="16">
        <v>30222</v>
      </c>
    </row>
    <row r="510" spans="1:4" x14ac:dyDescent="0.35">
      <c r="A510" s="16">
        <v>2022</v>
      </c>
      <c r="B510" s="16" t="s">
        <v>271</v>
      </c>
      <c r="C510" t="str">
        <f t="shared" si="7"/>
        <v>2022Paksi járás</v>
      </c>
      <c r="D510" s="16">
        <v>28726</v>
      </c>
    </row>
    <row r="511" spans="1:4" x14ac:dyDescent="0.35">
      <c r="A511" s="16">
        <v>2022</v>
      </c>
      <c r="B511" s="16" t="s">
        <v>273</v>
      </c>
      <c r="C511" t="str">
        <f t="shared" si="7"/>
        <v>2022Pannonhalmi járás</v>
      </c>
      <c r="D511" s="16">
        <v>9853</v>
      </c>
    </row>
    <row r="512" spans="1:4" x14ac:dyDescent="0.35">
      <c r="A512" s="16">
        <v>2022</v>
      </c>
      <c r="B512" s="16" t="s">
        <v>275</v>
      </c>
      <c r="C512" t="str">
        <f t="shared" si="7"/>
        <v>2022Pápai járás</v>
      </c>
      <c r="D512" s="16">
        <v>35017</v>
      </c>
    </row>
    <row r="513" spans="1:4" x14ac:dyDescent="0.35">
      <c r="A513" s="16">
        <v>2022</v>
      </c>
      <c r="B513" s="16" t="s">
        <v>277</v>
      </c>
      <c r="C513" t="str">
        <f t="shared" si="7"/>
        <v>2022Pásztói járás</v>
      </c>
      <c r="D513" s="16">
        <v>18311</v>
      </c>
    </row>
    <row r="514" spans="1:4" x14ac:dyDescent="0.35">
      <c r="A514" s="16">
        <v>2022</v>
      </c>
      <c r="B514" s="16" t="s">
        <v>279</v>
      </c>
      <c r="C514" t="str">
        <f t="shared" si="7"/>
        <v>2022Pécsi járás</v>
      </c>
      <c r="D514" s="16">
        <v>110622</v>
      </c>
    </row>
    <row r="515" spans="1:4" x14ac:dyDescent="0.35">
      <c r="A515" s="16">
        <v>2022</v>
      </c>
      <c r="B515" s="16" t="s">
        <v>281</v>
      </c>
      <c r="C515" t="str">
        <f t="shared" ref="C515:C578" si="8">A515&amp;B515</f>
        <v>2022Pécsváradi járás</v>
      </c>
      <c r="D515" s="16">
        <v>6706</v>
      </c>
    </row>
    <row r="516" spans="1:4" x14ac:dyDescent="0.35">
      <c r="A516" s="16">
        <v>2022</v>
      </c>
      <c r="B516" s="16" t="s">
        <v>283</v>
      </c>
      <c r="C516" t="str">
        <f t="shared" si="8"/>
        <v>2022Pétervásárai járás</v>
      </c>
      <c r="D516" s="16">
        <v>11108</v>
      </c>
    </row>
    <row r="517" spans="1:4" x14ac:dyDescent="0.35">
      <c r="A517" s="16">
        <v>2022</v>
      </c>
      <c r="B517" s="16" t="s">
        <v>285</v>
      </c>
      <c r="C517" t="str">
        <f t="shared" si="8"/>
        <v>2022Pilisvörösvári járás</v>
      </c>
      <c r="D517" s="16">
        <v>36696</v>
      </c>
    </row>
    <row r="518" spans="1:4" x14ac:dyDescent="0.35">
      <c r="A518" s="16">
        <v>2022</v>
      </c>
      <c r="B518" s="16" t="s">
        <v>287</v>
      </c>
      <c r="C518" t="str">
        <f t="shared" si="8"/>
        <v>2022Putnoki járás</v>
      </c>
      <c r="D518" s="16">
        <v>11045</v>
      </c>
    </row>
    <row r="519" spans="1:4" x14ac:dyDescent="0.35">
      <c r="A519" s="16">
        <v>2022</v>
      </c>
      <c r="B519" s="16" t="s">
        <v>289</v>
      </c>
      <c r="C519" t="str">
        <f t="shared" si="8"/>
        <v>2022Püspökladányi járás</v>
      </c>
      <c r="D519" s="16">
        <v>23005</v>
      </c>
    </row>
    <row r="520" spans="1:4" x14ac:dyDescent="0.35">
      <c r="A520" s="16">
        <v>2022</v>
      </c>
      <c r="B520" s="16" t="s">
        <v>291</v>
      </c>
      <c r="C520" t="str">
        <f t="shared" si="8"/>
        <v>2022Ráckevei járás</v>
      </c>
      <c r="D520" s="16">
        <v>24382</v>
      </c>
    </row>
    <row r="521" spans="1:4" x14ac:dyDescent="0.35">
      <c r="A521" s="16">
        <v>2022</v>
      </c>
      <c r="B521" s="16" t="s">
        <v>293</v>
      </c>
      <c r="C521" t="str">
        <f t="shared" si="8"/>
        <v>2022Rétsági járás</v>
      </c>
      <c r="D521" s="16">
        <v>15429</v>
      </c>
    </row>
    <row r="522" spans="1:4" x14ac:dyDescent="0.35">
      <c r="A522" s="16">
        <v>2022</v>
      </c>
      <c r="B522" s="16" t="s">
        <v>295</v>
      </c>
      <c r="C522" t="str">
        <f t="shared" si="8"/>
        <v>2022Salgótarjáni járás</v>
      </c>
      <c r="D522" s="16">
        <v>34544</v>
      </c>
    </row>
    <row r="523" spans="1:4" x14ac:dyDescent="0.35">
      <c r="A523" s="16">
        <v>2022</v>
      </c>
      <c r="B523" s="16" t="s">
        <v>297</v>
      </c>
      <c r="C523" t="str">
        <f t="shared" si="8"/>
        <v>2022Sárbogárdi járás</v>
      </c>
      <c r="D523" s="16">
        <v>16837</v>
      </c>
    </row>
    <row r="524" spans="1:4" x14ac:dyDescent="0.35">
      <c r="A524" s="16">
        <v>2022</v>
      </c>
      <c r="B524" s="16" t="s">
        <v>299</v>
      </c>
      <c r="C524" t="str">
        <f t="shared" si="8"/>
        <v>2022Sarkadi járás</v>
      </c>
      <c r="D524" s="16">
        <v>12682</v>
      </c>
    </row>
    <row r="525" spans="1:4" x14ac:dyDescent="0.35">
      <c r="A525" s="16">
        <v>2022</v>
      </c>
      <c r="B525" s="16" t="s">
        <v>301</v>
      </c>
      <c r="C525" t="str">
        <f t="shared" si="8"/>
        <v>2022Sárospataki járás</v>
      </c>
      <c r="D525" s="16">
        <v>13298</v>
      </c>
    </row>
    <row r="526" spans="1:4" x14ac:dyDescent="0.35">
      <c r="A526" s="16">
        <v>2022</v>
      </c>
      <c r="B526" s="16" t="s">
        <v>303</v>
      </c>
      <c r="C526" t="str">
        <f t="shared" si="8"/>
        <v>2022Sárvári járás</v>
      </c>
      <c r="D526" s="16">
        <v>24148</v>
      </c>
    </row>
    <row r="527" spans="1:4" x14ac:dyDescent="0.35">
      <c r="A527" s="16">
        <v>2022</v>
      </c>
      <c r="B527" s="16" t="s">
        <v>305</v>
      </c>
      <c r="C527" t="str">
        <f t="shared" si="8"/>
        <v>2022Sátoraljaújhelyi járás</v>
      </c>
      <c r="D527" s="16">
        <v>12774</v>
      </c>
    </row>
    <row r="528" spans="1:4" x14ac:dyDescent="0.35">
      <c r="A528" s="16">
        <v>2022</v>
      </c>
      <c r="B528" s="16" t="s">
        <v>307</v>
      </c>
      <c r="C528" t="str">
        <f t="shared" si="8"/>
        <v>2022Sellyei járás</v>
      </c>
      <c r="D528" s="16">
        <v>8107</v>
      </c>
    </row>
    <row r="529" spans="1:4" x14ac:dyDescent="0.35">
      <c r="A529" s="16">
        <v>2022</v>
      </c>
      <c r="B529" s="16" t="s">
        <v>309</v>
      </c>
      <c r="C529" t="str">
        <f t="shared" si="8"/>
        <v>2022Siklósi járás</v>
      </c>
      <c r="D529" s="16">
        <v>20914</v>
      </c>
    </row>
    <row r="530" spans="1:4" x14ac:dyDescent="0.35">
      <c r="A530" s="16">
        <v>2022</v>
      </c>
      <c r="B530" s="16" t="s">
        <v>311</v>
      </c>
      <c r="C530" t="str">
        <f t="shared" si="8"/>
        <v>2022Siófoki járás</v>
      </c>
      <c r="D530" s="16">
        <v>30693</v>
      </c>
    </row>
    <row r="531" spans="1:4" x14ac:dyDescent="0.35">
      <c r="A531" s="16">
        <v>2022</v>
      </c>
      <c r="B531" s="16" t="s">
        <v>313</v>
      </c>
      <c r="C531" t="str">
        <f t="shared" si="8"/>
        <v>2022Soproni járás</v>
      </c>
      <c r="D531" s="16">
        <v>65681</v>
      </c>
    </row>
    <row r="532" spans="1:4" x14ac:dyDescent="0.35">
      <c r="A532" s="16">
        <v>2022</v>
      </c>
      <c r="B532" s="16" t="s">
        <v>315</v>
      </c>
      <c r="C532" t="str">
        <f t="shared" si="8"/>
        <v>2022Sümegi járás</v>
      </c>
      <c r="D532" s="16">
        <v>9373</v>
      </c>
    </row>
    <row r="533" spans="1:4" x14ac:dyDescent="0.35">
      <c r="A533" s="16">
        <v>2022</v>
      </c>
      <c r="B533" s="16" t="s">
        <v>317</v>
      </c>
      <c r="C533" t="str">
        <f t="shared" si="8"/>
        <v>2022Szarvasi járás</v>
      </c>
      <c r="D533" s="16">
        <v>15184</v>
      </c>
    </row>
    <row r="534" spans="1:4" x14ac:dyDescent="0.35">
      <c r="A534" s="16">
        <v>2022</v>
      </c>
      <c r="B534" s="16" t="s">
        <v>319</v>
      </c>
      <c r="C534" t="str">
        <f t="shared" si="8"/>
        <v>2022Szécsényi járás</v>
      </c>
      <c r="D534" s="16">
        <v>11181</v>
      </c>
    </row>
    <row r="535" spans="1:4" x14ac:dyDescent="0.35">
      <c r="A535" s="16">
        <v>2022</v>
      </c>
      <c r="B535" s="16" t="s">
        <v>321</v>
      </c>
      <c r="C535" t="str">
        <f t="shared" si="8"/>
        <v>2022Szegedi járás</v>
      </c>
      <c r="D535" s="16">
        <v>128494</v>
      </c>
    </row>
    <row r="536" spans="1:4" x14ac:dyDescent="0.35">
      <c r="A536" s="16">
        <v>2022</v>
      </c>
      <c r="B536" s="16" t="s">
        <v>323</v>
      </c>
      <c r="C536" t="str">
        <f t="shared" si="8"/>
        <v>2022Szeghalmi járás</v>
      </c>
      <c r="D536" s="16">
        <v>16653</v>
      </c>
    </row>
    <row r="537" spans="1:4" x14ac:dyDescent="0.35">
      <c r="A537" s="16">
        <v>2022</v>
      </c>
      <c r="B537" s="16" t="s">
        <v>325</v>
      </c>
      <c r="C537" t="str">
        <f t="shared" si="8"/>
        <v>2022Székesfehérvári járás</v>
      </c>
      <c r="D537" s="16">
        <v>95639</v>
      </c>
    </row>
    <row r="538" spans="1:4" x14ac:dyDescent="0.35">
      <c r="A538" s="16">
        <v>2022</v>
      </c>
      <c r="B538" s="16" t="s">
        <v>327</v>
      </c>
      <c r="C538" t="str">
        <f t="shared" si="8"/>
        <v>2022Szekszárdi járás</v>
      </c>
      <c r="D538" s="16">
        <v>33000</v>
      </c>
    </row>
    <row r="539" spans="1:4" x14ac:dyDescent="0.35">
      <c r="A539" s="16">
        <v>2022</v>
      </c>
      <c r="B539" s="16" t="s">
        <v>329</v>
      </c>
      <c r="C539" t="str">
        <f t="shared" si="8"/>
        <v>2022Szentendrei járás</v>
      </c>
      <c r="D539" s="16">
        <v>55640</v>
      </c>
    </row>
    <row r="540" spans="1:4" x14ac:dyDescent="0.35">
      <c r="A540" s="16">
        <v>2022</v>
      </c>
      <c r="B540" s="16" t="s">
        <v>331</v>
      </c>
      <c r="C540" t="str">
        <f t="shared" si="8"/>
        <v>2022Szentesi járás</v>
      </c>
      <c r="D540" s="16">
        <v>22334</v>
      </c>
    </row>
    <row r="541" spans="1:4" x14ac:dyDescent="0.35">
      <c r="A541" s="16">
        <v>2022</v>
      </c>
      <c r="B541" s="16" t="s">
        <v>333</v>
      </c>
      <c r="C541" t="str">
        <f t="shared" si="8"/>
        <v>2022Szentgotthárdi járás</v>
      </c>
      <c r="D541" s="16">
        <v>9231</v>
      </c>
    </row>
    <row r="542" spans="1:4" x14ac:dyDescent="0.35">
      <c r="A542" s="16">
        <v>2022</v>
      </c>
      <c r="B542" s="16" t="s">
        <v>335</v>
      </c>
      <c r="C542" t="str">
        <f t="shared" si="8"/>
        <v>2022Szentlőrinci járás</v>
      </c>
      <c r="D542" s="16">
        <v>8898</v>
      </c>
    </row>
    <row r="543" spans="1:4" x14ac:dyDescent="0.35">
      <c r="A543" s="16">
        <v>2022</v>
      </c>
      <c r="B543" s="16" t="s">
        <v>337</v>
      </c>
      <c r="C543" t="str">
        <f t="shared" si="8"/>
        <v>2022Szerencsi járás</v>
      </c>
      <c r="D543" s="16">
        <v>23050</v>
      </c>
    </row>
    <row r="544" spans="1:4" x14ac:dyDescent="0.35">
      <c r="A544" s="16">
        <v>2022</v>
      </c>
      <c r="B544" s="16" t="s">
        <v>339</v>
      </c>
      <c r="C544" t="str">
        <f t="shared" si="8"/>
        <v>2022Szigetszentmiklósi járás</v>
      </c>
      <c r="D544" s="16">
        <v>84617</v>
      </c>
    </row>
    <row r="545" spans="1:4" x14ac:dyDescent="0.35">
      <c r="A545" s="16">
        <v>2022</v>
      </c>
      <c r="B545" s="16" t="s">
        <v>341</v>
      </c>
      <c r="C545" t="str">
        <f t="shared" si="8"/>
        <v>2022Szigetvári járás</v>
      </c>
      <c r="D545" s="16">
        <v>14732</v>
      </c>
    </row>
    <row r="546" spans="1:4" x14ac:dyDescent="0.35">
      <c r="A546" s="16">
        <v>2022</v>
      </c>
      <c r="B546" s="16" t="s">
        <v>343</v>
      </c>
      <c r="C546" t="str">
        <f t="shared" si="8"/>
        <v>2022Szikszói járás</v>
      </c>
      <c r="D546" s="16">
        <v>10386</v>
      </c>
    </row>
    <row r="547" spans="1:4" x14ac:dyDescent="0.35">
      <c r="A547" s="16">
        <v>2022</v>
      </c>
      <c r="B547" s="16" t="s">
        <v>345</v>
      </c>
      <c r="C547" t="str">
        <f t="shared" si="8"/>
        <v>2022Szobi járás</v>
      </c>
      <c r="D547" s="16">
        <v>16067</v>
      </c>
    </row>
    <row r="548" spans="1:4" x14ac:dyDescent="0.35">
      <c r="A548" s="16">
        <v>2022</v>
      </c>
      <c r="B548" s="16" t="s">
        <v>347</v>
      </c>
      <c r="C548" t="str">
        <f t="shared" si="8"/>
        <v>2022Szolnoki járás</v>
      </c>
      <c r="D548" s="16">
        <v>68177</v>
      </c>
    </row>
    <row r="549" spans="1:4" x14ac:dyDescent="0.35">
      <c r="A549" s="16">
        <v>2022</v>
      </c>
      <c r="B549" s="16" t="s">
        <v>349</v>
      </c>
      <c r="C549" t="str">
        <f t="shared" si="8"/>
        <v>2022Szombathelyi járás</v>
      </c>
      <c r="D549" s="16">
        <v>71733</v>
      </c>
    </row>
    <row r="550" spans="1:4" x14ac:dyDescent="0.35">
      <c r="A550" s="16">
        <v>2022</v>
      </c>
      <c r="B550" s="16" t="s">
        <v>351</v>
      </c>
      <c r="C550" t="str">
        <f t="shared" si="8"/>
        <v>2022Tabi járás</v>
      </c>
      <c r="D550" s="16">
        <v>7178</v>
      </c>
    </row>
    <row r="551" spans="1:4" x14ac:dyDescent="0.35">
      <c r="A551" s="16">
        <v>2022</v>
      </c>
      <c r="B551" s="16" t="s">
        <v>353</v>
      </c>
      <c r="C551" t="str">
        <f t="shared" si="8"/>
        <v>2022Tamási járás</v>
      </c>
      <c r="D551" s="16">
        <v>21505</v>
      </c>
    </row>
    <row r="552" spans="1:4" x14ac:dyDescent="0.35">
      <c r="A552" s="16">
        <v>2022</v>
      </c>
      <c r="B552" s="16" t="s">
        <v>355</v>
      </c>
      <c r="C552" t="str">
        <f t="shared" si="8"/>
        <v>2022Tapolcai járás</v>
      </c>
      <c r="D552" s="16">
        <v>19980</v>
      </c>
    </row>
    <row r="553" spans="1:4" x14ac:dyDescent="0.35">
      <c r="A553" s="16">
        <v>2022</v>
      </c>
      <c r="B553" s="16" t="s">
        <v>357</v>
      </c>
      <c r="C553" t="str">
        <f t="shared" si="8"/>
        <v>2022Tatabányai járás</v>
      </c>
      <c r="D553" s="16">
        <v>55484</v>
      </c>
    </row>
    <row r="554" spans="1:4" x14ac:dyDescent="0.35">
      <c r="A554" s="16">
        <v>2022</v>
      </c>
      <c r="B554" s="16" t="s">
        <v>359</v>
      </c>
      <c r="C554" t="str">
        <f t="shared" si="8"/>
        <v>2022Tatai járás</v>
      </c>
      <c r="D554" s="16">
        <v>25094</v>
      </c>
    </row>
    <row r="555" spans="1:4" x14ac:dyDescent="0.35">
      <c r="A555" s="16">
        <v>2022</v>
      </c>
      <c r="B555" s="16" t="s">
        <v>361</v>
      </c>
      <c r="C555" t="str">
        <f t="shared" si="8"/>
        <v>2022Téti járás</v>
      </c>
      <c r="D555" s="16">
        <v>9739</v>
      </c>
    </row>
    <row r="556" spans="1:4" x14ac:dyDescent="0.35">
      <c r="A556" s="16">
        <v>2022</v>
      </c>
      <c r="B556" s="16" t="s">
        <v>363</v>
      </c>
      <c r="C556" t="str">
        <f t="shared" si="8"/>
        <v>2022Tiszafüredi járás</v>
      </c>
      <c r="D556" s="16">
        <v>10879</v>
      </c>
    </row>
    <row r="557" spans="1:4" x14ac:dyDescent="0.35">
      <c r="A557" s="16">
        <v>2022</v>
      </c>
      <c r="B557" s="16" t="s">
        <v>365</v>
      </c>
      <c r="C557" t="str">
        <f t="shared" si="8"/>
        <v>2022Tiszakécskei járás</v>
      </c>
      <c r="D557" s="16">
        <v>14844</v>
      </c>
    </row>
    <row r="558" spans="1:4" x14ac:dyDescent="0.35">
      <c r="A558" s="16">
        <v>2022</v>
      </c>
      <c r="B558" s="16" t="s">
        <v>367</v>
      </c>
      <c r="C558" t="str">
        <f t="shared" si="8"/>
        <v>2022Tiszaújvárosi járás</v>
      </c>
      <c r="D558" s="16">
        <v>18784</v>
      </c>
    </row>
    <row r="559" spans="1:4" x14ac:dyDescent="0.35">
      <c r="A559" s="16">
        <v>2022</v>
      </c>
      <c r="B559" s="16" t="s">
        <v>369</v>
      </c>
      <c r="C559" t="str">
        <f t="shared" si="8"/>
        <v>2022Tiszavasvári járás</v>
      </c>
      <c r="D559" s="16">
        <v>16759</v>
      </c>
    </row>
    <row r="560" spans="1:4" x14ac:dyDescent="0.35">
      <c r="A560" s="16">
        <v>2022</v>
      </c>
      <c r="B560" s="16" t="s">
        <v>371</v>
      </c>
      <c r="C560" t="str">
        <f t="shared" si="8"/>
        <v>2022Tokaji járás</v>
      </c>
      <c r="D560" s="16">
        <v>7031</v>
      </c>
    </row>
    <row r="561" spans="1:4" x14ac:dyDescent="0.35">
      <c r="A561" s="16">
        <v>2022</v>
      </c>
      <c r="B561" s="16" t="s">
        <v>373</v>
      </c>
      <c r="C561" t="str">
        <f t="shared" si="8"/>
        <v>2022Tolnai járás</v>
      </c>
      <c r="D561" s="16">
        <v>10685</v>
      </c>
    </row>
    <row r="562" spans="1:4" x14ac:dyDescent="0.35">
      <c r="A562" s="16">
        <v>2022</v>
      </c>
      <c r="B562" s="16" t="s">
        <v>375</v>
      </c>
      <c r="C562" t="str">
        <f t="shared" si="8"/>
        <v>2022Törökszentmiklósi járás</v>
      </c>
      <c r="D562" s="16">
        <v>21260</v>
      </c>
    </row>
    <row r="563" spans="1:4" x14ac:dyDescent="0.35">
      <c r="A563" s="16">
        <v>2022</v>
      </c>
      <c r="B563" s="16" t="s">
        <v>377</v>
      </c>
      <c r="C563" t="str">
        <f t="shared" si="8"/>
        <v>2022Váci járás</v>
      </c>
      <c r="D563" s="16">
        <v>45397</v>
      </c>
    </row>
    <row r="564" spans="1:4" x14ac:dyDescent="0.35">
      <c r="A564" s="16">
        <v>2022</v>
      </c>
      <c r="B564" s="16" t="s">
        <v>379</v>
      </c>
      <c r="C564" t="str">
        <f t="shared" si="8"/>
        <v>2022Várpalotai járás</v>
      </c>
      <c r="D564" s="16">
        <v>22784</v>
      </c>
    </row>
    <row r="565" spans="1:4" x14ac:dyDescent="0.35">
      <c r="A565" s="16">
        <v>2022</v>
      </c>
      <c r="B565" s="16" t="s">
        <v>381</v>
      </c>
      <c r="C565" t="str">
        <f t="shared" si="8"/>
        <v>2022Vásárosnaményi járás</v>
      </c>
      <c r="D565" s="16">
        <v>21868</v>
      </c>
    </row>
    <row r="566" spans="1:4" x14ac:dyDescent="0.35">
      <c r="A566" s="16">
        <v>2022</v>
      </c>
      <c r="B566" s="16" t="s">
        <v>383</v>
      </c>
      <c r="C566" t="str">
        <f t="shared" si="8"/>
        <v>2022Vasvári járás</v>
      </c>
      <c r="D566" s="16">
        <v>8414</v>
      </c>
    </row>
    <row r="567" spans="1:4" x14ac:dyDescent="0.35">
      <c r="A567" s="16">
        <v>2022</v>
      </c>
      <c r="B567" s="16" t="s">
        <v>385</v>
      </c>
      <c r="C567" t="str">
        <f t="shared" si="8"/>
        <v>2022Vecsési járás</v>
      </c>
      <c r="D567" s="16">
        <v>32954</v>
      </c>
    </row>
    <row r="568" spans="1:4" x14ac:dyDescent="0.35">
      <c r="A568" s="16">
        <v>2022</v>
      </c>
      <c r="B568" s="16" t="s">
        <v>387</v>
      </c>
      <c r="C568" t="str">
        <f t="shared" si="8"/>
        <v>2022Veszprémi járás</v>
      </c>
      <c r="D568" s="16">
        <v>50579</v>
      </c>
    </row>
    <row r="569" spans="1:4" x14ac:dyDescent="0.35">
      <c r="A569" s="16">
        <v>2022</v>
      </c>
      <c r="B569" s="16" t="s">
        <v>389</v>
      </c>
      <c r="C569" t="str">
        <f t="shared" si="8"/>
        <v>2022Záhonyi járás</v>
      </c>
      <c r="D569" s="16">
        <v>11294</v>
      </c>
    </row>
    <row r="570" spans="1:4" x14ac:dyDescent="0.35">
      <c r="A570" s="16">
        <v>2022</v>
      </c>
      <c r="B570" s="16" t="s">
        <v>391</v>
      </c>
      <c r="C570" t="str">
        <f t="shared" si="8"/>
        <v>2022Zalaegerszegi járás</v>
      </c>
      <c r="D570" s="16">
        <v>60253</v>
      </c>
    </row>
    <row r="571" spans="1:4" x14ac:dyDescent="0.35">
      <c r="A571" s="16">
        <v>2022</v>
      </c>
      <c r="B571" s="16" t="s">
        <v>393</v>
      </c>
      <c r="C571" t="str">
        <f t="shared" si="8"/>
        <v>2022Zalaszentgróti járás</v>
      </c>
      <c r="D571" s="16">
        <v>8901</v>
      </c>
    </row>
    <row r="572" spans="1:4" x14ac:dyDescent="0.35">
      <c r="A572" s="16">
        <v>2022</v>
      </c>
      <c r="B572" s="16" t="s">
        <v>395</v>
      </c>
      <c r="C572" t="str">
        <f t="shared" si="8"/>
        <v>2022Zirci járás</v>
      </c>
      <c r="D572" s="16">
        <v>11752</v>
      </c>
    </row>
    <row r="573" spans="1:4" x14ac:dyDescent="0.35">
      <c r="A573" s="16">
        <v>2022</v>
      </c>
      <c r="B573" s="16" t="s">
        <v>41</v>
      </c>
      <c r="C573" t="str">
        <f t="shared" si="8"/>
        <v>2022Budapest 01. ker. járás</v>
      </c>
      <c r="D573" s="16">
        <v>14685</v>
      </c>
    </row>
    <row r="574" spans="1:4" x14ac:dyDescent="0.35">
      <c r="A574" s="16">
        <v>2022</v>
      </c>
      <c r="B574" s="16" t="s">
        <v>43</v>
      </c>
      <c r="C574" t="str">
        <f t="shared" si="8"/>
        <v>2022Budapest 02. ker. járás</v>
      </c>
      <c r="D574" s="16">
        <v>50339</v>
      </c>
    </row>
    <row r="575" spans="1:4" x14ac:dyDescent="0.35">
      <c r="A575" s="16">
        <v>2022</v>
      </c>
      <c r="B575" s="16" t="s">
        <v>45</v>
      </c>
      <c r="C575" t="str">
        <f t="shared" si="8"/>
        <v>2022Budapest 03. ker. járás</v>
      </c>
      <c r="D575" s="16">
        <v>78824</v>
      </c>
    </row>
    <row r="576" spans="1:4" x14ac:dyDescent="0.35">
      <c r="A576" s="16">
        <v>2022</v>
      </c>
      <c r="B576" s="16" t="s">
        <v>47</v>
      </c>
      <c r="C576" t="str">
        <f t="shared" si="8"/>
        <v>2022Budapest 04. ker. járás</v>
      </c>
      <c r="D576" s="16">
        <v>62149</v>
      </c>
    </row>
    <row r="577" spans="1:4" x14ac:dyDescent="0.35">
      <c r="A577" s="16">
        <v>2022</v>
      </c>
      <c r="B577" s="16" t="s">
        <v>49</v>
      </c>
      <c r="C577" t="str">
        <f t="shared" si="8"/>
        <v>2022Budapest 05. ker. járás</v>
      </c>
      <c r="D577" s="16">
        <v>15078</v>
      </c>
    </row>
    <row r="578" spans="1:4" x14ac:dyDescent="0.35">
      <c r="A578" s="16">
        <v>2022</v>
      </c>
      <c r="B578" s="16" t="s">
        <v>51</v>
      </c>
      <c r="C578" t="str">
        <f t="shared" si="8"/>
        <v>2022Budapest 06. ker. járás</v>
      </c>
      <c r="D578" s="16">
        <v>26326</v>
      </c>
    </row>
    <row r="579" spans="1:4" x14ac:dyDescent="0.35">
      <c r="A579" s="16">
        <v>2022</v>
      </c>
      <c r="B579" s="16" t="s">
        <v>53</v>
      </c>
      <c r="C579" t="str">
        <f t="shared" ref="C579:C642" si="9">A579&amp;B579</f>
        <v>2022Budapest 07. ker. járás</v>
      </c>
      <c r="D579" s="16">
        <v>36575</v>
      </c>
    </row>
    <row r="580" spans="1:4" x14ac:dyDescent="0.35">
      <c r="A580" s="16">
        <v>2022</v>
      </c>
      <c r="B580" s="16" t="s">
        <v>55</v>
      </c>
      <c r="C580" t="str">
        <f t="shared" si="9"/>
        <v>2022Budapest 08. ker. járás</v>
      </c>
      <c r="D580" s="16">
        <v>52720</v>
      </c>
    </row>
    <row r="581" spans="1:4" x14ac:dyDescent="0.35">
      <c r="A581" s="16">
        <v>2022</v>
      </c>
      <c r="B581" s="16" t="s">
        <v>57</v>
      </c>
      <c r="C581" t="str">
        <f t="shared" si="9"/>
        <v>2022Budapest 09. ker. járás</v>
      </c>
      <c r="D581" s="16">
        <v>44066</v>
      </c>
    </row>
    <row r="582" spans="1:4" x14ac:dyDescent="0.35">
      <c r="A582" s="16">
        <v>2022</v>
      </c>
      <c r="B582" s="16" t="s">
        <v>59</v>
      </c>
      <c r="C582" t="str">
        <f t="shared" si="9"/>
        <v>2022Budapest 10. ker. járás</v>
      </c>
      <c r="D582" s="16">
        <v>52316</v>
      </c>
    </row>
    <row r="583" spans="1:4" x14ac:dyDescent="0.35">
      <c r="A583" s="16">
        <v>2022</v>
      </c>
      <c r="B583" s="16" t="s">
        <v>61</v>
      </c>
      <c r="C583" t="str">
        <f t="shared" si="9"/>
        <v>2022Budapest 11. ker. járás</v>
      </c>
      <c r="D583" s="16">
        <v>90645</v>
      </c>
    </row>
    <row r="584" spans="1:4" x14ac:dyDescent="0.35">
      <c r="A584" s="16">
        <v>2022</v>
      </c>
      <c r="B584" s="16" t="s">
        <v>63</v>
      </c>
      <c r="C584" t="str">
        <f t="shared" si="9"/>
        <v>2022Budapest 12. ker. járás</v>
      </c>
      <c r="D584" s="16">
        <v>33449</v>
      </c>
    </row>
    <row r="585" spans="1:4" x14ac:dyDescent="0.35">
      <c r="A585" s="16">
        <v>2022</v>
      </c>
      <c r="B585" s="16" t="s">
        <v>65</v>
      </c>
      <c r="C585" t="str">
        <f t="shared" si="9"/>
        <v>2022Budapest 13. ker. járás</v>
      </c>
      <c r="D585" s="16">
        <v>85005</v>
      </c>
    </row>
    <row r="586" spans="1:4" x14ac:dyDescent="0.35">
      <c r="A586" s="16">
        <v>2022</v>
      </c>
      <c r="B586" s="16" t="s">
        <v>67</v>
      </c>
      <c r="C586" t="str">
        <f t="shared" si="9"/>
        <v>2022Budapest 14. ker. járás</v>
      </c>
      <c r="D586" s="16">
        <v>78315</v>
      </c>
    </row>
    <row r="587" spans="1:4" x14ac:dyDescent="0.35">
      <c r="A587" s="16">
        <v>2022</v>
      </c>
      <c r="B587" s="16" t="s">
        <v>69</v>
      </c>
      <c r="C587" t="str">
        <f t="shared" si="9"/>
        <v>2022Budapest 15. ker. járás</v>
      </c>
      <c r="D587" s="16">
        <v>50337</v>
      </c>
    </row>
    <row r="588" spans="1:4" x14ac:dyDescent="0.35">
      <c r="A588" s="16">
        <v>2022</v>
      </c>
      <c r="B588" s="16" t="s">
        <v>71</v>
      </c>
      <c r="C588" t="str">
        <f t="shared" si="9"/>
        <v>2022Budapest 16. ker. járás</v>
      </c>
      <c r="D588" s="16">
        <v>45089</v>
      </c>
    </row>
    <row r="589" spans="1:4" x14ac:dyDescent="0.35">
      <c r="A589" s="16">
        <v>2022</v>
      </c>
      <c r="B589" s="16" t="s">
        <v>73</v>
      </c>
      <c r="C589" t="str">
        <f t="shared" si="9"/>
        <v>2022Budapest 17. ker. járás</v>
      </c>
      <c r="D589" s="16">
        <v>53283</v>
      </c>
    </row>
    <row r="590" spans="1:4" x14ac:dyDescent="0.35">
      <c r="A590" s="16">
        <v>2022</v>
      </c>
      <c r="B590" s="16" t="s">
        <v>75</v>
      </c>
      <c r="C590" t="str">
        <f t="shared" si="9"/>
        <v>2022Budapest 18. ker. járás</v>
      </c>
      <c r="D590" s="16">
        <v>63505</v>
      </c>
    </row>
    <row r="591" spans="1:4" x14ac:dyDescent="0.35">
      <c r="A591" s="16">
        <v>2022</v>
      </c>
      <c r="B591" s="16" t="s">
        <v>77</v>
      </c>
      <c r="C591" t="str">
        <f t="shared" si="9"/>
        <v>2022Budapest 19. ker. járás</v>
      </c>
      <c r="D591" s="16">
        <v>35815</v>
      </c>
    </row>
    <row r="592" spans="1:4" x14ac:dyDescent="0.35">
      <c r="A592" s="16">
        <v>2022</v>
      </c>
      <c r="B592" s="16" t="s">
        <v>79</v>
      </c>
      <c r="C592" t="str">
        <f t="shared" si="9"/>
        <v>2022Budapest 20. ker. járás</v>
      </c>
      <c r="D592" s="16">
        <v>41404</v>
      </c>
    </row>
    <row r="593" spans="1:4" x14ac:dyDescent="0.35">
      <c r="A593" s="16">
        <v>2022</v>
      </c>
      <c r="B593" s="16" t="s">
        <v>81</v>
      </c>
      <c r="C593" t="str">
        <f t="shared" si="9"/>
        <v>2022Budapest 21. ker. járás</v>
      </c>
      <c r="D593" s="16">
        <v>45674</v>
      </c>
    </row>
    <row r="594" spans="1:4" x14ac:dyDescent="0.35">
      <c r="A594" s="16">
        <v>2022</v>
      </c>
      <c r="B594" s="16" t="s">
        <v>83</v>
      </c>
      <c r="C594" t="str">
        <f t="shared" si="9"/>
        <v>2022Budapest 22. ker. járás</v>
      </c>
      <c r="D594" s="16">
        <v>35059</v>
      </c>
    </row>
    <row r="595" spans="1:4" x14ac:dyDescent="0.35">
      <c r="A595" s="16">
        <v>2022</v>
      </c>
      <c r="B595" s="16" t="s">
        <v>85</v>
      </c>
      <c r="C595" t="str">
        <f t="shared" si="9"/>
        <v>2022Budapest 23. ker. járás</v>
      </c>
      <c r="D595" s="16">
        <v>14950</v>
      </c>
    </row>
    <row r="596" spans="1:4" x14ac:dyDescent="0.35">
      <c r="A596" s="16">
        <v>2024</v>
      </c>
      <c r="B596" t="s">
        <v>1</v>
      </c>
      <c r="C596" t="str">
        <f t="shared" si="9"/>
        <v>2024Ajkai járás</v>
      </c>
      <c r="D596">
        <v>23644</v>
      </c>
    </row>
    <row r="597" spans="1:4" x14ac:dyDescent="0.35">
      <c r="A597" s="16">
        <v>2024</v>
      </c>
      <c r="B597" t="s">
        <v>3</v>
      </c>
      <c r="C597" t="str">
        <f t="shared" si="9"/>
        <v>2024Aszódi járás</v>
      </c>
      <c r="D597">
        <v>25677</v>
      </c>
    </row>
    <row r="598" spans="1:4" x14ac:dyDescent="0.35">
      <c r="A598" s="16">
        <v>2024</v>
      </c>
      <c r="B598" t="s">
        <v>5</v>
      </c>
      <c r="C598" t="str">
        <f t="shared" si="9"/>
        <v>2024Bácsalmási járás</v>
      </c>
      <c r="D598">
        <v>11928</v>
      </c>
    </row>
    <row r="599" spans="1:4" x14ac:dyDescent="0.35">
      <c r="A599" s="16">
        <v>2024</v>
      </c>
      <c r="B599" t="s">
        <v>7</v>
      </c>
      <c r="C599" t="str">
        <f t="shared" si="9"/>
        <v>2024Bajai járás</v>
      </c>
      <c r="D599">
        <v>40300</v>
      </c>
    </row>
    <row r="600" spans="1:4" x14ac:dyDescent="0.35">
      <c r="A600" s="16">
        <v>2024</v>
      </c>
      <c r="B600" t="s">
        <v>9</v>
      </c>
      <c r="C600" t="str">
        <f t="shared" si="9"/>
        <v>2024Baktalórántházai járás</v>
      </c>
      <c r="D600">
        <v>12660</v>
      </c>
    </row>
    <row r="601" spans="1:4" x14ac:dyDescent="0.35">
      <c r="A601" s="16">
        <v>2024</v>
      </c>
      <c r="B601" t="s">
        <v>11</v>
      </c>
      <c r="C601" t="str">
        <f t="shared" si="9"/>
        <v>2024Balassagyarmati járás</v>
      </c>
      <c r="D601">
        <v>23833</v>
      </c>
    </row>
    <row r="602" spans="1:4" x14ac:dyDescent="0.35">
      <c r="A602" s="16">
        <v>2024</v>
      </c>
      <c r="B602" t="s">
        <v>13</v>
      </c>
      <c r="C602" t="str">
        <f t="shared" si="9"/>
        <v>2024Balatonalmádi járás</v>
      </c>
      <c r="D602">
        <v>17520</v>
      </c>
    </row>
    <row r="603" spans="1:4" x14ac:dyDescent="0.35">
      <c r="A603" s="16">
        <v>2024</v>
      </c>
      <c r="B603" t="s">
        <v>15</v>
      </c>
      <c r="C603" t="str">
        <f t="shared" si="9"/>
        <v>2024Balatonfüredi járás</v>
      </c>
      <c r="D603">
        <v>16349</v>
      </c>
    </row>
    <row r="604" spans="1:4" x14ac:dyDescent="0.35">
      <c r="A604" s="16">
        <v>2024</v>
      </c>
      <c r="B604" t="s">
        <v>17</v>
      </c>
      <c r="C604" t="str">
        <f t="shared" si="9"/>
        <v>2024Balmazújvárosi járás</v>
      </c>
      <c r="D604">
        <v>19558</v>
      </c>
    </row>
    <row r="605" spans="1:4" x14ac:dyDescent="0.35">
      <c r="A605" s="16">
        <v>2024</v>
      </c>
      <c r="B605" t="s">
        <v>19</v>
      </c>
      <c r="C605" t="str">
        <f t="shared" si="9"/>
        <v>2024Barcsi járás</v>
      </c>
      <c r="D605">
        <v>14743</v>
      </c>
    </row>
    <row r="606" spans="1:4" x14ac:dyDescent="0.35">
      <c r="A606" s="16">
        <v>2024</v>
      </c>
      <c r="B606" t="s">
        <v>21</v>
      </c>
      <c r="C606" t="str">
        <f t="shared" si="9"/>
        <v>2024Bátonyterenyei járás</v>
      </c>
      <c r="D606">
        <v>12365</v>
      </c>
    </row>
    <row r="607" spans="1:4" x14ac:dyDescent="0.35">
      <c r="A607" s="16">
        <v>2024</v>
      </c>
      <c r="B607" t="s">
        <v>23</v>
      </c>
      <c r="C607" t="str">
        <f t="shared" si="9"/>
        <v>2024Békéscsabai járás</v>
      </c>
      <c r="D607">
        <v>49367</v>
      </c>
    </row>
    <row r="608" spans="1:4" x14ac:dyDescent="0.35">
      <c r="A608" s="16">
        <v>2024</v>
      </c>
      <c r="B608" t="s">
        <v>25</v>
      </c>
      <c r="C608" t="str">
        <f t="shared" si="9"/>
        <v>2024Békési járás</v>
      </c>
      <c r="D608">
        <v>22050</v>
      </c>
    </row>
    <row r="609" spans="1:4" x14ac:dyDescent="0.35">
      <c r="A609" s="16">
        <v>2024</v>
      </c>
      <c r="B609" t="s">
        <v>27</v>
      </c>
      <c r="C609" t="str">
        <f t="shared" si="9"/>
        <v>2024Bélapátfalvai járás</v>
      </c>
      <c r="D609">
        <v>5259</v>
      </c>
    </row>
    <row r="610" spans="1:4" x14ac:dyDescent="0.35">
      <c r="A610" s="16">
        <v>2024</v>
      </c>
      <c r="B610" t="s">
        <v>29</v>
      </c>
      <c r="C610" t="str">
        <f t="shared" si="9"/>
        <v>2024Berettyóújfalui járás</v>
      </c>
      <c r="D610">
        <v>29613</v>
      </c>
    </row>
    <row r="611" spans="1:4" x14ac:dyDescent="0.35">
      <c r="A611" s="16">
        <v>2024</v>
      </c>
      <c r="B611" t="s">
        <v>31</v>
      </c>
      <c r="C611" t="str">
        <f t="shared" si="9"/>
        <v>2024Bicskei járás</v>
      </c>
      <c r="D611">
        <v>25444</v>
      </c>
    </row>
    <row r="612" spans="1:4" x14ac:dyDescent="0.35">
      <c r="A612" s="16">
        <v>2024</v>
      </c>
      <c r="B612" t="s">
        <v>33</v>
      </c>
      <c r="C612" t="str">
        <f t="shared" si="9"/>
        <v>2024Bólyi járás</v>
      </c>
      <c r="D612">
        <v>7466</v>
      </c>
    </row>
    <row r="613" spans="1:4" x14ac:dyDescent="0.35">
      <c r="A613" s="16">
        <v>2024</v>
      </c>
      <c r="B613" t="s">
        <v>35</v>
      </c>
      <c r="C613" t="str">
        <f t="shared" si="9"/>
        <v>2024Bonyhádi járás</v>
      </c>
      <c r="D613">
        <v>18450</v>
      </c>
    </row>
    <row r="614" spans="1:4" x14ac:dyDescent="0.35">
      <c r="A614" s="16">
        <v>2024</v>
      </c>
      <c r="B614" t="s">
        <v>37</v>
      </c>
      <c r="C614" t="str">
        <f t="shared" si="9"/>
        <v>2024Budakeszi járás</v>
      </c>
      <c r="D614">
        <v>63969</v>
      </c>
    </row>
    <row r="615" spans="1:4" x14ac:dyDescent="0.35">
      <c r="A615" s="16">
        <v>2024</v>
      </c>
      <c r="B615" t="s">
        <v>41</v>
      </c>
      <c r="C615" t="str">
        <f t="shared" si="9"/>
        <v>2024Budapest 01. ker. járás</v>
      </c>
      <c r="D615">
        <v>15800</v>
      </c>
    </row>
    <row r="616" spans="1:4" x14ac:dyDescent="0.35">
      <c r="A616" s="16">
        <v>2024</v>
      </c>
      <c r="B616" t="s">
        <v>43</v>
      </c>
      <c r="C616" t="str">
        <f t="shared" si="9"/>
        <v>2024Budapest 02. ker. járás</v>
      </c>
      <c r="D616">
        <v>49760</v>
      </c>
    </row>
    <row r="617" spans="1:4" x14ac:dyDescent="0.35">
      <c r="A617" s="16">
        <v>2024</v>
      </c>
      <c r="B617" t="s">
        <v>45</v>
      </c>
      <c r="C617" t="str">
        <f t="shared" si="9"/>
        <v>2024Budapest 03. ker. járás</v>
      </c>
      <c r="D617">
        <v>77449</v>
      </c>
    </row>
    <row r="618" spans="1:4" x14ac:dyDescent="0.35">
      <c r="A618" s="16">
        <v>2024</v>
      </c>
      <c r="B618" t="s">
        <v>47</v>
      </c>
      <c r="C618" t="str">
        <f t="shared" si="9"/>
        <v>2024Budapest 04. ker. járás</v>
      </c>
      <c r="D618">
        <v>59988</v>
      </c>
    </row>
    <row r="619" spans="1:4" x14ac:dyDescent="0.35">
      <c r="A619" s="16">
        <v>2024</v>
      </c>
      <c r="B619" t="s">
        <v>49</v>
      </c>
      <c r="C619" t="str">
        <f t="shared" si="9"/>
        <v>2024Budapest 05. ker. járás</v>
      </c>
      <c r="D619">
        <v>16637</v>
      </c>
    </row>
    <row r="620" spans="1:4" x14ac:dyDescent="0.35">
      <c r="A620" s="16">
        <v>2024</v>
      </c>
      <c r="B620" t="s">
        <v>51</v>
      </c>
      <c r="C620" t="str">
        <f t="shared" si="9"/>
        <v>2024Budapest 06. ker. járás</v>
      </c>
      <c r="D620">
        <v>25435</v>
      </c>
    </row>
    <row r="621" spans="1:4" x14ac:dyDescent="0.35">
      <c r="A621" s="16">
        <v>2024</v>
      </c>
      <c r="B621" t="s">
        <v>53</v>
      </c>
      <c r="C621" t="str">
        <f t="shared" si="9"/>
        <v>2024Budapest 07. ker. járás</v>
      </c>
      <c r="D621">
        <v>34562</v>
      </c>
    </row>
    <row r="622" spans="1:4" x14ac:dyDescent="0.35">
      <c r="A622" s="16">
        <v>2024</v>
      </c>
      <c r="B622" t="s">
        <v>55</v>
      </c>
      <c r="C622" t="str">
        <f t="shared" si="9"/>
        <v>2024Budapest 08. ker. járás</v>
      </c>
      <c r="D622">
        <v>49245</v>
      </c>
    </row>
    <row r="623" spans="1:4" x14ac:dyDescent="0.35">
      <c r="A623" s="16">
        <v>2024</v>
      </c>
      <c r="B623" t="s">
        <v>57</v>
      </c>
      <c r="C623" t="str">
        <f t="shared" si="9"/>
        <v>2024Budapest 09. ker. járás</v>
      </c>
      <c r="D623">
        <v>37110</v>
      </c>
    </row>
    <row r="624" spans="1:4" x14ac:dyDescent="0.35">
      <c r="A624" s="16">
        <v>2024</v>
      </c>
      <c r="B624" t="s">
        <v>59</v>
      </c>
      <c r="C624" t="str">
        <f t="shared" si="9"/>
        <v>2024Budapest 10. ker. járás</v>
      </c>
      <c r="D624">
        <v>46122</v>
      </c>
    </row>
    <row r="625" spans="1:4" x14ac:dyDescent="0.35">
      <c r="A625" s="16">
        <v>2024</v>
      </c>
      <c r="B625" t="s">
        <v>61</v>
      </c>
      <c r="C625" t="str">
        <f t="shared" si="9"/>
        <v>2024Budapest 11. ker. járás</v>
      </c>
      <c r="D625">
        <v>80815</v>
      </c>
    </row>
    <row r="626" spans="1:4" x14ac:dyDescent="0.35">
      <c r="A626" s="16">
        <v>2024</v>
      </c>
      <c r="B626" t="s">
        <v>63</v>
      </c>
      <c r="C626" t="str">
        <f t="shared" si="9"/>
        <v>2024Budapest 12. ker. járás</v>
      </c>
      <c r="D626">
        <v>32637</v>
      </c>
    </row>
    <row r="627" spans="1:4" x14ac:dyDescent="0.35">
      <c r="A627" s="16">
        <v>2024</v>
      </c>
      <c r="B627" t="s">
        <v>65</v>
      </c>
      <c r="C627" t="str">
        <f t="shared" si="9"/>
        <v>2024Budapest 13. ker. járás</v>
      </c>
      <c r="D627">
        <v>78705</v>
      </c>
    </row>
    <row r="628" spans="1:4" x14ac:dyDescent="0.35">
      <c r="A628" s="16">
        <v>2024</v>
      </c>
      <c r="B628" t="s">
        <v>67</v>
      </c>
      <c r="C628" t="str">
        <f t="shared" si="9"/>
        <v>2024Budapest 14. ker. járás</v>
      </c>
      <c r="D628">
        <v>71787</v>
      </c>
    </row>
    <row r="629" spans="1:4" x14ac:dyDescent="0.35">
      <c r="A629" s="16">
        <v>2024</v>
      </c>
      <c r="B629" t="s">
        <v>69</v>
      </c>
      <c r="C629" t="str">
        <f t="shared" si="9"/>
        <v>2024Budapest 15. ker. járás</v>
      </c>
      <c r="D629">
        <v>48532</v>
      </c>
    </row>
    <row r="630" spans="1:4" x14ac:dyDescent="0.35">
      <c r="A630" s="16">
        <v>2024</v>
      </c>
      <c r="B630" t="s">
        <v>71</v>
      </c>
      <c r="C630" t="str">
        <f t="shared" si="9"/>
        <v>2024Budapest 16. ker. járás</v>
      </c>
      <c r="D630">
        <v>44927</v>
      </c>
    </row>
    <row r="631" spans="1:4" x14ac:dyDescent="0.35">
      <c r="A631" s="16">
        <v>2024</v>
      </c>
      <c r="B631" t="s">
        <v>73</v>
      </c>
      <c r="C631" t="str">
        <f t="shared" si="9"/>
        <v>2024Budapest 17. ker. járás</v>
      </c>
      <c r="D631">
        <v>54824</v>
      </c>
    </row>
    <row r="632" spans="1:4" x14ac:dyDescent="0.35">
      <c r="A632" s="16">
        <v>2024</v>
      </c>
      <c r="B632" t="s">
        <v>75</v>
      </c>
      <c r="C632" t="str">
        <f t="shared" si="9"/>
        <v>2024Budapest 18. ker. járás</v>
      </c>
      <c r="D632">
        <v>63782</v>
      </c>
    </row>
    <row r="633" spans="1:4" x14ac:dyDescent="0.35">
      <c r="A633" s="16">
        <v>2024</v>
      </c>
      <c r="B633" t="s">
        <v>77</v>
      </c>
      <c r="C633" t="str">
        <f t="shared" si="9"/>
        <v>2024Budapest 19. ker. járás</v>
      </c>
      <c r="D633">
        <v>34943</v>
      </c>
    </row>
    <row r="634" spans="1:4" x14ac:dyDescent="0.35">
      <c r="A634" s="16">
        <v>2024</v>
      </c>
      <c r="B634" t="s">
        <v>79</v>
      </c>
      <c r="C634" t="str">
        <f t="shared" si="9"/>
        <v>2024Budapest 20. ker. járás</v>
      </c>
      <c r="D634">
        <v>39328</v>
      </c>
    </row>
    <row r="635" spans="1:4" x14ac:dyDescent="0.35">
      <c r="A635" s="16">
        <v>2024</v>
      </c>
      <c r="B635" t="s">
        <v>81</v>
      </c>
      <c r="C635" t="str">
        <f t="shared" si="9"/>
        <v>2024Budapest 21. ker. járás</v>
      </c>
      <c r="D635">
        <v>44735</v>
      </c>
    </row>
    <row r="636" spans="1:4" x14ac:dyDescent="0.35">
      <c r="A636" s="16">
        <v>2024</v>
      </c>
      <c r="B636" t="s">
        <v>83</v>
      </c>
      <c r="C636" t="str">
        <f t="shared" si="9"/>
        <v>2024Budapest 22. ker. járás</v>
      </c>
      <c r="D636">
        <v>34793</v>
      </c>
    </row>
    <row r="637" spans="1:4" x14ac:dyDescent="0.35">
      <c r="A637" s="16">
        <v>2024</v>
      </c>
      <c r="B637" t="s">
        <v>85</v>
      </c>
      <c r="C637" t="str">
        <f t="shared" si="9"/>
        <v>2024Budapest 23. ker. járás</v>
      </c>
      <c r="D637">
        <v>15013</v>
      </c>
    </row>
    <row r="638" spans="1:4" x14ac:dyDescent="0.35">
      <c r="A638" s="16">
        <v>2024</v>
      </c>
      <c r="B638" t="s">
        <v>87</v>
      </c>
      <c r="C638" t="str">
        <f t="shared" si="9"/>
        <v>2024Ceglédi járás</v>
      </c>
      <c r="D638">
        <v>59989</v>
      </c>
    </row>
    <row r="639" spans="1:4" x14ac:dyDescent="0.35">
      <c r="A639" s="16">
        <v>2024</v>
      </c>
      <c r="B639" t="s">
        <v>89</v>
      </c>
      <c r="C639" t="str">
        <f t="shared" si="9"/>
        <v>2024Celldömölki járás</v>
      </c>
      <c r="D639">
        <v>15125</v>
      </c>
    </row>
    <row r="640" spans="1:4" x14ac:dyDescent="0.35">
      <c r="A640" s="16">
        <v>2024</v>
      </c>
      <c r="B640" t="s">
        <v>91</v>
      </c>
      <c r="C640" t="str">
        <f t="shared" si="9"/>
        <v>2024Cigándi járás</v>
      </c>
      <c r="D640">
        <v>10297</v>
      </c>
    </row>
    <row r="641" spans="1:4" x14ac:dyDescent="0.35">
      <c r="A641" s="16">
        <v>2024</v>
      </c>
      <c r="B641" t="s">
        <v>93</v>
      </c>
      <c r="C641" t="str">
        <f t="shared" si="9"/>
        <v>2024Csengeri járás</v>
      </c>
      <c r="D641">
        <v>9265</v>
      </c>
    </row>
    <row r="642" spans="1:4" x14ac:dyDescent="0.35">
      <c r="A642" s="16">
        <v>2024</v>
      </c>
      <c r="B642" t="s">
        <v>95</v>
      </c>
      <c r="C642" t="str">
        <f t="shared" si="9"/>
        <v>2024Csongrádi járás</v>
      </c>
      <c r="D642">
        <v>13442</v>
      </c>
    </row>
    <row r="643" spans="1:4" x14ac:dyDescent="0.35">
      <c r="A643" s="16">
        <v>2024</v>
      </c>
      <c r="B643" t="s">
        <v>97</v>
      </c>
      <c r="C643" t="str">
        <f t="shared" ref="C643:C706" si="10">A643&amp;B643</f>
        <v>2024Csornai járás</v>
      </c>
      <c r="D643">
        <v>21396</v>
      </c>
    </row>
    <row r="644" spans="1:4" x14ac:dyDescent="0.35">
      <c r="A644" s="16">
        <v>2024</v>
      </c>
      <c r="B644" t="s">
        <v>99</v>
      </c>
      <c r="C644" t="str">
        <f t="shared" si="10"/>
        <v>2024Csurgói járás</v>
      </c>
      <c r="D644">
        <v>10562</v>
      </c>
    </row>
    <row r="645" spans="1:4" x14ac:dyDescent="0.35">
      <c r="A645" s="16">
        <v>2024</v>
      </c>
      <c r="B645" t="s">
        <v>101</v>
      </c>
      <c r="C645" t="str">
        <f t="shared" si="10"/>
        <v>2024Dabasi járás</v>
      </c>
      <c r="D645">
        <v>35102</v>
      </c>
    </row>
    <row r="646" spans="1:4" x14ac:dyDescent="0.35">
      <c r="A646" s="16">
        <v>2024</v>
      </c>
      <c r="B646" t="s">
        <v>103</v>
      </c>
      <c r="C646" t="str">
        <f t="shared" si="10"/>
        <v>2024Debreceni járás</v>
      </c>
      <c r="D646">
        <v>136152</v>
      </c>
    </row>
    <row r="647" spans="1:4" x14ac:dyDescent="0.35">
      <c r="A647" s="16">
        <v>2024</v>
      </c>
      <c r="B647" t="s">
        <v>105</v>
      </c>
      <c r="C647" t="str">
        <f t="shared" si="10"/>
        <v>2024Derecskei járás</v>
      </c>
      <c r="D647">
        <v>28523</v>
      </c>
    </row>
    <row r="648" spans="1:4" x14ac:dyDescent="0.35">
      <c r="A648" s="16">
        <v>2024</v>
      </c>
      <c r="B648" t="s">
        <v>107</v>
      </c>
      <c r="C648" t="str">
        <f t="shared" si="10"/>
        <v>2024Devecseri járás</v>
      </c>
      <c r="D648">
        <v>9929</v>
      </c>
    </row>
    <row r="649" spans="1:4" x14ac:dyDescent="0.35">
      <c r="A649" s="16">
        <v>2024</v>
      </c>
      <c r="B649" t="s">
        <v>109</v>
      </c>
      <c r="C649" t="str">
        <f t="shared" si="10"/>
        <v>2024Dombóvári járás</v>
      </c>
      <c r="D649">
        <v>19104</v>
      </c>
    </row>
    <row r="650" spans="1:4" x14ac:dyDescent="0.35">
      <c r="A650" s="16">
        <v>2024</v>
      </c>
      <c r="B650" t="s">
        <v>111</v>
      </c>
      <c r="C650" t="str">
        <f t="shared" si="10"/>
        <v>2024Dunakeszi járás</v>
      </c>
      <c r="D650">
        <v>57870</v>
      </c>
    </row>
    <row r="651" spans="1:4" x14ac:dyDescent="0.35">
      <c r="A651" s="16">
        <v>2024</v>
      </c>
      <c r="B651" t="s">
        <v>113</v>
      </c>
      <c r="C651" t="str">
        <f t="shared" si="10"/>
        <v>2024Dunaújvárosi járás</v>
      </c>
      <c r="D651">
        <v>58024</v>
      </c>
    </row>
    <row r="652" spans="1:4" x14ac:dyDescent="0.35">
      <c r="A652" s="16">
        <v>2024</v>
      </c>
      <c r="B652" t="s">
        <v>115</v>
      </c>
      <c r="C652" t="str">
        <f t="shared" si="10"/>
        <v>2024Edelényi járás</v>
      </c>
      <c r="D652">
        <v>21100</v>
      </c>
    </row>
    <row r="653" spans="1:4" x14ac:dyDescent="0.35">
      <c r="A653" s="16">
        <v>2024</v>
      </c>
      <c r="B653" t="s">
        <v>117</v>
      </c>
      <c r="C653" t="str">
        <f t="shared" si="10"/>
        <v>2024Egri járás</v>
      </c>
      <c r="D653">
        <v>52188</v>
      </c>
    </row>
    <row r="654" spans="1:4" x14ac:dyDescent="0.35">
      <c r="A654" s="16">
        <v>2024</v>
      </c>
      <c r="B654" t="s">
        <v>119</v>
      </c>
      <c r="C654" t="str">
        <f t="shared" si="10"/>
        <v>2024Encsi járás</v>
      </c>
      <c r="D654">
        <v>13966</v>
      </c>
    </row>
    <row r="655" spans="1:4" x14ac:dyDescent="0.35">
      <c r="A655" s="16">
        <v>2024</v>
      </c>
      <c r="B655" t="s">
        <v>121</v>
      </c>
      <c r="C655" t="str">
        <f t="shared" si="10"/>
        <v>2024Enyingi járás</v>
      </c>
      <c r="D655">
        <v>13535</v>
      </c>
    </row>
    <row r="656" spans="1:4" x14ac:dyDescent="0.35">
      <c r="A656" s="16">
        <v>2024</v>
      </c>
      <c r="B656" t="s">
        <v>123</v>
      </c>
      <c r="C656" t="str">
        <f t="shared" si="10"/>
        <v>2024Érdi járás</v>
      </c>
      <c r="D656">
        <v>87762</v>
      </c>
    </row>
    <row r="657" spans="1:4" x14ac:dyDescent="0.35">
      <c r="A657" s="16">
        <v>2024</v>
      </c>
      <c r="B657" t="s">
        <v>125</v>
      </c>
      <c r="C657" t="str">
        <f t="shared" si="10"/>
        <v>2024Esztergomi járás</v>
      </c>
      <c r="D657">
        <v>61267</v>
      </c>
    </row>
    <row r="658" spans="1:4" x14ac:dyDescent="0.35">
      <c r="A658" s="16">
        <v>2024</v>
      </c>
      <c r="B658" t="s">
        <v>127</v>
      </c>
      <c r="C658" t="str">
        <f t="shared" si="10"/>
        <v>2024Fehérgyarmati járás</v>
      </c>
      <c r="D658">
        <v>26124</v>
      </c>
    </row>
    <row r="659" spans="1:4" x14ac:dyDescent="0.35">
      <c r="A659" s="16">
        <v>2024</v>
      </c>
      <c r="B659" t="s">
        <v>129</v>
      </c>
      <c r="C659" t="str">
        <f t="shared" si="10"/>
        <v>2024Fonyódi járás</v>
      </c>
      <c r="D659">
        <v>21763</v>
      </c>
    </row>
    <row r="660" spans="1:4" x14ac:dyDescent="0.35">
      <c r="A660" s="16">
        <v>2024</v>
      </c>
      <c r="B660" t="s">
        <v>131</v>
      </c>
      <c r="C660" t="str">
        <f t="shared" si="10"/>
        <v>2024Füzesabonyi járás</v>
      </c>
      <c r="D660">
        <v>19245</v>
      </c>
    </row>
    <row r="661" spans="1:4" x14ac:dyDescent="0.35">
      <c r="A661" s="16">
        <v>2024</v>
      </c>
      <c r="B661" t="s">
        <v>133</v>
      </c>
      <c r="C661" t="str">
        <f t="shared" si="10"/>
        <v>2024Gárdonyi járás</v>
      </c>
      <c r="D661">
        <v>23902</v>
      </c>
    </row>
    <row r="662" spans="1:4" x14ac:dyDescent="0.35">
      <c r="A662" s="16">
        <v>2024</v>
      </c>
      <c r="B662" t="s">
        <v>135</v>
      </c>
      <c r="C662" t="str">
        <f t="shared" si="10"/>
        <v>2024Gödöllői járás</v>
      </c>
      <c r="D662">
        <v>106219</v>
      </c>
    </row>
    <row r="663" spans="1:4" x14ac:dyDescent="0.35">
      <c r="A663" s="16">
        <v>2024</v>
      </c>
      <c r="B663" t="s">
        <v>137</v>
      </c>
      <c r="C663" t="str">
        <f t="shared" si="10"/>
        <v>2024Gönci járás</v>
      </c>
      <c r="D663">
        <v>11378</v>
      </c>
    </row>
    <row r="664" spans="1:4" x14ac:dyDescent="0.35">
      <c r="A664" s="16">
        <v>2024</v>
      </c>
      <c r="B664" t="s">
        <v>139</v>
      </c>
      <c r="C664" t="str">
        <f t="shared" si="10"/>
        <v>2024Gyáli járás</v>
      </c>
      <c r="D664">
        <v>30348</v>
      </c>
    </row>
    <row r="665" spans="1:4" x14ac:dyDescent="0.35">
      <c r="A665" s="16">
        <v>2024</v>
      </c>
      <c r="B665" t="s">
        <v>141</v>
      </c>
      <c r="C665" t="str">
        <f t="shared" si="10"/>
        <v>2024Gyomaendrődi járás</v>
      </c>
      <c r="D665">
        <v>14139</v>
      </c>
    </row>
    <row r="666" spans="1:4" x14ac:dyDescent="0.35">
      <c r="A666" s="16">
        <v>2024</v>
      </c>
      <c r="B666" t="s">
        <v>143</v>
      </c>
      <c r="C666" t="str">
        <f t="shared" si="10"/>
        <v>2024Gyöngyösi járás</v>
      </c>
      <c r="D666">
        <v>42841</v>
      </c>
    </row>
    <row r="667" spans="1:4" x14ac:dyDescent="0.35">
      <c r="A667" s="16">
        <v>2024</v>
      </c>
      <c r="B667" t="s">
        <v>145</v>
      </c>
      <c r="C667" t="str">
        <f t="shared" si="10"/>
        <v>2024Győri járás</v>
      </c>
      <c r="D667">
        <v>128648</v>
      </c>
    </row>
    <row r="668" spans="1:4" x14ac:dyDescent="0.35">
      <c r="A668" s="16">
        <v>2024</v>
      </c>
      <c r="B668" t="s">
        <v>147</v>
      </c>
      <c r="C668" t="str">
        <f t="shared" si="10"/>
        <v>2024Gyulai járás</v>
      </c>
      <c r="D668">
        <v>24673</v>
      </c>
    </row>
    <row r="669" spans="1:4" x14ac:dyDescent="0.35">
      <c r="A669" s="16">
        <v>2024</v>
      </c>
      <c r="B669" t="s">
        <v>149</v>
      </c>
      <c r="C669" t="str">
        <f t="shared" si="10"/>
        <v>2024Hajdúböszörményi járás</v>
      </c>
      <c r="D669">
        <v>25224</v>
      </c>
    </row>
    <row r="670" spans="1:4" x14ac:dyDescent="0.35">
      <c r="A670" s="16">
        <v>2024</v>
      </c>
      <c r="B670" t="s">
        <v>151</v>
      </c>
      <c r="C670" t="str">
        <f t="shared" si="10"/>
        <v>2024Hajdúhadházi járás</v>
      </c>
      <c r="D670">
        <v>16000</v>
      </c>
    </row>
    <row r="671" spans="1:4" x14ac:dyDescent="0.35">
      <c r="A671" s="16">
        <v>2024</v>
      </c>
      <c r="B671" t="s">
        <v>153</v>
      </c>
      <c r="C671" t="str">
        <f t="shared" si="10"/>
        <v>2024Hajdúnánási járás</v>
      </c>
      <c r="D671">
        <v>18652</v>
      </c>
    </row>
    <row r="672" spans="1:4" x14ac:dyDescent="0.35">
      <c r="A672" s="16">
        <v>2024</v>
      </c>
      <c r="B672" t="s">
        <v>155</v>
      </c>
      <c r="C672" t="str">
        <f t="shared" si="10"/>
        <v>2024Hajdúszoboszlói járás</v>
      </c>
      <c r="D672">
        <v>28036</v>
      </c>
    </row>
    <row r="673" spans="1:4" x14ac:dyDescent="0.35">
      <c r="A673" s="16">
        <v>2024</v>
      </c>
      <c r="B673" t="s">
        <v>157</v>
      </c>
      <c r="C673" t="str">
        <f t="shared" si="10"/>
        <v>2024Hatvani járás</v>
      </c>
      <c r="D673">
        <v>33334</v>
      </c>
    </row>
    <row r="674" spans="1:4" x14ac:dyDescent="0.35">
      <c r="A674" s="16">
        <v>2024</v>
      </c>
      <c r="B674" t="s">
        <v>159</v>
      </c>
      <c r="C674" t="str">
        <f t="shared" si="10"/>
        <v>2024Hegyháti járás</v>
      </c>
      <c r="D674">
        <v>7777</v>
      </c>
    </row>
    <row r="675" spans="1:4" x14ac:dyDescent="0.35">
      <c r="A675" s="16">
        <v>2024</v>
      </c>
      <c r="B675" t="s">
        <v>161</v>
      </c>
      <c r="C675" t="str">
        <f t="shared" si="10"/>
        <v>2024Hevesi járás</v>
      </c>
      <c r="D675">
        <v>21740</v>
      </c>
    </row>
    <row r="676" spans="1:4" x14ac:dyDescent="0.35">
      <c r="A676" s="16">
        <v>2024</v>
      </c>
      <c r="B676" t="s">
        <v>163</v>
      </c>
      <c r="C676" t="str">
        <f t="shared" si="10"/>
        <v>2024Hódmezővásárhelyi járás</v>
      </c>
      <c r="D676">
        <v>33434</v>
      </c>
    </row>
    <row r="677" spans="1:4" x14ac:dyDescent="0.35">
      <c r="A677" s="16">
        <v>2024</v>
      </c>
      <c r="B677" t="s">
        <v>165</v>
      </c>
      <c r="C677" t="str">
        <f t="shared" si="10"/>
        <v>2024Ibrányi járás</v>
      </c>
      <c r="D677">
        <v>15352</v>
      </c>
    </row>
    <row r="678" spans="1:4" x14ac:dyDescent="0.35">
      <c r="A678" s="16">
        <v>2024</v>
      </c>
      <c r="B678" t="s">
        <v>167</v>
      </c>
      <c r="C678" t="str">
        <f t="shared" si="10"/>
        <v>2024Jánoshalmi járás</v>
      </c>
      <c r="D678">
        <v>10659</v>
      </c>
    </row>
    <row r="679" spans="1:4" x14ac:dyDescent="0.35">
      <c r="A679" s="16">
        <v>2024</v>
      </c>
      <c r="B679" t="s">
        <v>169</v>
      </c>
      <c r="C679" t="str">
        <f t="shared" si="10"/>
        <v>2024Jászapáti járás</v>
      </c>
      <c r="D679">
        <v>20646</v>
      </c>
    </row>
    <row r="680" spans="1:4" x14ac:dyDescent="0.35">
      <c r="A680" s="16">
        <v>2024</v>
      </c>
      <c r="B680" t="s">
        <v>171</v>
      </c>
      <c r="C680" t="str">
        <f t="shared" si="10"/>
        <v>2024Jászberényi járás</v>
      </c>
      <c r="D680">
        <v>31280</v>
      </c>
    </row>
    <row r="681" spans="1:4" x14ac:dyDescent="0.35">
      <c r="A681" s="16">
        <v>2024</v>
      </c>
      <c r="B681" t="s">
        <v>173</v>
      </c>
      <c r="C681" t="str">
        <f t="shared" si="10"/>
        <v>2024Kalocsai járás</v>
      </c>
      <c r="D681">
        <v>30579</v>
      </c>
    </row>
    <row r="682" spans="1:4" x14ac:dyDescent="0.35">
      <c r="A682" s="16">
        <v>2024</v>
      </c>
      <c r="B682" t="s">
        <v>175</v>
      </c>
      <c r="C682" t="str">
        <f t="shared" si="10"/>
        <v>2024Kaposvári járás</v>
      </c>
      <c r="D682">
        <v>70537</v>
      </c>
    </row>
    <row r="683" spans="1:4" x14ac:dyDescent="0.35">
      <c r="A683" s="16">
        <v>2024</v>
      </c>
      <c r="B683" t="s">
        <v>177</v>
      </c>
      <c r="C683" t="str">
        <f t="shared" si="10"/>
        <v>2024Kapuvári járás</v>
      </c>
      <c r="D683">
        <v>15683</v>
      </c>
    </row>
    <row r="684" spans="1:4" x14ac:dyDescent="0.35">
      <c r="A684" s="16">
        <v>2024</v>
      </c>
      <c r="B684" t="s">
        <v>179</v>
      </c>
      <c r="C684" t="str">
        <f t="shared" si="10"/>
        <v>2024Karcagi járás</v>
      </c>
      <c r="D684">
        <v>25645</v>
      </c>
    </row>
    <row r="685" spans="1:4" x14ac:dyDescent="0.35">
      <c r="A685" s="16">
        <v>2024</v>
      </c>
      <c r="B685" t="s">
        <v>181</v>
      </c>
      <c r="C685" t="str">
        <f t="shared" si="10"/>
        <v>2024Kazincbarcikai járás</v>
      </c>
      <c r="D685">
        <v>39716</v>
      </c>
    </row>
    <row r="686" spans="1:4" x14ac:dyDescent="0.35">
      <c r="A686" s="16">
        <v>2024</v>
      </c>
      <c r="B686" t="s">
        <v>183</v>
      </c>
      <c r="C686" t="str">
        <f t="shared" si="10"/>
        <v>2024Kecskeméti járás</v>
      </c>
      <c r="D686">
        <v>101214</v>
      </c>
    </row>
    <row r="687" spans="1:4" x14ac:dyDescent="0.35">
      <c r="A687" s="16">
        <v>2024</v>
      </c>
      <c r="B687" t="s">
        <v>185</v>
      </c>
      <c r="C687" t="str">
        <f t="shared" si="10"/>
        <v>2024Kemecsei járás</v>
      </c>
      <c r="D687">
        <v>14785</v>
      </c>
    </row>
    <row r="688" spans="1:4" x14ac:dyDescent="0.35">
      <c r="A688" s="16">
        <v>2024</v>
      </c>
      <c r="B688" t="s">
        <v>187</v>
      </c>
      <c r="C688" t="str">
        <f t="shared" si="10"/>
        <v>2024Keszthelyi járás</v>
      </c>
      <c r="D688">
        <v>32060</v>
      </c>
    </row>
    <row r="689" spans="1:4" x14ac:dyDescent="0.35">
      <c r="A689" s="16">
        <v>2024</v>
      </c>
      <c r="B689" t="s">
        <v>189</v>
      </c>
      <c r="C689" t="str">
        <f t="shared" si="10"/>
        <v>2024Kisbéri járás</v>
      </c>
      <c r="D689">
        <v>13364</v>
      </c>
    </row>
    <row r="690" spans="1:4" x14ac:dyDescent="0.35">
      <c r="A690" s="16">
        <v>2024</v>
      </c>
      <c r="B690" t="s">
        <v>191</v>
      </c>
      <c r="C690" t="str">
        <f t="shared" si="10"/>
        <v>2024Kiskőrösi járás</v>
      </c>
      <c r="D690">
        <v>34358</v>
      </c>
    </row>
    <row r="691" spans="1:4" x14ac:dyDescent="0.35">
      <c r="A691" s="16">
        <v>2024</v>
      </c>
      <c r="B691" t="s">
        <v>193</v>
      </c>
      <c r="C691" t="str">
        <f t="shared" si="10"/>
        <v>2024Kiskunfélegyházi járás</v>
      </c>
      <c r="D691">
        <v>23302</v>
      </c>
    </row>
    <row r="692" spans="1:4" x14ac:dyDescent="0.35">
      <c r="A692" s="16">
        <v>2024</v>
      </c>
      <c r="B692" t="s">
        <v>195</v>
      </c>
      <c r="C692" t="str">
        <f t="shared" si="10"/>
        <v>2024Kiskunhalasi járás</v>
      </c>
      <c r="D692">
        <v>27281</v>
      </c>
    </row>
    <row r="693" spans="1:4" x14ac:dyDescent="0.35">
      <c r="A693" s="16">
        <v>2024</v>
      </c>
      <c r="B693" t="s">
        <v>197</v>
      </c>
      <c r="C693" t="str">
        <f t="shared" si="10"/>
        <v>2024Kiskunmajsai járás</v>
      </c>
      <c r="D693">
        <v>12083</v>
      </c>
    </row>
    <row r="694" spans="1:4" x14ac:dyDescent="0.35">
      <c r="A694" s="16">
        <v>2024</v>
      </c>
      <c r="B694" t="s">
        <v>199</v>
      </c>
      <c r="C694" t="str">
        <f t="shared" si="10"/>
        <v>2024Kisteleki járás</v>
      </c>
      <c r="D694">
        <v>11646</v>
      </c>
    </row>
    <row r="695" spans="1:4" x14ac:dyDescent="0.35">
      <c r="A695" s="16">
        <v>2024</v>
      </c>
      <c r="B695" t="s">
        <v>201</v>
      </c>
      <c r="C695" t="str">
        <f t="shared" si="10"/>
        <v>2024Kisvárdai járás</v>
      </c>
      <c r="D695">
        <v>36649</v>
      </c>
    </row>
    <row r="696" spans="1:4" x14ac:dyDescent="0.35">
      <c r="A696" s="16">
        <v>2024</v>
      </c>
      <c r="B696" t="s">
        <v>203</v>
      </c>
      <c r="C696" t="str">
        <f t="shared" si="10"/>
        <v>2024Komáromi járás</v>
      </c>
      <c r="D696">
        <v>25506</v>
      </c>
    </row>
    <row r="697" spans="1:4" x14ac:dyDescent="0.35">
      <c r="A697" s="16">
        <v>2024</v>
      </c>
      <c r="B697" t="s">
        <v>205</v>
      </c>
      <c r="C697" t="str">
        <f t="shared" si="10"/>
        <v>2024Komlói járás</v>
      </c>
      <c r="D697">
        <v>22015</v>
      </c>
    </row>
    <row r="698" spans="1:4" x14ac:dyDescent="0.35">
      <c r="A698" s="16">
        <v>2024</v>
      </c>
      <c r="B698" t="s">
        <v>207</v>
      </c>
      <c r="C698" t="str">
        <f t="shared" si="10"/>
        <v>2024Körmendi járás</v>
      </c>
      <c r="D698">
        <v>16780</v>
      </c>
    </row>
    <row r="699" spans="1:4" x14ac:dyDescent="0.35">
      <c r="A699" s="16">
        <v>2024</v>
      </c>
      <c r="B699" t="s">
        <v>209</v>
      </c>
      <c r="C699" t="str">
        <f t="shared" si="10"/>
        <v>2024Kőszegi járás</v>
      </c>
      <c r="D699">
        <v>16623</v>
      </c>
    </row>
    <row r="700" spans="1:4" x14ac:dyDescent="0.35">
      <c r="A700" s="16">
        <v>2024</v>
      </c>
      <c r="B700" t="s">
        <v>211</v>
      </c>
      <c r="C700" t="str">
        <f t="shared" si="10"/>
        <v>2024Kunhegyesi járás</v>
      </c>
      <c r="D700">
        <v>13057</v>
      </c>
    </row>
    <row r="701" spans="1:4" x14ac:dyDescent="0.35">
      <c r="A701" s="16">
        <v>2024</v>
      </c>
      <c r="B701" t="s">
        <v>213</v>
      </c>
      <c r="C701" t="str">
        <f t="shared" si="10"/>
        <v>2024Kunszentmártoni járás</v>
      </c>
      <c r="D701">
        <v>21492</v>
      </c>
    </row>
    <row r="702" spans="1:4" x14ac:dyDescent="0.35">
      <c r="A702" s="16">
        <v>2024</v>
      </c>
      <c r="B702" t="s">
        <v>215</v>
      </c>
      <c r="C702" t="str">
        <f t="shared" si="10"/>
        <v>2024Kunszentmiklósi járás</v>
      </c>
      <c r="D702">
        <v>19497</v>
      </c>
    </row>
    <row r="703" spans="1:4" x14ac:dyDescent="0.35">
      <c r="A703" s="16">
        <v>2024</v>
      </c>
      <c r="B703" t="s">
        <v>217</v>
      </c>
      <c r="C703" t="str">
        <f t="shared" si="10"/>
        <v>2024Lenti járás</v>
      </c>
      <c r="D703">
        <v>12188</v>
      </c>
    </row>
    <row r="704" spans="1:4" x14ac:dyDescent="0.35">
      <c r="A704" s="16">
        <v>2024</v>
      </c>
      <c r="B704" t="s">
        <v>219</v>
      </c>
      <c r="C704" t="str">
        <f t="shared" si="10"/>
        <v>2024Letenyei járás</v>
      </c>
      <c r="D704">
        <v>9934</v>
      </c>
    </row>
    <row r="705" spans="1:4" x14ac:dyDescent="0.35">
      <c r="A705" s="16">
        <v>2024</v>
      </c>
      <c r="B705" t="s">
        <v>221</v>
      </c>
      <c r="C705" t="str">
        <f t="shared" si="10"/>
        <v>2024Makói járás</v>
      </c>
      <c r="D705">
        <v>27981</v>
      </c>
    </row>
    <row r="706" spans="1:4" x14ac:dyDescent="0.35">
      <c r="A706" s="16">
        <v>2024</v>
      </c>
      <c r="B706" t="s">
        <v>223</v>
      </c>
      <c r="C706" t="str">
        <f t="shared" si="10"/>
        <v>2024Marcali járás</v>
      </c>
      <c r="D706">
        <v>22423</v>
      </c>
    </row>
    <row r="707" spans="1:4" x14ac:dyDescent="0.35">
      <c r="A707" s="16">
        <v>2024</v>
      </c>
      <c r="B707" t="s">
        <v>225</v>
      </c>
      <c r="C707" t="str">
        <f t="shared" ref="C707:C770" si="11">A707&amp;B707</f>
        <v>2024Martonvásári járás</v>
      </c>
      <c r="D707">
        <v>19062</v>
      </c>
    </row>
    <row r="708" spans="1:4" x14ac:dyDescent="0.35">
      <c r="A708" s="16">
        <v>2024</v>
      </c>
      <c r="B708" t="s">
        <v>227</v>
      </c>
      <c r="C708" t="str">
        <f t="shared" si="11"/>
        <v>2024Mátészalkai járás</v>
      </c>
      <c r="D708">
        <v>41728</v>
      </c>
    </row>
    <row r="709" spans="1:4" x14ac:dyDescent="0.35">
      <c r="A709" s="16">
        <v>2024</v>
      </c>
      <c r="B709" t="s">
        <v>229</v>
      </c>
      <c r="C709" t="str">
        <f t="shared" si="11"/>
        <v>2024Mezőcsáti járás</v>
      </c>
      <c r="D709">
        <v>9292</v>
      </c>
    </row>
    <row r="710" spans="1:4" x14ac:dyDescent="0.35">
      <c r="A710" s="16">
        <v>2024</v>
      </c>
      <c r="B710" t="s">
        <v>231</v>
      </c>
      <c r="C710" t="str">
        <f t="shared" si="11"/>
        <v>2024Mezőkovácsházai járás</v>
      </c>
      <c r="D710">
        <v>23235</v>
      </c>
    </row>
    <row r="711" spans="1:4" x14ac:dyDescent="0.35">
      <c r="A711" s="16">
        <v>2024</v>
      </c>
      <c r="B711" t="s">
        <v>233</v>
      </c>
      <c r="C711" t="str">
        <f t="shared" si="11"/>
        <v>2024Mezőkövesdi járás</v>
      </c>
      <c r="D711">
        <v>25997</v>
      </c>
    </row>
    <row r="712" spans="1:4" x14ac:dyDescent="0.35">
      <c r="A712" s="16">
        <v>2024</v>
      </c>
      <c r="B712" t="s">
        <v>235</v>
      </c>
      <c r="C712" t="str">
        <f t="shared" si="11"/>
        <v>2024Mezőtúri járás</v>
      </c>
      <c r="D712">
        <v>16334</v>
      </c>
    </row>
    <row r="713" spans="1:4" x14ac:dyDescent="0.35">
      <c r="A713" s="16">
        <v>2024</v>
      </c>
      <c r="B713" t="s">
        <v>237</v>
      </c>
      <c r="C713" t="str">
        <f t="shared" si="11"/>
        <v>2024Miskolci járás</v>
      </c>
      <c r="D713">
        <v>148726</v>
      </c>
    </row>
    <row r="714" spans="1:4" x14ac:dyDescent="0.35">
      <c r="A714" s="16">
        <v>2024</v>
      </c>
      <c r="B714" t="s">
        <v>239</v>
      </c>
      <c r="C714" t="str">
        <f t="shared" si="11"/>
        <v>2024Mohácsi járás</v>
      </c>
      <c r="D714">
        <v>22040</v>
      </c>
    </row>
    <row r="715" spans="1:4" x14ac:dyDescent="0.35">
      <c r="A715" s="16">
        <v>2024</v>
      </c>
      <c r="B715" t="s">
        <v>241</v>
      </c>
      <c r="C715" t="str">
        <f t="shared" si="11"/>
        <v>2024Monori járás</v>
      </c>
      <c r="D715">
        <v>50615</v>
      </c>
    </row>
    <row r="716" spans="1:4" x14ac:dyDescent="0.35">
      <c r="A716" s="16">
        <v>2024</v>
      </c>
      <c r="B716" t="s">
        <v>243</v>
      </c>
      <c r="C716" t="str">
        <f t="shared" si="11"/>
        <v>2024Mórahalmi járás</v>
      </c>
      <c r="D716">
        <v>19499</v>
      </c>
    </row>
    <row r="717" spans="1:4" x14ac:dyDescent="0.35">
      <c r="A717" s="16">
        <v>2024</v>
      </c>
      <c r="B717" t="s">
        <v>245</v>
      </c>
      <c r="C717" t="str">
        <f t="shared" si="11"/>
        <v>2024Móri járás</v>
      </c>
      <c r="D717">
        <v>22363</v>
      </c>
    </row>
    <row r="718" spans="1:4" x14ac:dyDescent="0.35">
      <c r="A718" s="16">
        <v>2024</v>
      </c>
      <c r="B718" t="s">
        <v>247</v>
      </c>
      <c r="C718" t="str">
        <f t="shared" si="11"/>
        <v>2024Mosonmagyaróvári járás</v>
      </c>
      <c r="D718">
        <v>54956</v>
      </c>
    </row>
    <row r="719" spans="1:4" x14ac:dyDescent="0.35">
      <c r="A719" s="16">
        <v>2024</v>
      </c>
      <c r="B719" t="s">
        <v>249</v>
      </c>
      <c r="C719" t="str">
        <f t="shared" si="11"/>
        <v>2024Nagyatádi járás</v>
      </c>
      <c r="D719">
        <v>15451</v>
      </c>
    </row>
    <row r="720" spans="1:4" x14ac:dyDescent="0.35">
      <c r="A720" s="16">
        <v>2024</v>
      </c>
      <c r="B720" t="s">
        <v>251</v>
      </c>
      <c r="C720" t="str">
        <f t="shared" si="11"/>
        <v>2024Nagykállói járás</v>
      </c>
      <c r="D720">
        <v>19849</v>
      </c>
    </row>
    <row r="721" spans="1:4" x14ac:dyDescent="0.35">
      <c r="A721" s="16">
        <v>2024</v>
      </c>
      <c r="B721" t="s">
        <v>253</v>
      </c>
      <c r="C721" t="str">
        <f t="shared" si="11"/>
        <v>2024Nagykanizsai járás</v>
      </c>
      <c r="D721">
        <v>47020</v>
      </c>
    </row>
    <row r="722" spans="1:4" x14ac:dyDescent="0.35">
      <c r="A722" s="16">
        <v>2024</v>
      </c>
      <c r="B722" t="s">
        <v>255</v>
      </c>
      <c r="C722" t="str">
        <f t="shared" si="11"/>
        <v>2024Nagykátai járás</v>
      </c>
      <c r="D722">
        <v>50834</v>
      </c>
    </row>
    <row r="723" spans="1:4" x14ac:dyDescent="0.35">
      <c r="A723" s="16">
        <v>2024</v>
      </c>
      <c r="B723" t="s">
        <v>257</v>
      </c>
      <c r="C723" t="str">
        <f t="shared" si="11"/>
        <v>2024Nagykőrösi járás</v>
      </c>
      <c r="D723">
        <v>17789</v>
      </c>
    </row>
    <row r="724" spans="1:4" x14ac:dyDescent="0.35">
      <c r="A724" s="16">
        <v>2024</v>
      </c>
      <c r="B724" t="s">
        <v>259</v>
      </c>
      <c r="C724" t="str">
        <f t="shared" si="11"/>
        <v>2024Nyíradonyi járás</v>
      </c>
      <c r="D724">
        <v>19921</v>
      </c>
    </row>
    <row r="725" spans="1:4" x14ac:dyDescent="0.35">
      <c r="A725" s="16">
        <v>2024</v>
      </c>
      <c r="B725" t="s">
        <v>261</v>
      </c>
      <c r="C725" t="str">
        <f t="shared" si="11"/>
        <v>2024Nyírbátori járás</v>
      </c>
      <c r="D725">
        <v>28113</v>
      </c>
    </row>
    <row r="726" spans="1:4" x14ac:dyDescent="0.35">
      <c r="A726" s="16">
        <v>2024</v>
      </c>
      <c r="B726" t="s">
        <v>263</v>
      </c>
      <c r="C726" t="str">
        <f t="shared" si="11"/>
        <v>2024Nyíregyházi járás</v>
      </c>
      <c r="D726">
        <v>109344</v>
      </c>
    </row>
    <row r="727" spans="1:4" x14ac:dyDescent="0.35">
      <c r="A727" s="16">
        <v>2024</v>
      </c>
      <c r="B727" t="s">
        <v>265</v>
      </c>
      <c r="C727" t="str">
        <f t="shared" si="11"/>
        <v>2024Orosházi járás</v>
      </c>
      <c r="D727">
        <v>30402</v>
      </c>
    </row>
    <row r="728" spans="1:4" x14ac:dyDescent="0.35">
      <c r="A728" s="16">
        <v>2024</v>
      </c>
      <c r="B728" t="s">
        <v>267</v>
      </c>
      <c r="C728" t="str">
        <f t="shared" si="11"/>
        <v>2024Oroszlányi járás</v>
      </c>
      <c r="D728">
        <v>17110</v>
      </c>
    </row>
    <row r="729" spans="1:4" x14ac:dyDescent="0.35">
      <c r="A729" s="16">
        <v>2024</v>
      </c>
      <c r="B729" t="s">
        <v>269</v>
      </c>
      <c r="C729" t="str">
        <f t="shared" si="11"/>
        <v>2024Ózdi járás</v>
      </c>
      <c r="D729">
        <v>32848</v>
      </c>
    </row>
    <row r="730" spans="1:4" x14ac:dyDescent="0.35">
      <c r="A730" s="16">
        <v>2024</v>
      </c>
      <c r="B730" t="s">
        <v>271</v>
      </c>
      <c r="C730" t="str">
        <f t="shared" si="11"/>
        <v>2024Paksi járás</v>
      </c>
      <c r="D730">
        <v>29846</v>
      </c>
    </row>
    <row r="731" spans="1:4" x14ac:dyDescent="0.35">
      <c r="A731" s="16">
        <v>2024</v>
      </c>
      <c r="B731" t="s">
        <v>273</v>
      </c>
      <c r="C731" t="str">
        <f t="shared" si="11"/>
        <v>2024Pannonhalmi járás</v>
      </c>
      <c r="D731">
        <v>10642</v>
      </c>
    </row>
    <row r="732" spans="1:4" x14ac:dyDescent="0.35">
      <c r="A732" s="16">
        <v>2024</v>
      </c>
      <c r="B732" t="s">
        <v>275</v>
      </c>
      <c r="C732" t="str">
        <f t="shared" si="11"/>
        <v>2024Pápai járás</v>
      </c>
      <c r="D732">
        <v>35995</v>
      </c>
    </row>
    <row r="733" spans="1:4" x14ac:dyDescent="0.35">
      <c r="A733" s="16">
        <v>2024</v>
      </c>
      <c r="B733" t="s">
        <v>277</v>
      </c>
      <c r="C733" t="str">
        <f t="shared" si="11"/>
        <v>2024Pásztói járás</v>
      </c>
      <c r="D733">
        <v>19180</v>
      </c>
    </row>
    <row r="734" spans="1:4" x14ac:dyDescent="0.35">
      <c r="A734" s="16">
        <v>2024</v>
      </c>
      <c r="B734" t="s">
        <v>279</v>
      </c>
      <c r="C734" t="str">
        <f t="shared" si="11"/>
        <v>2024Pécsi járás</v>
      </c>
      <c r="D734">
        <v>114495</v>
      </c>
    </row>
    <row r="735" spans="1:4" x14ac:dyDescent="0.35">
      <c r="A735" s="16">
        <v>2024</v>
      </c>
      <c r="B735" t="s">
        <v>281</v>
      </c>
      <c r="C735" t="str">
        <f t="shared" si="11"/>
        <v>2024Pécsváradi járás</v>
      </c>
      <c r="D735">
        <v>7352</v>
      </c>
    </row>
    <row r="736" spans="1:4" x14ac:dyDescent="0.35">
      <c r="A736" s="16">
        <v>2024</v>
      </c>
      <c r="B736" t="s">
        <v>283</v>
      </c>
      <c r="C736" t="str">
        <f t="shared" si="11"/>
        <v>2024Pétervásárai járás</v>
      </c>
      <c r="D736">
        <v>11998</v>
      </c>
    </row>
    <row r="737" spans="1:4" x14ac:dyDescent="0.35">
      <c r="A737" s="16">
        <v>2024</v>
      </c>
      <c r="B737" t="s">
        <v>285</v>
      </c>
      <c r="C737" t="str">
        <f t="shared" si="11"/>
        <v>2024Pilisvörösvári járás</v>
      </c>
      <c r="D737">
        <v>38568</v>
      </c>
    </row>
    <row r="738" spans="1:4" x14ac:dyDescent="0.35">
      <c r="A738" s="16">
        <v>2024</v>
      </c>
      <c r="B738" t="s">
        <v>287</v>
      </c>
      <c r="C738" t="str">
        <f t="shared" si="11"/>
        <v>2024Putnoki járás</v>
      </c>
      <c r="D738">
        <v>12036</v>
      </c>
    </row>
    <row r="739" spans="1:4" x14ac:dyDescent="0.35">
      <c r="A739" s="16">
        <v>2024</v>
      </c>
      <c r="B739" t="s">
        <v>289</v>
      </c>
      <c r="C739" t="str">
        <f t="shared" si="11"/>
        <v>2024Püspökladányi járás</v>
      </c>
      <c r="D739">
        <v>24686</v>
      </c>
    </row>
    <row r="740" spans="1:4" x14ac:dyDescent="0.35">
      <c r="A740" s="16">
        <v>2024</v>
      </c>
      <c r="B740" t="s">
        <v>291</v>
      </c>
      <c r="C740" t="str">
        <f t="shared" si="11"/>
        <v>2024Ráckevei járás</v>
      </c>
      <c r="D740">
        <v>26223</v>
      </c>
    </row>
    <row r="741" spans="1:4" x14ac:dyDescent="0.35">
      <c r="A741" s="16">
        <v>2024</v>
      </c>
      <c r="B741" t="s">
        <v>293</v>
      </c>
      <c r="C741" t="str">
        <f t="shared" si="11"/>
        <v>2024Rétsági járás</v>
      </c>
      <c r="D741">
        <v>16387</v>
      </c>
    </row>
    <row r="742" spans="1:4" x14ac:dyDescent="0.35">
      <c r="A742" s="16">
        <v>2024</v>
      </c>
      <c r="B742" t="s">
        <v>295</v>
      </c>
      <c r="C742" t="str">
        <f t="shared" si="11"/>
        <v>2024Salgótarjáni járás</v>
      </c>
      <c r="D742">
        <v>36764</v>
      </c>
    </row>
    <row r="743" spans="1:4" x14ac:dyDescent="0.35">
      <c r="A743" s="16">
        <v>2024</v>
      </c>
      <c r="B743" t="s">
        <v>297</v>
      </c>
      <c r="C743" t="str">
        <f t="shared" si="11"/>
        <v>2024Sárbogárdi járás</v>
      </c>
      <c r="D743">
        <v>17999</v>
      </c>
    </row>
    <row r="744" spans="1:4" x14ac:dyDescent="0.35">
      <c r="A744" s="16">
        <v>2024</v>
      </c>
      <c r="B744" t="s">
        <v>299</v>
      </c>
      <c r="C744" t="str">
        <f t="shared" si="11"/>
        <v>2024Sarkadi járás</v>
      </c>
      <c r="D744">
        <v>14093</v>
      </c>
    </row>
    <row r="745" spans="1:4" x14ac:dyDescent="0.35">
      <c r="A745" s="16">
        <v>2024</v>
      </c>
      <c r="B745" t="s">
        <v>301</v>
      </c>
      <c r="C745" t="str">
        <f t="shared" si="11"/>
        <v>2024Sárospataki járás</v>
      </c>
      <c r="D745">
        <v>14473</v>
      </c>
    </row>
    <row r="746" spans="1:4" x14ac:dyDescent="0.35">
      <c r="A746" s="16">
        <v>2024</v>
      </c>
      <c r="B746" t="s">
        <v>303</v>
      </c>
      <c r="C746" t="str">
        <f t="shared" si="11"/>
        <v>2024Sárvári járás</v>
      </c>
      <c r="D746">
        <v>24454</v>
      </c>
    </row>
    <row r="747" spans="1:4" x14ac:dyDescent="0.35">
      <c r="A747" s="16">
        <v>2024</v>
      </c>
      <c r="B747" t="s">
        <v>305</v>
      </c>
      <c r="C747" t="str">
        <f t="shared" si="11"/>
        <v>2024Sátoraljaújhelyi járás</v>
      </c>
      <c r="D747">
        <v>13829</v>
      </c>
    </row>
    <row r="748" spans="1:4" x14ac:dyDescent="0.35">
      <c r="A748" s="16">
        <v>2024</v>
      </c>
      <c r="B748" t="s">
        <v>307</v>
      </c>
      <c r="C748" t="str">
        <f t="shared" si="11"/>
        <v>2024Sellyei járás</v>
      </c>
      <c r="D748">
        <v>9070</v>
      </c>
    </row>
    <row r="749" spans="1:4" x14ac:dyDescent="0.35">
      <c r="A749" s="16">
        <v>2024</v>
      </c>
      <c r="B749" t="s">
        <v>309</v>
      </c>
      <c r="C749" t="str">
        <f t="shared" si="11"/>
        <v>2024Siklósi járás</v>
      </c>
      <c r="D749">
        <v>23218</v>
      </c>
    </row>
    <row r="750" spans="1:4" x14ac:dyDescent="0.35">
      <c r="A750" s="16">
        <v>2024</v>
      </c>
      <c r="B750" t="s">
        <v>311</v>
      </c>
      <c r="C750" t="str">
        <f t="shared" si="11"/>
        <v>2024Siófoki járás</v>
      </c>
      <c r="D750">
        <v>33243</v>
      </c>
    </row>
    <row r="751" spans="1:4" x14ac:dyDescent="0.35">
      <c r="A751" s="16">
        <v>2024</v>
      </c>
      <c r="B751" t="s">
        <v>313</v>
      </c>
      <c r="C751" t="str">
        <f t="shared" si="11"/>
        <v>2024Soproni járás</v>
      </c>
      <c r="D751">
        <v>64025</v>
      </c>
    </row>
    <row r="752" spans="1:4" x14ac:dyDescent="0.35">
      <c r="A752" s="16">
        <v>2024</v>
      </c>
      <c r="B752" t="s">
        <v>315</v>
      </c>
      <c r="C752" t="str">
        <f t="shared" si="11"/>
        <v>2024Sümegi járás</v>
      </c>
      <c r="D752">
        <v>9780</v>
      </c>
    </row>
    <row r="753" spans="1:4" x14ac:dyDescent="0.35">
      <c r="A753" s="16">
        <v>2024</v>
      </c>
      <c r="B753" t="s">
        <v>317</v>
      </c>
      <c r="C753" t="str">
        <f t="shared" si="11"/>
        <v>2024Szarvasi járás</v>
      </c>
      <c r="D753">
        <v>16196</v>
      </c>
    </row>
    <row r="754" spans="1:4" x14ac:dyDescent="0.35">
      <c r="A754" s="16">
        <v>2024</v>
      </c>
      <c r="B754" t="s">
        <v>319</v>
      </c>
      <c r="C754" t="str">
        <f t="shared" si="11"/>
        <v>2024Szécsényi járás</v>
      </c>
      <c r="D754">
        <v>11882</v>
      </c>
    </row>
    <row r="755" spans="1:4" x14ac:dyDescent="0.35">
      <c r="A755" s="16">
        <v>2024</v>
      </c>
      <c r="B755" t="s">
        <v>321</v>
      </c>
      <c r="C755" t="str">
        <f t="shared" si="11"/>
        <v>2024Szegedi járás</v>
      </c>
      <c r="D755">
        <v>127110</v>
      </c>
    </row>
    <row r="756" spans="1:4" x14ac:dyDescent="0.35">
      <c r="A756" s="16">
        <v>2024</v>
      </c>
      <c r="B756" t="s">
        <v>323</v>
      </c>
      <c r="C756" t="str">
        <f t="shared" si="11"/>
        <v>2024Szeghalmi járás</v>
      </c>
      <c r="D756">
        <v>18000</v>
      </c>
    </row>
    <row r="757" spans="1:4" x14ac:dyDescent="0.35">
      <c r="A757" s="16">
        <v>2024</v>
      </c>
      <c r="B757" t="s">
        <v>325</v>
      </c>
      <c r="C757" t="str">
        <f t="shared" si="11"/>
        <v>2024Székesfehérvári járás</v>
      </c>
      <c r="D757">
        <v>96211</v>
      </c>
    </row>
    <row r="758" spans="1:4" x14ac:dyDescent="0.35">
      <c r="A758" s="16">
        <v>2024</v>
      </c>
      <c r="B758" t="s">
        <v>327</v>
      </c>
      <c r="C758" t="str">
        <f t="shared" si="11"/>
        <v>2024Szekszárdi járás</v>
      </c>
      <c r="D758">
        <v>34876</v>
      </c>
    </row>
    <row r="759" spans="1:4" x14ac:dyDescent="0.35">
      <c r="A759" s="16">
        <v>2024</v>
      </c>
      <c r="B759" t="s">
        <v>329</v>
      </c>
      <c r="C759" t="str">
        <f t="shared" si="11"/>
        <v>2024Szentendrei járás</v>
      </c>
      <c r="D759">
        <v>58062</v>
      </c>
    </row>
    <row r="760" spans="1:4" x14ac:dyDescent="0.35">
      <c r="A760" s="16">
        <v>2024</v>
      </c>
      <c r="B760" t="s">
        <v>331</v>
      </c>
      <c r="C760" t="str">
        <f t="shared" si="11"/>
        <v>2024Szentesi járás</v>
      </c>
      <c r="D760">
        <v>23460</v>
      </c>
    </row>
    <row r="761" spans="1:4" x14ac:dyDescent="0.35">
      <c r="A761" s="16">
        <v>2024</v>
      </c>
      <c r="B761" t="s">
        <v>333</v>
      </c>
      <c r="C761" t="str">
        <f t="shared" si="11"/>
        <v>2024Szentgotthárdi járás</v>
      </c>
      <c r="D761">
        <v>9343</v>
      </c>
    </row>
    <row r="762" spans="1:4" x14ac:dyDescent="0.35">
      <c r="A762" s="16">
        <v>2024</v>
      </c>
      <c r="B762" t="s">
        <v>335</v>
      </c>
      <c r="C762" t="str">
        <f t="shared" si="11"/>
        <v>2024Szentlőrinci járás</v>
      </c>
      <c r="D762">
        <v>9619</v>
      </c>
    </row>
    <row r="763" spans="1:4" x14ac:dyDescent="0.35">
      <c r="A763" s="16">
        <v>2024</v>
      </c>
      <c r="B763" t="s">
        <v>337</v>
      </c>
      <c r="C763" t="str">
        <f t="shared" si="11"/>
        <v>2024Szerencsi járás</v>
      </c>
      <c r="D763">
        <v>24885</v>
      </c>
    </row>
    <row r="764" spans="1:4" x14ac:dyDescent="0.35">
      <c r="A764" s="16">
        <v>2024</v>
      </c>
      <c r="B764" t="s">
        <v>339</v>
      </c>
      <c r="C764" t="str">
        <f t="shared" si="11"/>
        <v>2024Szigetszentmiklósi járás</v>
      </c>
      <c r="D764">
        <v>87676</v>
      </c>
    </row>
    <row r="765" spans="1:4" x14ac:dyDescent="0.35">
      <c r="A765" s="16">
        <v>2024</v>
      </c>
      <c r="B765" t="s">
        <v>341</v>
      </c>
      <c r="C765" t="str">
        <f t="shared" si="11"/>
        <v>2024Szigetvári járás</v>
      </c>
      <c r="D765">
        <v>15915</v>
      </c>
    </row>
    <row r="766" spans="1:4" x14ac:dyDescent="0.35">
      <c r="A766" s="16">
        <v>2024</v>
      </c>
      <c r="B766" t="s">
        <v>343</v>
      </c>
      <c r="C766" t="str">
        <f t="shared" si="11"/>
        <v>2024Szikszói járás</v>
      </c>
      <c r="D766">
        <v>11095</v>
      </c>
    </row>
    <row r="767" spans="1:4" x14ac:dyDescent="0.35">
      <c r="A767" s="16">
        <v>2024</v>
      </c>
      <c r="B767" t="s">
        <v>345</v>
      </c>
      <c r="C767" t="str">
        <f t="shared" si="11"/>
        <v>2024Szobi járás</v>
      </c>
      <c r="D767">
        <v>16393</v>
      </c>
    </row>
    <row r="768" spans="1:4" x14ac:dyDescent="0.35">
      <c r="A768" s="16">
        <v>2024</v>
      </c>
      <c r="B768" t="s">
        <v>347</v>
      </c>
      <c r="C768" t="str">
        <f t="shared" si="11"/>
        <v>2024Szolnoki járás</v>
      </c>
      <c r="D768">
        <v>71003</v>
      </c>
    </row>
    <row r="769" spans="1:4" x14ac:dyDescent="0.35">
      <c r="A769" s="16">
        <v>2024</v>
      </c>
      <c r="B769" t="s">
        <v>349</v>
      </c>
      <c r="C769" t="str">
        <f t="shared" si="11"/>
        <v>2024Szombathelyi járás</v>
      </c>
      <c r="D769">
        <v>69730</v>
      </c>
    </row>
    <row r="770" spans="1:4" x14ac:dyDescent="0.35">
      <c r="A770" s="16">
        <v>2024</v>
      </c>
      <c r="B770" t="s">
        <v>351</v>
      </c>
      <c r="C770" t="str">
        <f t="shared" si="11"/>
        <v>2024Tabi járás</v>
      </c>
      <c r="D770">
        <v>7792</v>
      </c>
    </row>
    <row r="771" spans="1:4" x14ac:dyDescent="0.35">
      <c r="A771" s="16">
        <v>2024</v>
      </c>
      <c r="B771" t="s">
        <v>353</v>
      </c>
      <c r="C771" t="str">
        <f t="shared" ref="C771:C793" si="12">A771&amp;B771</f>
        <v>2024Tamási járás</v>
      </c>
      <c r="D771">
        <v>23102</v>
      </c>
    </row>
    <row r="772" spans="1:4" x14ac:dyDescent="0.35">
      <c r="A772" s="16">
        <v>2024</v>
      </c>
      <c r="B772" t="s">
        <v>355</v>
      </c>
      <c r="C772" t="str">
        <f t="shared" si="12"/>
        <v>2024Tapolcai járás</v>
      </c>
      <c r="D772">
        <v>21523</v>
      </c>
    </row>
    <row r="773" spans="1:4" x14ac:dyDescent="0.35">
      <c r="A773" s="16">
        <v>2024</v>
      </c>
      <c r="B773" t="s">
        <v>357</v>
      </c>
      <c r="C773" t="str">
        <f t="shared" si="12"/>
        <v>2024Tatabányai járás</v>
      </c>
      <c r="D773">
        <v>55979</v>
      </c>
    </row>
    <row r="774" spans="1:4" x14ac:dyDescent="0.35">
      <c r="A774" s="16">
        <v>2024</v>
      </c>
      <c r="B774" t="s">
        <v>359</v>
      </c>
      <c r="C774" t="str">
        <f t="shared" si="12"/>
        <v>2024Tatai járás</v>
      </c>
      <c r="D774">
        <v>25381</v>
      </c>
    </row>
    <row r="775" spans="1:4" x14ac:dyDescent="0.35">
      <c r="A775" s="16">
        <v>2024</v>
      </c>
      <c r="B775" t="s">
        <v>361</v>
      </c>
      <c r="C775" t="str">
        <f t="shared" si="12"/>
        <v>2024Téti járás</v>
      </c>
      <c r="D775">
        <v>10429</v>
      </c>
    </row>
    <row r="776" spans="1:4" x14ac:dyDescent="0.35">
      <c r="A776" s="16">
        <v>2024</v>
      </c>
      <c r="B776" t="s">
        <v>363</v>
      </c>
      <c r="C776" t="str">
        <f t="shared" si="12"/>
        <v>2024Tiszafüredi járás</v>
      </c>
      <c r="D776">
        <v>11771</v>
      </c>
    </row>
    <row r="777" spans="1:4" x14ac:dyDescent="0.35">
      <c r="A777" s="16">
        <v>2024</v>
      </c>
      <c r="B777" t="s">
        <v>365</v>
      </c>
      <c r="C777" t="str">
        <f t="shared" si="12"/>
        <v>2024Tiszakécskei járás</v>
      </c>
      <c r="D777">
        <v>15774</v>
      </c>
    </row>
    <row r="778" spans="1:4" x14ac:dyDescent="0.35">
      <c r="A778" s="16">
        <v>2024</v>
      </c>
      <c r="B778" t="s">
        <v>367</v>
      </c>
      <c r="C778" t="str">
        <f t="shared" si="12"/>
        <v>2024Tiszaújvárosi járás</v>
      </c>
      <c r="D778">
        <v>19452</v>
      </c>
    </row>
    <row r="779" spans="1:4" x14ac:dyDescent="0.35">
      <c r="A779" s="16">
        <v>2024</v>
      </c>
      <c r="B779" t="s">
        <v>369</v>
      </c>
      <c r="C779" t="str">
        <f t="shared" si="12"/>
        <v>2024Tiszavasvári járás</v>
      </c>
      <c r="D779">
        <v>16907</v>
      </c>
    </row>
    <row r="780" spans="1:4" x14ac:dyDescent="0.35">
      <c r="A780" s="16">
        <v>2024</v>
      </c>
      <c r="B780" t="s">
        <v>371</v>
      </c>
      <c r="C780" t="str">
        <f t="shared" si="12"/>
        <v>2024Tokaji járás</v>
      </c>
      <c r="D780">
        <v>7640</v>
      </c>
    </row>
    <row r="781" spans="1:4" x14ac:dyDescent="0.35">
      <c r="A781" s="16">
        <v>2024</v>
      </c>
      <c r="B781" t="s">
        <v>373</v>
      </c>
      <c r="C781" t="str">
        <f t="shared" si="12"/>
        <v>2024Tolnai járás</v>
      </c>
      <c r="D781">
        <v>11401</v>
      </c>
    </row>
    <row r="782" spans="1:4" x14ac:dyDescent="0.35">
      <c r="A782" s="16">
        <v>2024</v>
      </c>
      <c r="B782" t="s">
        <v>375</v>
      </c>
      <c r="C782" t="str">
        <f t="shared" si="12"/>
        <v>2024Törökszentmiklósi járás</v>
      </c>
      <c r="D782">
        <v>22910</v>
      </c>
    </row>
    <row r="783" spans="1:4" x14ac:dyDescent="0.35">
      <c r="A783" s="16">
        <v>2024</v>
      </c>
      <c r="B783" t="s">
        <v>377</v>
      </c>
      <c r="C783" t="str">
        <f t="shared" si="12"/>
        <v>2024Váci járás</v>
      </c>
      <c r="D783">
        <v>46920</v>
      </c>
    </row>
    <row r="784" spans="1:4" x14ac:dyDescent="0.35">
      <c r="A784" s="16">
        <v>2024</v>
      </c>
      <c r="B784" t="s">
        <v>379</v>
      </c>
      <c r="C784" t="str">
        <f t="shared" si="12"/>
        <v>2024Várpalotai járás</v>
      </c>
      <c r="D784">
        <v>23827</v>
      </c>
    </row>
    <row r="785" spans="1:4" x14ac:dyDescent="0.35">
      <c r="A785" s="16">
        <v>2024</v>
      </c>
      <c r="B785" t="s">
        <v>381</v>
      </c>
      <c r="C785" t="str">
        <f t="shared" si="12"/>
        <v>2024Vásárosnaményi járás</v>
      </c>
      <c r="D785">
        <v>25069</v>
      </c>
    </row>
    <row r="786" spans="1:4" x14ac:dyDescent="0.35">
      <c r="A786" s="16">
        <v>2024</v>
      </c>
      <c r="B786" t="s">
        <v>383</v>
      </c>
      <c r="C786" t="str">
        <f t="shared" si="12"/>
        <v>2024Vasvári járás</v>
      </c>
      <c r="D786">
        <v>8774</v>
      </c>
    </row>
    <row r="787" spans="1:4" x14ac:dyDescent="0.35">
      <c r="A787" s="16">
        <v>2024</v>
      </c>
      <c r="B787" t="s">
        <v>385</v>
      </c>
      <c r="C787" t="str">
        <f t="shared" si="12"/>
        <v>2024Vecsési járás</v>
      </c>
      <c r="D787">
        <v>34434</v>
      </c>
    </row>
    <row r="788" spans="1:4" x14ac:dyDescent="0.35">
      <c r="A788" s="16">
        <v>2024</v>
      </c>
      <c r="B788" t="s">
        <v>387</v>
      </c>
      <c r="C788" t="str">
        <f t="shared" si="12"/>
        <v>2024Veszprémi járás</v>
      </c>
      <c r="D788">
        <v>49127</v>
      </c>
    </row>
    <row r="789" spans="1:4" x14ac:dyDescent="0.35">
      <c r="A789" s="16">
        <v>2024</v>
      </c>
      <c r="B789" t="s">
        <v>389</v>
      </c>
      <c r="C789" t="str">
        <f t="shared" si="12"/>
        <v>2024Záhonyi járás</v>
      </c>
      <c r="D789">
        <v>12590</v>
      </c>
    </row>
    <row r="790" spans="1:4" x14ac:dyDescent="0.35">
      <c r="A790" s="16">
        <v>2024</v>
      </c>
      <c r="B790" t="s">
        <v>391</v>
      </c>
      <c r="C790" t="str">
        <f t="shared" si="12"/>
        <v>2024Zalaegerszegi járás</v>
      </c>
      <c r="D790">
        <v>62168</v>
      </c>
    </row>
    <row r="791" spans="1:4" x14ac:dyDescent="0.35">
      <c r="A791" s="16">
        <v>2024</v>
      </c>
      <c r="B791" t="s">
        <v>393</v>
      </c>
      <c r="C791" t="str">
        <f t="shared" si="12"/>
        <v>2024Zalaszentgróti járás</v>
      </c>
      <c r="D791">
        <v>9632</v>
      </c>
    </row>
    <row r="792" spans="1:4" x14ac:dyDescent="0.35">
      <c r="A792" s="16">
        <v>2024</v>
      </c>
      <c r="B792" t="s">
        <v>395</v>
      </c>
      <c r="C792" t="str">
        <f t="shared" si="12"/>
        <v>2024Zirci járás</v>
      </c>
      <c r="D792">
        <v>12186</v>
      </c>
    </row>
    <row r="793" spans="1:4" x14ac:dyDescent="0.35">
      <c r="A793" s="16">
        <v>2024</v>
      </c>
      <c r="B793" s="18" t="s">
        <v>39</v>
      </c>
      <c r="C793" t="str">
        <f t="shared" si="12"/>
        <v>2024Budapest</v>
      </c>
      <c r="D793">
        <v>1056928</v>
      </c>
    </row>
    <row r="1296" spans="1:4" x14ac:dyDescent="0.35">
      <c r="A1296">
        <v>1</v>
      </c>
      <c r="B1296">
        <v>1</v>
      </c>
      <c r="C1296">
        <v>1</v>
      </c>
      <c r="D1296">
        <v>1</v>
      </c>
    </row>
  </sheetData>
  <autoFilter ref="A1:D793" xr:uid="{00000000-0001-0000-08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04F1-A763-4CD6-8106-EFA58571C5ED}">
  <dimension ref="A1:F31"/>
  <sheetViews>
    <sheetView workbookViewId="0"/>
  </sheetViews>
  <sheetFormatPr defaultRowHeight="15.5" x14ac:dyDescent="0.35"/>
  <cols>
    <col min="1" max="1" width="23.25" customWidth="1"/>
    <col min="2" max="2" width="35.6640625" customWidth="1"/>
    <col min="3" max="4" width="9.25" bestFit="1" customWidth="1"/>
    <col min="5" max="6" width="10.25" bestFit="1" customWidth="1"/>
  </cols>
  <sheetData>
    <row r="1" spans="1:6" x14ac:dyDescent="0.35">
      <c r="C1" s="2">
        <v>2001</v>
      </c>
      <c r="D1" s="2">
        <v>2011</v>
      </c>
      <c r="E1" s="2">
        <v>2022</v>
      </c>
      <c r="F1" s="2">
        <v>2024</v>
      </c>
    </row>
    <row r="2" spans="1:6" x14ac:dyDescent="0.35">
      <c r="A2" t="s">
        <v>505</v>
      </c>
      <c r="B2" t="s">
        <v>506</v>
      </c>
      <c r="C2">
        <v>600</v>
      </c>
      <c r="D2">
        <v>1200</v>
      </c>
      <c r="E2">
        <v>3000</v>
      </c>
      <c r="F2">
        <v>4000</v>
      </c>
    </row>
    <row r="3" spans="1:6" x14ac:dyDescent="0.35">
      <c r="B3" t="s">
        <v>507</v>
      </c>
      <c r="C3">
        <v>0.4581473160322469</v>
      </c>
      <c r="D3">
        <v>0.4989967541845986</v>
      </c>
      <c r="E3">
        <v>0.42369323939272741</v>
      </c>
      <c r="F3">
        <v>0.4466915154664256</v>
      </c>
    </row>
    <row r="4" spans="1:6" x14ac:dyDescent="0.35">
      <c r="A4" t="s">
        <v>508</v>
      </c>
      <c r="B4" t="s">
        <v>506</v>
      </c>
      <c r="C4">
        <v>700</v>
      </c>
      <c r="D4">
        <v>1500</v>
      </c>
      <c r="E4">
        <v>4000</v>
      </c>
      <c r="F4">
        <v>5000</v>
      </c>
    </row>
    <row r="5" spans="1:6" x14ac:dyDescent="0.35">
      <c r="B5" t="s">
        <v>507</v>
      </c>
      <c r="C5">
        <v>0.52409218568467641</v>
      </c>
      <c r="D5">
        <v>0.59902222005383621</v>
      </c>
      <c r="E5">
        <v>0.57942172735456099</v>
      </c>
      <c r="F5">
        <v>0.54402652674449692</v>
      </c>
    </row>
    <row r="6" spans="1:6" x14ac:dyDescent="0.35">
      <c r="A6" t="s">
        <v>509</v>
      </c>
      <c r="B6" t="s">
        <v>510</v>
      </c>
      <c r="C6">
        <f>ABS(C3-0.5)</f>
        <v>4.1852683967753102E-2</v>
      </c>
      <c r="D6">
        <f t="shared" ref="D6:F6" si="0">ABS(D3-0.5)</f>
        <v>1.003245815401399E-3</v>
      </c>
      <c r="E6">
        <f t="shared" si="0"/>
        <v>7.6306760607272595E-2</v>
      </c>
      <c r="F6">
        <f t="shared" si="0"/>
        <v>5.3308484533574396E-2</v>
      </c>
    </row>
    <row r="7" spans="1:6" x14ac:dyDescent="0.35">
      <c r="B7" t="s">
        <v>511</v>
      </c>
      <c r="C7">
        <f>ABS(C5-0.5)</f>
        <v>2.4092185684676415E-2</v>
      </c>
      <c r="D7">
        <f t="shared" ref="D7:F7" si="1">ABS(D5-0.5)</f>
        <v>9.9022220053836207E-2</v>
      </c>
      <c r="E7">
        <f t="shared" si="1"/>
        <v>7.9421727354560989E-2</v>
      </c>
      <c r="F7">
        <f t="shared" si="1"/>
        <v>4.4026526744496919E-2</v>
      </c>
    </row>
    <row r="8" spans="1:6" x14ac:dyDescent="0.35">
      <c r="B8" t="s">
        <v>512</v>
      </c>
      <c r="C8">
        <f>C7+C6</f>
        <v>6.5944869652429516E-2</v>
      </c>
      <c r="D8">
        <f t="shared" ref="D8:F8" si="2">D7+D6</f>
        <v>0.10002546586923761</v>
      </c>
      <c r="E8">
        <f t="shared" si="2"/>
        <v>0.15572848796183358</v>
      </c>
      <c r="F8">
        <f t="shared" si="2"/>
        <v>9.7335011278071315E-2</v>
      </c>
    </row>
    <row r="9" spans="1:6" x14ac:dyDescent="0.35">
      <c r="A9" t="s">
        <v>514</v>
      </c>
      <c r="B9" t="s">
        <v>505</v>
      </c>
      <c r="C9">
        <f>1-C6/C8</f>
        <v>0.36533828653627221</v>
      </c>
      <c r="D9">
        <f t="shared" ref="D9:F9" si="3">1-D6/D8</f>
        <v>0.98997009604821107</v>
      </c>
      <c r="E9">
        <f t="shared" si="3"/>
        <v>0.51000127461602207</v>
      </c>
      <c r="F9">
        <f t="shared" si="3"/>
        <v>0.45231953195875052</v>
      </c>
    </row>
    <row r="10" spans="1:6" x14ac:dyDescent="0.35">
      <c r="B10" t="s">
        <v>508</v>
      </c>
      <c r="C10">
        <f>1-C7/C8</f>
        <v>0.63466171346372779</v>
      </c>
      <c r="D10">
        <f t="shared" ref="D10:F10" si="4">1-D7/D8</f>
        <v>1.0029903951788932E-2</v>
      </c>
      <c r="E10">
        <f t="shared" si="4"/>
        <v>0.48999872538397782</v>
      </c>
      <c r="F10">
        <f t="shared" si="4"/>
        <v>0.54768046804124948</v>
      </c>
    </row>
    <row r="11" spans="1:6" x14ac:dyDescent="0.35">
      <c r="A11" s="38" t="s">
        <v>513</v>
      </c>
      <c r="B11" s="38"/>
      <c r="C11">
        <f>C9*C2+C10*C4</f>
        <v>663.46617134637279</v>
      </c>
      <c r="D11">
        <f t="shared" ref="D11:F11" si="5">D9*D2+D10*D4</f>
        <v>1203.0089711855367</v>
      </c>
      <c r="E11">
        <f t="shared" si="5"/>
        <v>3489.9987253839777</v>
      </c>
      <c r="F11">
        <f t="shared" si="5"/>
        <v>4547.6804680412497</v>
      </c>
    </row>
    <row r="12" spans="1:6" x14ac:dyDescent="0.35">
      <c r="A12" s="2" t="s">
        <v>516</v>
      </c>
      <c r="B12" s="2" t="s">
        <v>515</v>
      </c>
      <c r="C12" s="37">
        <f>C11*0.6</f>
        <v>398.07970280782365</v>
      </c>
      <c r="D12" s="37">
        <f t="shared" ref="D12:F12" si="6">D11*0.6</f>
        <v>721.80538271132195</v>
      </c>
      <c r="E12" s="37">
        <f t="shared" si="6"/>
        <v>2093.9992352303866</v>
      </c>
      <c r="F12" s="37">
        <f t="shared" si="6"/>
        <v>2728.6082808247497</v>
      </c>
    </row>
    <row r="13" spans="1:6" x14ac:dyDescent="0.35">
      <c r="B13" s="26" t="s">
        <v>517</v>
      </c>
      <c r="C13" s="26">
        <v>400</v>
      </c>
      <c r="D13" s="36">
        <v>800</v>
      </c>
      <c r="E13" s="35">
        <v>2000</v>
      </c>
      <c r="F13" s="26">
        <v>2500</v>
      </c>
    </row>
    <row r="14" spans="1:6" x14ac:dyDescent="0.35">
      <c r="A14" t="s">
        <v>543</v>
      </c>
      <c r="B14" s="41" t="s">
        <v>518</v>
      </c>
      <c r="C14" s="42">
        <f>C11*0.7</f>
        <v>464.42631994246091</v>
      </c>
      <c r="D14" s="42">
        <f t="shared" ref="D14:F14" si="7">D11*0.7</f>
        <v>842.10627982987558</v>
      </c>
      <c r="E14" s="42">
        <f t="shared" si="7"/>
        <v>2442.9991077687841</v>
      </c>
      <c r="F14" s="42">
        <f t="shared" si="7"/>
        <v>3183.3763276288746</v>
      </c>
    </row>
    <row r="15" spans="1:6" x14ac:dyDescent="0.35">
      <c r="B15" s="22" t="s">
        <v>517</v>
      </c>
      <c r="C15" s="43">
        <v>500</v>
      </c>
      <c r="D15" s="44">
        <v>800</v>
      </c>
      <c r="E15" s="22">
        <v>2500</v>
      </c>
      <c r="F15" s="43">
        <v>3000</v>
      </c>
    </row>
    <row r="16" spans="1:6" x14ac:dyDescent="0.35">
      <c r="B16" s="41" t="s">
        <v>539</v>
      </c>
      <c r="C16" s="43">
        <v>500</v>
      </c>
      <c r="D16" s="22">
        <v>1000</v>
      </c>
      <c r="E16" s="45">
        <v>2000</v>
      </c>
      <c r="F16" s="43">
        <v>3000</v>
      </c>
    </row>
    <row r="17" spans="1:6" x14ac:dyDescent="0.35">
      <c r="A17" s="28"/>
      <c r="B17" s="28"/>
      <c r="C17" s="28"/>
      <c r="D17" s="28"/>
      <c r="E17" s="28"/>
      <c r="F17" s="28"/>
    </row>
    <row r="18" spans="1:6" x14ac:dyDescent="0.35">
      <c r="A18" s="28"/>
      <c r="B18" s="28"/>
      <c r="C18" s="28"/>
      <c r="D18" s="28"/>
      <c r="E18" s="28"/>
      <c r="F18" s="28"/>
    </row>
    <row r="19" spans="1:6" x14ac:dyDescent="0.35">
      <c r="A19" s="28"/>
      <c r="B19" s="28"/>
      <c r="C19" s="28"/>
      <c r="D19" s="28"/>
      <c r="E19" s="28"/>
      <c r="F19" s="28"/>
    </row>
    <row r="20" spans="1:6" x14ac:dyDescent="0.35">
      <c r="A20" s="28"/>
      <c r="B20" s="28"/>
      <c r="C20" s="28"/>
      <c r="D20" s="28"/>
      <c r="E20" s="28"/>
      <c r="F20" s="28"/>
    </row>
    <row r="21" spans="1:6" x14ac:dyDescent="0.35">
      <c r="A21" s="28"/>
      <c r="B21" s="28"/>
      <c r="C21" s="28"/>
      <c r="D21" s="28"/>
      <c r="E21" s="28"/>
      <c r="F21" s="28"/>
    </row>
    <row r="22" spans="1:6" x14ac:dyDescent="0.35">
      <c r="A22" s="28"/>
      <c r="B22" s="28"/>
      <c r="C22" s="28"/>
      <c r="D22" s="28"/>
      <c r="E22" s="28"/>
      <c r="F22" s="28"/>
    </row>
    <row r="23" spans="1:6" x14ac:dyDescent="0.35">
      <c r="A23" s="28"/>
      <c r="B23" s="28"/>
      <c r="C23" s="28"/>
      <c r="D23" s="28"/>
      <c r="E23" s="28"/>
      <c r="F23" s="28"/>
    </row>
    <row r="24" spans="1:6" x14ac:dyDescent="0.35">
      <c r="A24" s="28"/>
      <c r="B24" s="28"/>
      <c r="C24" s="28"/>
      <c r="D24" s="28"/>
      <c r="E24" s="28"/>
      <c r="F24" s="28"/>
    </row>
    <row r="25" spans="1:6" x14ac:dyDescent="0.35">
      <c r="A25" s="28"/>
      <c r="B25" s="28"/>
      <c r="C25" s="28"/>
      <c r="D25" s="28"/>
      <c r="E25" s="28"/>
      <c r="F25" s="28"/>
    </row>
    <row r="26" spans="1:6" x14ac:dyDescent="0.35">
      <c r="A26" s="28"/>
      <c r="B26" s="28"/>
      <c r="C26" s="28"/>
      <c r="D26" s="28"/>
      <c r="E26" s="28"/>
      <c r="F26" s="28"/>
    </row>
    <row r="27" spans="1:6" x14ac:dyDescent="0.35">
      <c r="A27" s="39"/>
      <c r="B27" s="39"/>
      <c r="C27" s="28"/>
      <c r="D27" s="28"/>
      <c r="E27" s="28"/>
      <c r="F27" s="28"/>
    </row>
    <row r="28" spans="1:6" x14ac:dyDescent="0.35">
      <c r="A28" s="29"/>
      <c r="B28" s="29"/>
      <c r="C28" s="28"/>
      <c r="D28" s="28"/>
      <c r="E28" s="28"/>
      <c r="F28" s="28"/>
    </row>
    <row r="29" spans="1:6" x14ac:dyDescent="0.35">
      <c r="A29" s="28"/>
      <c r="B29" s="28"/>
      <c r="C29" s="28"/>
      <c r="D29" s="28"/>
      <c r="E29" s="28"/>
      <c r="F29" s="28"/>
    </row>
    <row r="30" spans="1:6" x14ac:dyDescent="0.35">
      <c r="A30" s="28"/>
      <c r="B30" s="29"/>
      <c r="C30" s="28"/>
      <c r="D30" s="28"/>
      <c r="E30" s="28"/>
      <c r="F30" s="28"/>
    </row>
    <row r="31" spans="1:6" x14ac:dyDescent="0.35">
      <c r="A31" s="28"/>
      <c r="B31" s="28"/>
      <c r="C31" s="28"/>
      <c r="D31" s="28"/>
      <c r="E31" s="28"/>
      <c r="F31" s="28"/>
    </row>
  </sheetData>
  <mergeCells count="2">
    <mergeCell ref="A11:B11"/>
    <mergeCell ref="A27:B27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BC45-FDB9-4026-BFC9-9DCD1A4575D7}">
  <dimension ref="A1:K10"/>
  <sheetViews>
    <sheetView workbookViewId="0">
      <selection activeCell="A11" sqref="A11"/>
    </sheetView>
  </sheetViews>
  <sheetFormatPr defaultRowHeight="15.5" x14ac:dyDescent="0.35"/>
  <cols>
    <col min="1" max="1" width="9.1640625" bestFit="1" customWidth="1"/>
    <col min="2" max="2" width="21" customWidth="1"/>
    <col min="7" max="7" width="13.83203125" customWidth="1"/>
    <col min="8" max="13" width="11.9140625" bestFit="1" customWidth="1"/>
  </cols>
  <sheetData>
    <row r="1" spans="1:11" x14ac:dyDescent="0.35">
      <c r="H1" t="s">
        <v>501</v>
      </c>
    </row>
    <row r="2" spans="1:11" x14ac:dyDescent="0.35">
      <c r="C2" s="2">
        <v>2001</v>
      </c>
      <c r="D2" s="2">
        <v>2011</v>
      </c>
      <c r="E2" s="2">
        <v>2022</v>
      </c>
      <c r="F2" s="2">
        <v>2024</v>
      </c>
      <c r="G2" s="2"/>
      <c r="H2" t="s">
        <v>525</v>
      </c>
      <c r="I2" t="s">
        <v>526</v>
      </c>
      <c r="J2" t="s">
        <v>527</v>
      </c>
    </row>
    <row r="3" spans="1:11" x14ac:dyDescent="0.35">
      <c r="A3" s="22" t="s">
        <v>519</v>
      </c>
      <c r="B3" s="22" t="s">
        <v>520</v>
      </c>
      <c r="C3" s="22">
        <v>500</v>
      </c>
      <c r="D3" s="22">
        <v>1000</v>
      </c>
      <c r="E3" s="22">
        <v>2000</v>
      </c>
      <c r="F3" s="22">
        <v>3000</v>
      </c>
      <c r="G3" s="22" t="s">
        <v>537</v>
      </c>
      <c r="H3" s="46">
        <v>0.8487877846108447</v>
      </c>
      <c r="I3" s="46">
        <v>0.60714207233424045</v>
      </c>
      <c r="J3" s="46">
        <v>0.67641712891894179</v>
      </c>
      <c r="K3" s="32"/>
    </row>
    <row r="4" spans="1:11" x14ac:dyDescent="0.35">
      <c r="A4" s="22"/>
      <c r="B4" s="22" t="s">
        <v>521</v>
      </c>
      <c r="C4" s="47">
        <v>0.37182999859358656</v>
      </c>
      <c r="D4" s="47">
        <v>0.43323079896337713</v>
      </c>
      <c r="E4" s="47">
        <v>0.35045001980204477</v>
      </c>
      <c r="F4" s="47">
        <v>0.37781741777891714</v>
      </c>
      <c r="G4" s="22" t="s">
        <v>536</v>
      </c>
      <c r="H4" s="46">
        <v>0.84988039381702529</v>
      </c>
      <c r="I4" s="46">
        <v>0.57342844843659846</v>
      </c>
      <c r="J4" s="46">
        <v>0.66850997011613156</v>
      </c>
      <c r="K4" s="32"/>
    </row>
    <row r="5" spans="1:11" x14ac:dyDescent="0.35">
      <c r="A5" t="s">
        <v>522</v>
      </c>
      <c r="B5" t="s">
        <v>523</v>
      </c>
      <c r="C5" s="26">
        <v>400</v>
      </c>
      <c r="D5" s="33">
        <v>800</v>
      </c>
      <c r="E5" s="34">
        <v>2000</v>
      </c>
      <c r="F5" s="26">
        <v>2500</v>
      </c>
      <c r="G5" t="s">
        <v>537</v>
      </c>
      <c r="H5" s="31">
        <v>0.83943600513578742</v>
      </c>
      <c r="I5" s="31">
        <v>0.6087572084671431</v>
      </c>
      <c r="J5" s="31">
        <v>0.65321033812694429</v>
      </c>
      <c r="K5" s="32"/>
    </row>
    <row r="6" spans="1:11" x14ac:dyDescent="0.35">
      <c r="B6" t="s">
        <v>521</v>
      </c>
      <c r="C6" s="30">
        <v>0.34477480909806779</v>
      </c>
      <c r="D6" s="30">
        <v>0.40868059471913365</v>
      </c>
      <c r="E6" s="30">
        <v>0.35045001980204477</v>
      </c>
      <c r="F6" s="30">
        <v>0.36248432743838699</v>
      </c>
      <c r="G6" t="s">
        <v>536</v>
      </c>
      <c r="H6" s="31">
        <v>0.83733086879780561</v>
      </c>
      <c r="I6" s="31">
        <v>0.57782098112947655</v>
      </c>
      <c r="J6" s="31">
        <v>0.6454076259991206</v>
      </c>
      <c r="K6" s="32"/>
    </row>
    <row r="7" spans="1:11" x14ac:dyDescent="0.35">
      <c r="A7" s="22" t="s">
        <v>524</v>
      </c>
      <c r="B7" s="22" t="s">
        <v>523</v>
      </c>
      <c r="C7" s="22">
        <v>500</v>
      </c>
      <c r="D7" s="22">
        <v>800</v>
      </c>
      <c r="E7" s="22">
        <v>2500</v>
      </c>
      <c r="F7" s="22">
        <v>3000</v>
      </c>
      <c r="G7" s="22" t="s">
        <v>537</v>
      </c>
      <c r="H7" s="46">
        <v>0.83850365249930137</v>
      </c>
      <c r="I7" s="46">
        <v>0.63073498896559077</v>
      </c>
      <c r="J7" s="46">
        <v>0.67641712891894179</v>
      </c>
      <c r="K7" s="32"/>
    </row>
    <row r="8" spans="1:11" x14ac:dyDescent="0.35">
      <c r="A8" s="22"/>
      <c r="B8" s="22" t="s">
        <v>521</v>
      </c>
      <c r="C8" s="48">
        <v>0.37182999859358656</v>
      </c>
      <c r="D8" s="48">
        <v>0.40868059471913365</v>
      </c>
      <c r="E8" s="48">
        <v>0.37308722189535709</v>
      </c>
      <c r="F8" s="48">
        <v>0.37781741777891714</v>
      </c>
      <c r="G8" s="22" t="s">
        <v>536</v>
      </c>
      <c r="H8" s="46">
        <v>0.83536743738379604</v>
      </c>
      <c r="I8" s="46">
        <v>0.61110106105363871</v>
      </c>
      <c r="J8" s="46">
        <v>0.66850997011613156</v>
      </c>
      <c r="K8" s="32"/>
    </row>
    <row r="10" spans="1:11" x14ac:dyDescent="0.35">
      <c r="A10" t="s">
        <v>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02EC-008A-4A4F-8BF0-540769460B14}">
  <dimension ref="A1:F78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" sqref="E3"/>
    </sheetView>
  </sheetViews>
  <sheetFormatPr defaultRowHeight="15.5" x14ac:dyDescent="0.35"/>
  <cols>
    <col min="1" max="1" width="25.9140625" customWidth="1"/>
    <col min="4" max="4" width="11.83203125" customWidth="1"/>
  </cols>
  <sheetData>
    <row r="1" spans="1:6" x14ac:dyDescent="0.35">
      <c r="A1" t="s">
        <v>498</v>
      </c>
      <c r="B1" t="s">
        <v>499</v>
      </c>
      <c r="C1" t="s">
        <v>500</v>
      </c>
      <c r="D1" t="s">
        <v>529</v>
      </c>
      <c r="E1" t="s">
        <v>535</v>
      </c>
      <c r="F1" t="s">
        <v>538</v>
      </c>
    </row>
    <row r="2" spans="1:6" x14ac:dyDescent="0.35">
      <c r="A2" t="s">
        <v>1</v>
      </c>
      <c r="B2">
        <v>2001</v>
      </c>
      <c r="C2" t="str">
        <f>A2&amp;B2</f>
        <v>Ajkai járás2001</v>
      </c>
      <c r="D2">
        <v>0.24542983692369641</v>
      </c>
      <c r="E2">
        <v>14</v>
      </c>
      <c r="F2">
        <f>IF(E2&lt;66,1,IF(E2&lt;132,2,3))</f>
        <v>1</v>
      </c>
    </row>
    <row r="3" spans="1:6" x14ac:dyDescent="0.35">
      <c r="A3" t="s">
        <v>3</v>
      </c>
      <c r="B3">
        <v>2001</v>
      </c>
      <c r="C3" t="str">
        <f t="shared" ref="C3:C66" si="0">A3&amp;B3</f>
        <v>Aszódi járás2001</v>
      </c>
      <c r="D3">
        <v>0.38885637565408976</v>
      </c>
      <c r="E3">
        <v>124</v>
      </c>
      <c r="F3">
        <f t="shared" ref="F3:F66" si="1">IF(E3&lt;66,1,IF(E3&lt;132,2,3))</f>
        <v>2</v>
      </c>
    </row>
    <row r="4" spans="1:6" x14ac:dyDescent="0.35">
      <c r="A4" t="s">
        <v>5</v>
      </c>
      <c r="B4">
        <v>2001</v>
      </c>
      <c r="C4" t="str">
        <f t="shared" si="0"/>
        <v>Bácsalmási járás2001</v>
      </c>
      <c r="D4">
        <v>0.41198129865960348</v>
      </c>
      <c r="E4">
        <v>147</v>
      </c>
      <c r="F4">
        <f t="shared" si="1"/>
        <v>3</v>
      </c>
    </row>
    <row r="5" spans="1:6" x14ac:dyDescent="0.35">
      <c r="A5" t="s">
        <v>7</v>
      </c>
      <c r="B5">
        <v>2001</v>
      </c>
      <c r="C5" t="str">
        <f t="shared" si="0"/>
        <v>Bajai járás2001</v>
      </c>
      <c r="D5">
        <v>0.37357862044782847</v>
      </c>
      <c r="E5">
        <v>112</v>
      </c>
      <c r="F5">
        <f t="shared" si="1"/>
        <v>2</v>
      </c>
    </row>
    <row r="6" spans="1:6" x14ac:dyDescent="0.35">
      <c r="A6" t="s">
        <v>9</v>
      </c>
      <c r="B6">
        <v>2001</v>
      </c>
      <c r="C6" t="str">
        <f t="shared" si="0"/>
        <v>Baktalórántházai járás2001</v>
      </c>
      <c r="D6">
        <v>0.52359756643106381</v>
      </c>
      <c r="E6">
        <v>196</v>
      </c>
      <c r="F6">
        <f t="shared" si="1"/>
        <v>3</v>
      </c>
    </row>
    <row r="7" spans="1:6" x14ac:dyDescent="0.35">
      <c r="A7" t="s">
        <v>11</v>
      </c>
      <c r="B7">
        <v>2001</v>
      </c>
      <c r="C7" t="str">
        <f t="shared" si="0"/>
        <v>Balassagyarmati járás2001</v>
      </c>
      <c r="D7">
        <v>0.42978329915973146</v>
      </c>
      <c r="E7">
        <v>160</v>
      </c>
      <c r="F7">
        <f t="shared" si="1"/>
        <v>3</v>
      </c>
    </row>
    <row r="8" spans="1:6" x14ac:dyDescent="0.35">
      <c r="A8" t="s">
        <v>13</v>
      </c>
      <c r="B8">
        <v>2001</v>
      </c>
      <c r="C8" t="str">
        <f t="shared" si="0"/>
        <v>Balatonalmádi járás2001</v>
      </c>
      <c r="D8">
        <v>0.24564104466538061</v>
      </c>
      <c r="E8">
        <v>15</v>
      </c>
      <c r="F8">
        <f t="shared" si="1"/>
        <v>1</v>
      </c>
    </row>
    <row r="9" spans="1:6" x14ac:dyDescent="0.35">
      <c r="A9" t="s">
        <v>15</v>
      </c>
      <c r="B9">
        <v>2001</v>
      </c>
      <c r="C9" t="str">
        <f t="shared" si="0"/>
        <v>Balatonfüredi járás2001</v>
      </c>
      <c r="D9">
        <v>0.22206422018348623</v>
      </c>
      <c r="E9">
        <v>7</v>
      </c>
      <c r="F9">
        <f t="shared" si="1"/>
        <v>1</v>
      </c>
    </row>
    <row r="10" spans="1:6" x14ac:dyDescent="0.35">
      <c r="A10" t="s">
        <v>17</v>
      </c>
      <c r="B10">
        <v>2001</v>
      </c>
      <c r="C10" t="str">
        <f t="shared" si="0"/>
        <v>Balmazújvárosi járás2001</v>
      </c>
      <c r="D10">
        <v>0.36955900833999772</v>
      </c>
      <c r="E10">
        <v>109</v>
      </c>
      <c r="F10">
        <f t="shared" si="1"/>
        <v>2</v>
      </c>
    </row>
    <row r="11" spans="1:6" x14ac:dyDescent="0.35">
      <c r="A11" t="s">
        <v>19</v>
      </c>
      <c r="B11">
        <v>2001</v>
      </c>
      <c r="C11" t="str">
        <f t="shared" si="0"/>
        <v>Barcsi járás2001</v>
      </c>
      <c r="D11">
        <v>0.43367830750114444</v>
      </c>
      <c r="E11">
        <v>163</v>
      </c>
      <c r="F11">
        <f t="shared" si="1"/>
        <v>3</v>
      </c>
    </row>
    <row r="12" spans="1:6" x14ac:dyDescent="0.35">
      <c r="A12" t="s">
        <v>21</v>
      </c>
      <c r="B12">
        <v>2001</v>
      </c>
      <c r="C12" t="str">
        <f t="shared" si="0"/>
        <v>Bátonyterenyei járás2001</v>
      </c>
      <c r="D12">
        <v>0.43782218833950481</v>
      </c>
      <c r="E12">
        <v>164</v>
      </c>
      <c r="F12">
        <f t="shared" si="1"/>
        <v>3</v>
      </c>
    </row>
    <row r="13" spans="1:6" x14ac:dyDescent="0.35">
      <c r="A13" t="s">
        <v>23</v>
      </c>
      <c r="B13">
        <v>2001</v>
      </c>
      <c r="C13" t="str">
        <f t="shared" si="0"/>
        <v>Békéscsabai járás2001</v>
      </c>
      <c r="D13">
        <v>0.31602190467237001</v>
      </c>
      <c r="E13">
        <v>60</v>
      </c>
      <c r="F13">
        <f t="shared" si="1"/>
        <v>1</v>
      </c>
    </row>
    <row r="14" spans="1:6" x14ac:dyDescent="0.35">
      <c r="A14" t="s">
        <v>25</v>
      </c>
      <c r="B14">
        <v>2001</v>
      </c>
      <c r="C14" t="str">
        <f t="shared" si="0"/>
        <v>Békési járás2001</v>
      </c>
      <c r="D14">
        <v>0.35403436472548755</v>
      </c>
      <c r="E14">
        <v>96</v>
      </c>
      <c r="F14">
        <f t="shared" si="1"/>
        <v>2</v>
      </c>
    </row>
    <row r="15" spans="1:6" x14ac:dyDescent="0.35">
      <c r="A15" t="s">
        <v>27</v>
      </c>
      <c r="B15">
        <v>2001</v>
      </c>
      <c r="C15" t="str">
        <f t="shared" si="0"/>
        <v>Bélapátfalvai járás2001</v>
      </c>
      <c r="D15">
        <v>0.39046973803071366</v>
      </c>
      <c r="E15">
        <v>126</v>
      </c>
      <c r="F15">
        <f t="shared" si="1"/>
        <v>2</v>
      </c>
    </row>
    <row r="16" spans="1:6" x14ac:dyDescent="0.35">
      <c r="A16" t="s">
        <v>29</v>
      </c>
      <c r="B16">
        <v>2001</v>
      </c>
      <c r="C16" t="str">
        <f t="shared" si="0"/>
        <v>Berettyóújfalui járás2001</v>
      </c>
      <c r="D16">
        <v>0.41308720974787339</v>
      </c>
      <c r="E16">
        <v>148</v>
      </c>
      <c r="F16">
        <f t="shared" si="1"/>
        <v>3</v>
      </c>
    </row>
    <row r="17" spans="1:6" x14ac:dyDescent="0.35">
      <c r="A17" t="s">
        <v>31</v>
      </c>
      <c r="B17">
        <v>2001</v>
      </c>
      <c r="C17" t="str">
        <f t="shared" si="0"/>
        <v>Bicskei járás2001</v>
      </c>
      <c r="D17">
        <v>0.34945432800119597</v>
      </c>
      <c r="E17">
        <v>92</v>
      </c>
      <c r="F17">
        <f t="shared" si="1"/>
        <v>2</v>
      </c>
    </row>
    <row r="18" spans="1:6" x14ac:dyDescent="0.35">
      <c r="A18" t="s">
        <v>33</v>
      </c>
      <c r="B18">
        <v>2001</v>
      </c>
      <c r="C18" t="str">
        <f t="shared" si="0"/>
        <v>Bólyi járás2001</v>
      </c>
      <c r="D18">
        <v>0.37176165803108807</v>
      </c>
      <c r="E18">
        <v>111</v>
      </c>
      <c r="F18">
        <f t="shared" si="1"/>
        <v>2</v>
      </c>
    </row>
    <row r="19" spans="1:6" x14ac:dyDescent="0.35">
      <c r="A19" t="s">
        <v>35</v>
      </c>
      <c r="B19">
        <v>2001</v>
      </c>
      <c r="C19" t="str">
        <f t="shared" si="0"/>
        <v>Bonyhádi járás2001</v>
      </c>
      <c r="D19">
        <v>0.31562546741785913</v>
      </c>
      <c r="E19">
        <v>58</v>
      </c>
      <c r="F19">
        <f t="shared" si="1"/>
        <v>1</v>
      </c>
    </row>
    <row r="20" spans="1:6" x14ac:dyDescent="0.35">
      <c r="A20" t="s">
        <v>37</v>
      </c>
      <c r="B20">
        <v>2001</v>
      </c>
      <c r="C20" t="str">
        <f t="shared" si="0"/>
        <v>Budakeszi járás2001</v>
      </c>
      <c r="D20">
        <v>0.31949698115952574</v>
      </c>
      <c r="E20">
        <v>64</v>
      </c>
      <c r="F20">
        <f t="shared" si="1"/>
        <v>1</v>
      </c>
    </row>
    <row r="21" spans="1:6" x14ac:dyDescent="0.35">
      <c r="A21" t="s">
        <v>41</v>
      </c>
      <c r="B21">
        <v>2001</v>
      </c>
      <c r="C21" t="str">
        <f t="shared" si="0"/>
        <v>Budapest 01. ker. járás2001</v>
      </c>
      <c r="D21">
        <v>0.14839219330855019</v>
      </c>
      <c r="E21">
        <v>1</v>
      </c>
      <c r="F21">
        <f t="shared" si="1"/>
        <v>1</v>
      </c>
    </row>
    <row r="22" spans="1:6" x14ac:dyDescent="0.35">
      <c r="A22" t="s">
        <v>43</v>
      </c>
      <c r="B22">
        <v>2001</v>
      </c>
      <c r="C22" t="str">
        <f t="shared" si="0"/>
        <v>Budapest 02. ker. járás2001</v>
      </c>
      <c r="D22">
        <v>0.23030646432794638</v>
      </c>
      <c r="E22">
        <v>10</v>
      </c>
      <c r="F22">
        <f t="shared" si="1"/>
        <v>1</v>
      </c>
    </row>
    <row r="23" spans="1:6" x14ac:dyDescent="0.35">
      <c r="A23" t="s">
        <v>45</v>
      </c>
      <c r="B23">
        <v>2001</v>
      </c>
      <c r="C23" t="str">
        <f t="shared" si="0"/>
        <v>Budapest 03. ker. járás2001</v>
      </c>
      <c r="D23">
        <v>0.28951161843145001</v>
      </c>
      <c r="E23">
        <v>34</v>
      </c>
      <c r="F23">
        <f t="shared" si="1"/>
        <v>1</v>
      </c>
    </row>
    <row r="24" spans="1:6" x14ac:dyDescent="0.35">
      <c r="A24" t="s">
        <v>47</v>
      </c>
      <c r="B24">
        <v>2001</v>
      </c>
      <c r="C24" t="str">
        <f t="shared" si="0"/>
        <v>Budapest 04. ker. járás2001</v>
      </c>
      <c r="D24">
        <v>0.31347248576850095</v>
      </c>
      <c r="E24">
        <v>52</v>
      </c>
      <c r="F24">
        <f t="shared" si="1"/>
        <v>1</v>
      </c>
    </row>
    <row r="25" spans="1:6" x14ac:dyDescent="0.35">
      <c r="A25" t="s">
        <v>49</v>
      </c>
      <c r="B25">
        <v>2001</v>
      </c>
      <c r="C25" t="str">
        <f t="shared" si="0"/>
        <v>Budapest 05. ker. járás2001</v>
      </c>
      <c r="D25">
        <v>0.18943556443556445</v>
      </c>
      <c r="E25">
        <v>4</v>
      </c>
      <c r="F25">
        <f t="shared" si="1"/>
        <v>1</v>
      </c>
    </row>
    <row r="26" spans="1:6" x14ac:dyDescent="0.35">
      <c r="A26" t="s">
        <v>51</v>
      </c>
      <c r="B26">
        <v>2001</v>
      </c>
      <c r="C26" t="str">
        <f t="shared" si="0"/>
        <v>Budapest 06. ker. járás2001</v>
      </c>
      <c r="D26">
        <v>0.33647881043774958</v>
      </c>
      <c r="E26">
        <v>81</v>
      </c>
      <c r="F26">
        <f t="shared" si="1"/>
        <v>2</v>
      </c>
    </row>
    <row r="27" spans="1:6" x14ac:dyDescent="0.35">
      <c r="A27" t="s">
        <v>53</v>
      </c>
      <c r="B27">
        <v>2001</v>
      </c>
      <c r="C27" t="str">
        <f t="shared" si="0"/>
        <v>Budapest 07. ker. járás2001</v>
      </c>
      <c r="D27">
        <v>0.38036547536984994</v>
      </c>
      <c r="E27">
        <v>120</v>
      </c>
      <c r="F27">
        <f t="shared" si="1"/>
        <v>2</v>
      </c>
    </row>
    <row r="28" spans="1:6" x14ac:dyDescent="0.35">
      <c r="A28" t="s">
        <v>55</v>
      </c>
      <c r="B28">
        <v>2001</v>
      </c>
      <c r="C28" t="str">
        <f t="shared" si="0"/>
        <v>Budapest 08. ker. járás2001</v>
      </c>
      <c r="D28">
        <v>0.43238327185277275</v>
      </c>
      <c r="E28">
        <v>162</v>
      </c>
      <c r="F28">
        <f t="shared" si="1"/>
        <v>3</v>
      </c>
    </row>
    <row r="29" spans="1:6" x14ac:dyDescent="0.35">
      <c r="A29" t="s">
        <v>57</v>
      </c>
      <c r="B29">
        <v>2001</v>
      </c>
      <c r="C29" t="str">
        <f t="shared" si="0"/>
        <v>Budapest 09. ker. járás2001</v>
      </c>
      <c r="D29">
        <v>0.35484574294124061</v>
      </c>
      <c r="E29">
        <v>97</v>
      </c>
      <c r="F29">
        <f t="shared" si="1"/>
        <v>2</v>
      </c>
    </row>
    <row r="30" spans="1:6" x14ac:dyDescent="0.35">
      <c r="A30" t="s">
        <v>59</v>
      </c>
      <c r="B30">
        <v>2001</v>
      </c>
      <c r="C30" t="str">
        <f t="shared" si="0"/>
        <v>Budapest 10. ker. járás2001</v>
      </c>
      <c r="D30">
        <v>0.34851256761056315</v>
      </c>
      <c r="E30">
        <v>90</v>
      </c>
      <c r="F30">
        <f t="shared" si="1"/>
        <v>2</v>
      </c>
    </row>
    <row r="31" spans="1:6" x14ac:dyDescent="0.35">
      <c r="A31" t="s">
        <v>61</v>
      </c>
      <c r="B31">
        <v>2001</v>
      </c>
      <c r="C31" t="str">
        <f t="shared" si="0"/>
        <v>Budapest 11. ker. járás2001</v>
      </c>
      <c r="D31">
        <v>0.29835965069681203</v>
      </c>
      <c r="E31">
        <v>40</v>
      </c>
      <c r="F31">
        <f t="shared" si="1"/>
        <v>1</v>
      </c>
    </row>
    <row r="32" spans="1:6" x14ac:dyDescent="0.35">
      <c r="A32" t="s">
        <v>63</v>
      </c>
      <c r="B32">
        <v>2001</v>
      </c>
      <c r="C32" t="str">
        <f t="shared" si="0"/>
        <v>Budapest 12. ker. járás2001</v>
      </c>
      <c r="D32">
        <v>0.18935295875672445</v>
      </c>
      <c r="E32">
        <v>3</v>
      </c>
      <c r="F32">
        <f t="shared" si="1"/>
        <v>1</v>
      </c>
    </row>
    <row r="33" spans="1:6" x14ac:dyDescent="0.35">
      <c r="A33" t="s">
        <v>65</v>
      </c>
      <c r="B33">
        <v>2001</v>
      </c>
      <c r="C33" t="str">
        <f t="shared" si="0"/>
        <v>Budapest 13. ker. járás2001</v>
      </c>
      <c r="D33">
        <v>0.34365191578822696</v>
      </c>
      <c r="E33">
        <v>88</v>
      </c>
      <c r="F33">
        <f t="shared" si="1"/>
        <v>2</v>
      </c>
    </row>
    <row r="34" spans="1:6" x14ac:dyDescent="0.35">
      <c r="A34" t="s">
        <v>67</v>
      </c>
      <c r="B34">
        <v>2001</v>
      </c>
      <c r="C34" t="str">
        <f t="shared" si="0"/>
        <v>Budapest 14. ker. járás2001</v>
      </c>
      <c r="D34">
        <v>0.31424753735553207</v>
      </c>
      <c r="E34">
        <v>54</v>
      </c>
      <c r="F34">
        <f t="shared" si="1"/>
        <v>1</v>
      </c>
    </row>
    <row r="35" spans="1:6" x14ac:dyDescent="0.35">
      <c r="A35" t="s">
        <v>69</v>
      </c>
      <c r="B35">
        <v>2001</v>
      </c>
      <c r="C35" t="str">
        <f t="shared" si="0"/>
        <v>Budapest 15. ker. járás2001</v>
      </c>
      <c r="D35">
        <v>0.31190191987481691</v>
      </c>
      <c r="E35">
        <v>48</v>
      </c>
      <c r="F35">
        <f t="shared" si="1"/>
        <v>1</v>
      </c>
    </row>
    <row r="36" spans="1:6" x14ac:dyDescent="0.35">
      <c r="A36" t="s">
        <v>71</v>
      </c>
      <c r="B36">
        <v>2001</v>
      </c>
      <c r="C36" t="str">
        <f t="shared" si="0"/>
        <v>Budapest 16. ker. járás2001</v>
      </c>
      <c r="D36">
        <v>0.29641141317084602</v>
      </c>
      <c r="E36">
        <v>37</v>
      </c>
      <c r="F36">
        <f t="shared" si="1"/>
        <v>1</v>
      </c>
    </row>
    <row r="37" spans="1:6" x14ac:dyDescent="0.35">
      <c r="A37" t="s">
        <v>73</v>
      </c>
      <c r="B37">
        <v>2001</v>
      </c>
      <c r="C37" t="str">
        <f t="shared" si="0"/>
        <v>Budapest 17. ker. járás2001</v>
      </c>
      <c r="D37">
        <v>0.31448187850944359</v>
      </c>
      <c r="E37">
        <v>56</v>
      </c>
      <c r="F37">
        <f t="shared" si="1"/>
        <v>1</v>
      </c>
    </row>
    <row r="38" spans="1:6" x14ac:dyDescent="0.35">
      <c r="A38" t="s">
        <v>75</v>
      </c>
      <c r="B38">
        <v>2001</v>
      </c>
      <c r="C38" t="str">
        <f t="shared" si="0"/>
        <v>Budapest 18. ker. járás2001</v>
      </c>
      <c r="D38">
        <v>0.30498300411023049</v>
      </c>
      <c r="E38">
        <v>44</v>
      </c>
      <c r="F38">
        <f t="shared" si="1"/>
        <v>1</v>
      </c>
    </row>
    <row r="39" spans="1:6" x14ac:dyDescent="0.35">
      <c r="A39" t="s">
        <v>77</v>
      </c>
      <c r="B39">
        <v>2001</v>
      </c>
      <c r="C39" t="str">
        <f t="shared" si="0"/>
        <v>Budapest 19. ker. járás2001</v>
      </c>
      <c r="D39">
        <v>0.30432269273072693</v>
      </c>
      <c r="E39">
        <v>43</v>
      </c>
      <c r="F39">
        <f t="shared" si="1"/>
        <v>1</v>
      </c>
    </row>
    <row r="40" spans="1:6" x14ac:dyDescent="0.35">
      <c r="A40" t="s">
        <v>79</v>
      </c>
      <c r="B40">
        <v>2001</v>
      </c>
      <c r="C40" t="str">
        <f t="shared" si="0"/>
        <v>Budapest 20. ker. járás2001</v>
      </c>
      <c r="D40">
        <v>0.3254094337673073</v>
      </c>
      <c r="E40">
        <v>68</v>
      </c>
      <c r="F40">
        <f t="shared" si="1"/>
        <v>2</v>
      </c>
    </row>
    <row r="41" spans="1:6" x14ac:dyDescent="0.35">
      <c r="A41" t="s">
        <v>81</v>
      </c>
      <c r="B41">
        <v>2001</v>
      </c>
      <c r="C41" t="str">
        <f t="shared" si="0"/>
        <v>Budapest 21. ker. járás2001</v>
      </c>
      <c r="D41">
        <v>0.32565060360182069</v>
      </c>
      <c r="E41">
        <v>69</v>
      </c>
      <c r="F41">
        <f t="shared" si="1"/>
        <v>2</v>
      </c>
    </row>
    <row r="42" spans="1:6" x14ac:dyDescent="0.35">
      <c r="A42" t="s">
        <v>83</v>
      </c>
      <c r="B42">
        <v>2001</v>
      </c>
      <c r="C42" t="str">
        <f t="shared" si="0"/>
        <v>Budapest 22. ker. járás2001</v>
      </c>
      <c r="D42">
        <v>0.29754632698803546</v>
      </c>
      <c r="E42">
        <v>39</v>
      </c>
      <c r="F42">
        <f t="shared" si="1"/>
        <v>1</v>
      </c>
    </row>
    <row r="43" spans="1:6" x14ac:dyDescent="0.35">
      <c r="A43" t="s">
        <v>85</v>
      </c>
      <c r="B43">
        <v>2001</v>
      </c>
      <c r="C43" t="str">
        <f t="shared" si="0"/>
        <v>Budapest 23. ker. járás2001</v>
      </c>
      <c r="D43">
        <v>0.28984192525859193</v>
      </c>
      <c r="E43">
        <v>35</v>
      </c>
      <c r="F43">
        <f t="shared" si="1"/>
        <v>1</v>
      </c>
    </row>
    <row r="44" spans="1:6" x14ac:dyDescent="0.35">
      <c r="A44" t="s">
        <v>87</v>
      </c>
      <c r="B44">
        <v>2001</v>
      </c>
      <c r="C44" t="str">
        <f t="shared" si="0"/>
        <v>Ceglédi járás2001</v>
      </c>
      <c r="D44">
        <v>0.40757791741820371</v>
      </c>
      <c r="E44">
        <v>144</v>
      </c>
      <c r="F44">
        <f t="shared" si="1"/>
        <v>3</v>
      </c>
    </row>
    <row r="45" spans="1:6" x14ac:dyDescent="0.35">
      <c r="A45" t="s">
        <v>89</v>
      </c>
      <c r="B45">
        <v>2001</v>
      </c>
      <c r="C45" t="str">
        <f t="shared" si="0"/>
        <v>Celldömölki járás2001</v>
      </c>
      <c r="D45">
        <v>0.20368866047745357</v>
      </c>
      <c r="E45">
        <v>6</v>
      </c>
      <c r="F45">
        <f t="shared" si="1"/>
        <v>1</v>
      </c>
    </row>
    <row r="46" spans="1:6" x14ac:dyDescent="0.35">
      <c r="A46" t="s">
        <v>91</v>
      </c>
      <c r="B46">
        <v>2001</v>
      </c>
      <c r="C46" t="str">
        <f t="shared" si="0"/>
        <v>Cigándi járás2001</v>
      </c>
      <c r="D46">
        <v>0.49510255819313204</v>
      </c>
      <c r="E46">
        <v>188</v>
      </c>
      <c r="F46">
        <f t="shared" si="1"/>
        <v>3</v>
      </c>
    </row>
    <row r="47" spans="1:6" x14ac:dyDescent="0.35">
      <c r="A47" t="s">
        <v>93</v>
      </c>
      <c r="B47">
        <v>2001</v>
      </c>
      <c r="C47" t="str">
        <f t="shared" si="0"/>
        <v>Csengeri járás2001</v>
      </c>
      <c r="D47">
        <v>0.47733507719790735</v>
      </c>
      <c r="E47">
        <v>178</v>
      </c>
      <c r="F47">
        <f t="shared" si="1"/>
        <v>3</v>
      </c>
    </row>
    <row r="48" spans="1:6" x14ac:dyDescent="0.35">
      <c r="A48" t="s">
        <v>95</v>
      </c>
      <c r="B48">
        <v>2001</v>
      </c>
      <c r="C48" t="str">
        <f t="shared" si="0"/>
        <v>Csongrádi járás2001</v>
      </c>
      <c r="D48">
        <v>0.3655453675062601</v>
      </c>
      <c r="E48">
        <v>105</v>
      </c>
      <c r="F48">
        <f t="shared" si="1"/>
        <v>2</v>
      </c>
    </row>
    <row r="49" spans="1:6" x14ac:dyDescent="0.35">
      <c r="A49" t="s">
        <v>97</v>
      </c>
      <c r="B49">
        <v>2001</v>
      </c>
      <c r="C49" t="str">
        <f t="shared" si="0"/>
        <v>Csornai járás2001</v>
      </c>
      <c r="D49">
        <v>0.24627706412514244</v>
      </c>
      <c r="E49">
        <v>16</v>
      </c>
      <c r="F49">
        <f t="shared" si="1"/>
        <v>1</v>
      </c>
    </row>
    <row r="50" spans="1:6" x14ac:dyDescent="0.35">
      <c r="A50" t="s">
        <v>99</v>
      </c>
      <c r="B50">
        <v>2001</v>
      </c>
      <c r="C50" t="str">
        <f t="shared" si="0"/>
        <v>Csurgói járás2001</v>
      </c>
      <c r="D50">
        <v>0.42331081081081079</v>
      </c>
      <c r="E50">
        <v>155</v>
      </c>
      <c r="F50">
        <f t="shared" si="1"/>
        <v>3</v>
      </c>
    </row>
    <row r="51" spans="1:6" x14ac:dyDescent="0.35">
      <c r="A51" t="s">
        <v>101</v>
      </c>
      <c r="B51">
        <v>2001</v>
      </c>
      <c r="C51" t="str">
        <f t="shared" si="0"/>
        <v>Dabasi járás2001</v>
      </c>
      <c r="D51">
        <v>0.41430722891566263</v>
      </c>
      <c r="E51">
        <v>150</v>
      </c>
      <c r="F51">
        <f t="shared" si="1"/>
        <v>3</v>
      </c>
    </row>
    <row r="52" spans="1:6" x14ac:dyDescent="0.35">
      <c r="A52" t="s">
        <v>103</v>
      </c>
      <c r="B52">
        <v>2001</v>
      </c>
      <c r="C52" t="str">
        <f t="shared" si="0"/>
        <v>Debreceni járás2001</v>
      </c>
      <c r="D52">
        <v>0.36891430719304513</v>
      </c>
      <c r="E52">
        <v>108</v>
      </c>
      <c r="F52">
        <f t="shared" si="1"/>
        <v>2</v>
      </c>
    </row>
    <row r="53" spans="1:6" x14ac:dyDescent="0.35">
      <c r="A53" t="s">
        <v>105</v>
      </c>
      <c r="B53">
        <v>2001</v>
      </c>
      <c r="C53" t="str">
        <f t="shared" si="0"/>
        <v>Derecskei járás2001</v>
      </c>
      <c r="D53">
        <v>0.486261963053639</v>
      </c>
      <c r="E53">
        <v>183</v>
      </c>
      <c r="F53">
        <f t="shared" si="1"/>
        <v>3</v>
      </c>
    </row>
    <row r="54" spans="1:6" x14ac:dyDescent="0.35">
      <c r="A54" t="s">
        <v>107</v>
      </c>
      <c r="B54">
        <v>2001</v>
      </c>
      <c r="C54" t="str">
        <f t="shared" si="0"/>
        <v>Devecseri járás2001</v>
      </c>
      <c r="D54">
        <v>0.34946625898508743</v>
      </c>
      <c r="E54">
        <v>93</v>
      </c>
      <c r="F54">
        <f t="shared" si="1"/>
        <v>2</v>
      </c>
    </row>
    <row r="55" spans="1:6" x14ac:dyDescent="0.35">
      <c r="A55" t="s">
        <v>109</v>
      </c>
      <c r="B55">
        <v>2001</v>
      </c>
      <c r="C55" t="str">
        <f t="shared" si="0"/>
        <v>Dombóvári járás2001</v>
      </c>
      <c r="D55">
        <v>0.33199900546991545</v>
      </c>
      <c r="E55">
        <v>78</v>
      </c>
      <c r="F55">
        <f t="shared" si="1"/>
        <v>2</v>
      </c>
    </row>
    <row r="56" spans="1:6" x14ac:dyDescent="0.35">
      <c r="A56" t="s">
        <v>111</v>
      </c>
      <c r="B56">
        <v>2001</v>
      </c>
      <c r="C56" t="str">
        <f t="shared" si="0"/>
        <v>Dunakeszi járás2001</v>
      </c>
      <c r="D56">
        <v>0.3297073943849555</v>
      </c>
      <c r="E56">
        <v>74</v>
      </c>
      <c r="F56">
        <f t="shared" si="1"/>
        <v>2</v>
      </c>
    </row>
    <row r="57" spans="1:6" x14ac:dyDescent="0.35">
      <c r="A57" t="s">
        <v>113</v>
      </c>
      <c r="B57">
        <v>2001</v>
      </c>
      <c r="C57" t="str">
        <f t="shared" si="0"/>
        <v>Dunaújvárosi járás2001</v>
      </c>
      <c r="D57">
        <v>0.26397264519155067</v>
      </c>
      <c r="E57">
        <v>21</v>
      </c>
      <c r="F57">
        <f t="shared" si="1"/>
        <v>1</v>
      </c>
    </row>
    <row r="58" spans="1:6" x14ac:dyDescent="0.35">
      <c r="A58" t="s">
        <v>115</v>
      </c>
      <c r="B58">
        <v>2001</v>
      </c>
      <c r="C58" t="str">
        <f t="shared" si="0"/>
        <v>Edelényi járás2001</v>
      </c>
      <c r="D58">
        <v>0.49450744619270642</v>
      </c>
      <c r="E58">
        <v>187</v>
      </c>
      <c r="F58">
        <f t="shared" si="1"/>
        <v>3</v>
      </c>
    </row>
    <row r="59" spans="1:6" x14ac:dyDescent="0.35">
      <c r="A59" t="s">
        <v>117</v>
      </c>
      <c r="B59">
        <v>2001</v>
      </c>
      <c r="C59" t="str">
        <f t="shared" si="0"/>
        <v>Egri járás2001</v>
      </c>
      <c r="D59">
        <v>0.27812178240475915</v>
      </c>
      <c r="E59">
        <v>27</v>
      </c>
      <c r="F59">
        <f t="shared" si="1"/>
        <v>1</v>
      </c>
    </row>
    <row r="60" spans="1:6" x14ac:dyDescent="0.35">
      <c r="A60" t="s">
        <v>119</v>
      </c>
      <c r="B60">
        <v>2001</v>
      </c>
      <c r="C60" t="str">
        <f t="shared" si="0"/>
        <v>Encsi járás2001</v>
      </c>
      <c r="D60">
        <v>0.47320813232253617</v>
      </c>
      <c r="E60">
        <v>176</v>
      </c>
      <c r="F60">
        <f t="shared" si="1"/>
        <v>3</v>
      </c>
    </row>
    <row r="61" spans="1:6" x14ac:dyDescent="0.35">
      <c r="A61" t="s">
        <v>121</v>
      </c>
      <c r="B61">
        <v>2001</v>
      </c>
      <c r="C61" t="str">
        <f t="shared" si="0"/>
        <v>Enyingi járás2001</v>
      </c>
      <c r="D61">
        <v>0.31415102007640411</v>
      </c>
      <c r="E61">
        <v>53</v>
      </c>
      <c r="F61">
        <f t="shared" si="1"/>
        <v>1</v>
      </c>
    </row>
    <row r="62" spans="1:6" x14ac:dyDescent="0.35">
      <c r="A62" t="s">
        <v>123</v>
      </c>
      <c r="B62">
        <v>2001</v>
      </c>
      <c r="C62" t="str">
        <f t="shared" si="0"/>
        <v>Érdi járás2001</v>
      </c>
      <c r="D62">
        <v>0.32622552187681769</v>
      </c>
      <c r="E62">
        <v>70</v>
      </c>
      <c r="F62">
        <f t="shared" si="1"/>
        <v>2</v>
      </c>
    </row>
    <row r="63" spans="1:6" x14ac:dyDescent="0.35">
      <c r="A63" t="s">
        <v>125</v>
      </c>
      <c r="B63">
        <v>2001</v>
      </c>
      <c r="C63" t="str">
        <f t="shared" si="0"/>
        <v>Esztergomi járás2001</v>
      </c>
      <c r="D63">
        <v>0.29981921627324037</v>
      </c>
      <c r="E63">
        <v>42</v>
      </c>
      <c r="F63">
        <f t="shared" si="1"/>
        <v>1</v>
      </c>
    </row>
    <row r="64" spans="1:6" x14ac:dyDescent="0.35">
      <c r="A64" t="s">
        <v>127</v>
      </c>
      <c r="B64">
        <v>2001</v>
      </c>
      <c r="C64" t="str">
        <f t="shared" si="0"/>
        <v>Fehérgyarmati járás2001</v>
      </c>
      <c r="D64">
        <v>0.45108419838523645</v>
      </c>
      <c r="E64">
        <v>169</v>
      </c>
      <c r="F64">
        <f t="shared" si="1"/>
        <v>3</v>
      </c>
    </row>
    <row r="65" spans="1:6" x14ac:dyDescent="0.35">
      <c r="A65" t="s">
        <v>129</v>
      </c>
      <c r="B65">
        <v>2001</v>
      </c>
      <c r="C65" t="str">
        <f t="shared" si="0"/>
        <v>Fonyódi járás2001</v>
      </c>
      <c r="D65">
        <v>0.33746747723406384</v>
      </c>
      <c r="E65">
        <v>82</v>
      </c>
      <c r="F65">
        <f t="shared" si="1"/>
        <v>2</v>
      </c>
    </row>
    <row r="66" spans="1:6" x14ac:dyDescent="0.35">
      <c r="A66" t="s">
        <v>131</v>
      </c>
      <c r="B66">
        <v>2001</v>
      </c>
      <c r="C66" t="str">
        <f t="shared" si="0"/>
        <v>Füzesabonyi járás2001</v>
      </c>
      <c r="D66">
        <v>0.37403474903474904</v>
      </c>
      <c r="E66">
        <v>113</v>
      </c>
      <c r="F66">
        <f t="shared" si="1"/>
        <v>2</v>
      </c>
    </row>
    <row r="67" spans="1:6" x14ac:dyDescent="0.35">
      <c r="A67" t="s">
        <v>133</v>
      </c>
      <c r="B67">
        <v>2001</v>
      </c>
      <c r="C67" t="str">
        <f t="shared" ref="C67:C130" si="2">A67&amp;B67</f>
        <v>Gárdonyi járás2001</v>
      </c>
      <c r="D67">
        <v>0.33053337228931307</v>
      </c>
      <c r="E67">
        <v>77</v>
      </c>
      <c r="F67">
        <f t="shared" ref="F67:F130" si="3">IF(E67&lt;66,1,IF(E67&lt;132,2,3))</f>
        <v>2</v>
      </c>
    </row>
    <row r="68" spans="1:6" x14ac:dyDescent="0.35">
      <c r="A68" t="s">
        <v>135</v>
      </c>
      <c r="B68">
        <v>2001</v>
      </c>
      <c r="C68" t="str">
        <f t="shared" si="2"/>
        <v>Gödöllői járás2001</v>
      </c>
      <c r="D68">
        <v>0.36641244860137834</v>
      </c>
      <c r="E68">
        <v>106</v>
      </c>
      <c r="F68">
        <f t="shared" si="3"/>
        <v>2</v>
      </c>
    </row>
    <row r="69" spans="1:6" x14ac:dyDescent="0.35">
      <c r="A69" t="s">
        <v>137</v>
      </c>
      <c r="B69">
        <v>2001</v>
      </c>
      <c r="C69" t="str">
        <f t="shared" si="2"/>
        <v>Gönci járás2001</v>
      </c>
      <c r="D69">
        <v>0.51469234102480776</v>
      </c>
      <c r="E69">
        <v>193</v>
      </c>
      <c r="F69">
        <f t="shared" si="3"/>
        <v>3</v>
      </c>
    </row>
    <row r="70" spans="1:6" x14ac:dyDescent="0.35">
      <c r="A70" t="s">
        <v>139</v>
      </c>
      <c r="B70">
        <v>2001</v>
      </c>
      <c r="C70" t="str">
        <f t="shared" si="2"/>
        <v>Gyáli járás2001</v>
      </c>
      <c r="D70">
        <v>0.40863709461270437</v>
      </c>
      <c r="E70">
        <v>145</v>
      </c>
      <c r="F70">
        <f t="shared" si="3"/>
        <v>3</v>
      </c>
    </row>
    <row r="71" spans="1:6" x14ac:dyDescent="0.35">
      <c r="A71" t="s">
        <v>141</v>
      </c>
      <c r="B71">
        <v>2001</v>
      </c>
      <c r="C71" t="str">
        <f t="shared" si="2"/>
        <v>Gyomaendrődi járás2001</v>
      </c>
      <c r="D71">
        <v>0.34312538372330992</v>
      </c>
      <c r="E71">
        <v>87</v>
      </c>
      <c r="F71">
        <f t="shared" si="3"/>
        <v>2</v>
      </c>
    </row>
    <row r="72" spans="1:6" x14ac:dyDescent="0.35">
      <c r="A72" t="s">
        <v>143</v>
      </c>
      <c r="B72">
        <v>2001</v>
      </c>
      <c r="C72" t="str">
        <f t="shared" si="2"/>
        <v>Gyöngyösi járás2001</v>
      </c>
      <c r="D72">
        <v>0.28392548658297823</v>
      </c>
      <c r="E72">
        <v>29</v>
      </c>
      <c r="F72">
        <f t="shared" si="3"/>
        <v>1</v>
      </c>
    </row>
    <row r="73" spans="1:6" x14ac:dyDescent="0.35">
      <c r="A73" t="s">
        <v>145</v>
      </c>
      <c r="B73">
        <v>2001</v>
      </c>
      <c r="C73" t="str">
        <f t="shared" si="2"/>
        <v>Győri járás2001</v>
      </c>
      <c r="D73">
        <v>0.24225246250936702</v>
      </c>
      <c r="E73">
        <v>13</v>
      </c>
      <c r="F73">
        <f t="shared" si="3"/>
        <v>1</v>
      </c>
    </row>
    <row r="74" spans="1:6" x14ac:dyDescent="0.35">
      <c r="A74" t="s">
        <v>147</v>
      </c>
      <c r="B74">
        <v>2001</v>
      </c>
      <c r="C74" t="str">
        <f t="shared" si="2"/>
        <v>Gyulai járás2001</v>
      </c>
      <c r="D74">
        <v>0.33032833648095689</v>
      </c>
      <c r="E74">
        <v>76</v>
      </c>
      <c r="F74">
        <f t="shared" si="3"/>
        <v>2</v>
      </c>
    </row>
    <row r="75" spans="1:6" x14ac:dyDescent="0.35">
      <c r="A75" t="s">
        <v>149</v>
      </c>
      <c r="B75">
        <v>2001</v>
      </c>
      <c r="C75" t="str">
        <f t="shared" si="2"/>
        <v>Hajdúböszörményi járás2001</v>
      </c>
      <c r="D75">
        <v>0.39716103507271172</v>
      </c>
      <c r="E75">
        <v>139</v>
      </c>
      <c r="F75">
        <f t="shared" si="3"/>
        <v>3</v>
      </c>
    </row>
    <row r="76" spans="1:6" x14ac:dyDescent="0.35">
      <c r="A76" t="s">
        <v>151</v>
      </c>
      <c r="B76">
        <v>2001</v>
      </c>
      <c r="C76" t="str">
        <f t="shared" si="2"/>
        <v>Hajdúhadházi járás2001</v>
      </c>
      <c r="D76">
        <v>0.51188669701568035</v>
      </c>
      <c r="E76">
        <v>192</v>
      </c>
      <c r="F76">
        <f t="shared" si="3"/>
        <v>3</v>
      </c>
    </row>
    <row r="77" spans="1:6" x14ac:dyDescent="0.35">
      <c r="A77" t="s">
        <v>153</v>
      </c>
      <c r="B77">
        <v>2001</v>
      </c>
      <c r="C77" t="str">
        <f t="shared" si="2"/>
        <v>Hajdúnánási járás2001</v>
      </c>
      <c r="D77">
        <v>0.37924221292422128</v>
      </c>
      <c r="E77">
        <v>118</v>
      </c>
      <c r="F77">
        <f t="shared" si="3"/>
        <v>2</v>
      </c>
    </row>
    <row r="78" spans="1:6" x14ac:dyDescent="0.35">
      <c r="A78" t="s">
        <v>155</v>
      </c>
      <c r="B78">
        <v>2001</v>
      </c>
      <c r="C78" t="str">
        <f t="shared" si="2"/>
        <v>Hajdúszoboszlói járás2001</v>
      </c>
      <c r="D78">
        <v>0.31750041155650671</v>
      </c>
      <c r="E78">
        <v>62</v>
      </c>
      <c r="F78">
        <f t="shared" si="3"/>
        <v>1</v>
      </c>
    </row>
    <row r="79" spans="1:6" x14ac:dyDescent="0.35">
      <c r="A79" t="s">
        <v>157</v>
      </c>
      <c r="B79">
        <v>2001</v>
      </c>
      <c r="C79" t="str">
        <f t="shared" si="2"/>
        <v>Hatvani járás2001</v>
      </c>
      <c r="D79">
        <v>0.32625888671571823</v>
      </c>
      <c r="E79">
        <v>71</v>
      </c>
      <c r="F79">
        <f t="shared" si="3"/>
        <v>2</v>
      </c>
    </row>
    <row r="80" spans="1:6" x14ac:dyDescent="0.35">
      <c r="A80" t="s">
        <v>159</v>
      </c>
      <c r="B80">
        <v>2001</v>
      </c>
      <c r="C80" t="str">
        <f t="shared" si="2"/>
        <v>Hegyháti járás2001</v>
      </c>
      <c r="D80">
        <v>0.47166105499438832</v>
      </c>
      <c r="E80">
        <v>175</v>
      </c>
      <c r="F80">
        <f t="shared" si="3"/>
        <v>3</v>
      </c>
    </row>
    <row r="81" spans="1:6" x14ac:dyDescent="0.35">
      <c r="A81" t="s">
        <v>161</v>
      </c>
      <c r="B81">
        <v>2001</v>
      </c>
      <c r="C81" t="str">
        <f t="shared" si="2"/>
        <v>Hevesi járás2001</v>
      </c>
      <c r="D81">
        <v>0.40968286976865087</v>
      </c>
      <c r="E81">
        <v>146</v>
      </c>
      <c r="F81">
        <f t="shared" si="3"/>
        <v>3</v>
      </c>
    </row>
    <row r="82" spans="1:6" x14ac:dyDescent="0.35">
      <c r="A82" t="s">
        <v>163</v>
      </c>
      <c r="B82">
        <v>2001</v>
      </c>
      <c r="C82" t="str">
        <f t="shared" si="2"/>
        <v>Hódmezővásárhelyi járás2001</v>
      </c>
      <c r="D82">
        <v>0.31883551778769986</v>
      </c>
      <c r="E82">
        <v>63</v>
      </c>
      <c r="F82">
        <f t="shared" si="3"/>
        <v>1</v>
      </c>
    </row>
    <row r="83" spans="1:6" x14ac:dyDescent="0.35">
      <c r="A83" t="s">
        <v>165</v>
      </c>
      <c r="B83">
        <v>2001</v>
      </c>
      <c r="C83" t="str">
        <f t="shared" si="2"/>
        <v>Ibrányi járás2001</v>
      </c>
      <c r="D83">
        <v>0.48073144509527693</v>
      </c>
      <c r="E83">
        <v>180</v>
      </c>
      <c r="F83">
        <f t="shared" si="3"/>
        <v>3</v>
      </c>
    </row>
    <row r="84" spans="1:6" x14ac:dyDescent="0.35">
      <c r="A84" s="16" t="s">
        <v>431</v>
      </c>
      <c r="B84">
        <v>2001</v>
      </c>
      <c r="C84" t="str">
        <f t="shared" si="2"/>
        <v>Jánoshalmai járás2001</v>
      </c>
      <c r="D84">
        <v>0.42243533215755436</v>
      </c>
      <c r="E84">
        <v>154</v>
      </c>
      <c r="F84">
        <f t="shared" si="3"/>
        <v>3</v>
      </c>
    </row>
    <row r="85" spans="1:6" x14ac:dyDescent="0.35">
      <c r="A85" t="s">
        <v>169</v>
      </c>
      <c r="B85">
        <v>2001</v>
      </c>
      <c r="C85" t="str">
        <f t="shared" si="2"/>
        <v>Jászapáti járás2001</v>
      </c>
      <c r="D85">
        <v>0.42843150319829426</v>
      </c>
      <c r="E85">
        <v>159</v>
      </c>
      <c r="F85">
        <f t="shared" si="3"/>
        <v>3</v>
      </c>
    </row>
    <row r="86" spans="1:6" x14ac:dyDescent="0.35">
      <c r="A86" t="s">
        <v>171</v>
      </c>
      <c r="B86">
        <v>2001</v>
      </c>
      <c r="C86" t="str">
        <f t="shared" si="2"/>
        <v>Jászberényi járás2001</v>
      </c>
      <c r="D86">
        <v>0.3419844514442732</v>
      </c>
      <c r="E86">
        <v>84</v>
      </c>
      <c r="F86">
        <f t="shared" si="3"/>
        <v>2</v>
      </c>
    </row>
    <row r="87" spans="1:6" x14ac:dyDescent="0.35">
      <c r="A87" t="s">
        <v>173</v>
      </c>
      <c r="B87">
        <v>2001</v>
      </c>
      <c r="C87" t="str">
        <f t="shared" si="2"/>
        <v>Kalocsai járás2001</v>
      </c>
      <c r="D87">
        <v>0.39404363691652727</v>
      </c>
      <c r="E87">
        <v>133</v>
      </c>
      <c r="F87">
        <f t="shared" si="3"/>
        <v>3</v>
      </c>
    </row>
    <row r="88" spans="1:6" x14ac:dyDescent="0.35">
      <c r="A88" t="s">
        <v>175</v>
      </c>
      <c r="B88">
        <v>2001</v>
      </c>
      <c r="C88" t="str">
        <f t="shared" si="2"/>
        <v>Kaposvári járás2001</v>
      </c>
      <c r="D88">
        <v>0.34919818227022847</v>
      </c>
      <c r="E88">
        <v>91</v>
      </c>
      <c r="F88">
        <f t="shared" si="3"/>
        <v>2</v>
      </c>
    </row>
    <row r="89" spans="1:6" x14ac:dyDescent="0.35">
      <c r="A89" t="s">
        <v>177</v>
      </c>
      <c r="B89">
        <v>2001</v>
      </c>
      <c r="C89" t="str">
        <f t="shared" si="2"/>
        <v>Kapuvári járás2001</v>
      </c>
      <c r="D89">
        <v>0.22540049601179704</v>
      </c>
      <c r="E89">
        <v>8</v>
      </c>
      <c r="F89">
        <f t="shared" si="3"/>
        <v>1</v>
      </c>
    </row>
    <row r="90" spans="1:6" x14ac:dyDescent="0.35">
      <c r="A90" t="s">
        <v>179</v>
      </c>
      <c r="B90">
        <v>2001</v>
      </c>
      <c r="C90" t="str">
        <f t="shared" si="2"/>
        <v>Karcagi járás2001</v>
      </c>
      <c r="D90">
        <v>0.36717993883318495</v>
      </c>
      <c r="E90">
        <v>107</v>
      </c>
      <c r="F90">
        <f t="shared" si="3"/>
        <v>2</v>
      </c>
    </row>
    <row r="91" spans="1:6" x14ac:dyDescent="0.35">
      <c r="A91" t="s">
        <v>181</v>
      </c>
      <c r="B91">
        <v>2001</v>
      </c>
      <c r="C91" t="str">
        <f t="shared" si="2"/>
        <v>Kazincbarcikai járás2001</v>
      </c>
      <c r="D91">
        <v>0.41882350805866125</v>
      </c>
      <c r="E91">
        <v>152</v>
      </c>
      <c r="F91">
        <f t="shared" si="3"/>
        <v>3</v>
      </c>
    </row>
    <row r="92" spans="1:6" x14ac:dyDescent="0.35">
      <c r="A92" t="s">
        <v>183</v>
      </c>
      <c r="B92">
        <v>2001</v>
      </c>
      <c r="C92" t="str">
        <f t="shared" si="2"/>
        <v>Kecskeméti járás2001</v>
      </c>
      <c r="D92">
        <v>0.32085651850683727</v>
      </c>
      <c r="E92">
        <v>65</v>
      </c>
      <c r="F92">
        <f t="shared" si="3"/>
        <v>1</v>
      </c>
    </row>
    <row r="93" spans="1:6" x14ac:dyDescent="0.35">
      <c r="A93" t="s">
        <v>185</v>
      </c>
      <c r="B93">
        <v>2001</v>
      </c>
      <c r="C93" t="str">
        <f t="shared" si="2"/>
        <v>Kemecsei járás2001</v>
      </c>
      <c r="D93">
        <v>0.49021774063956292</v>
      </c>
      <c r="E93">
        <v>185</v>
      </c>
      <c r="F93">
        <f t="shared" si="3"/>
        <v>3</v>
      </c>
    </row>
    <row r="94" spans="1:6" x14ac:dyDescent="0.35">
      <c r="A94" t="s">
        <v>187</v>
      </c>
      <c r="B94">
        <v>2001</v>
      </c>
      <c r="C94" t="str">
        <f t="shared" si="2"/>
        <v>Keszthelyi járás2001</v>
      </c>
      <c r="D94">
        <v>0.31266356627528646</v>
      </c>
      <c r="E94">
        <v>51</v>
      </c>
      <c r="F94">
        <f t="shared" si="3"/>
        <v>1</v>
      </c>
    </row>
    <row r="95" spans="1:6" x14ac:dyDescent="0.35">
      <c r="A95" t="s">
        <v>189</v>
      </c>
      <c r="B95">
        <v>2001</v>
      </c>
      <c r="C95" t="str">
        <f t="shared" si="2"/>
        <v>Kisbéri járás2001</v>
      </c>
      <c r="D95">
        <v>0.26701067174056914</v>
      </c>
      <c r="E95">
        <v>23</v>
      </c>
      <c r="F95">
        <f t="shared" si="3"/>
        <v>1</v>
      </c>
    </row>
    <row r="96" spans="1:6" x14ac:dyDescent="0.35">
      <c r="A96" t="s">
        <v>191</v>
      </c>
      <c r="B96">
        <v>2001</v>
      </c>
      <c r="C96" t="str">
        <f t="shared" si="2"/>
        <v>Kiskőrösi járás2001</v>
      </c>
      <c r="D96">
        <v>0.44328724828131655</v>
      </c>
      <c r="E96">
        <v>165</v>
      </c>
      <c r="F96">
        <f t="shared" si="3"/>
        <v>3</v>
      </c>
    </row>
    <row r="97" spans="1:6" x14ac:dyDescent="0.35">
      <c r="A97" t="s">
        <v>193</v>
      </c>
      <c r="B97">
        <v>2001</v>
      </c>
      <c r="C97" t="str">
        <f t="shared" si="2"/>
        <v>Kiskunfélegyházi járás2001</v>
      </c>
      <c r="D97">
        <v>0.36396094119671357</v>
      </c>
      <c r="E97">
        <v>104</v>
      </c>
      <c r="F97">
        <f t="shared" si="3"/>
        <v>2</v>
      </c>
    </row>
    <row r="98" spans="1:6" x14ac:dyDescent="0.35">
      <c r="A98" t="s">
        <v>195</v>
      </c>
      <c r="B98">
        <v>2001</v>
      </c>
      <c r="C98" t="str">
        <f t="shared" si="2"/>
        <v>Kiskunhalasi járás2001</v>
      </c>
      <c r="D98">
        <v>0.37546066554769031</v>
      </c>
      <c r="E98">
        <v>114</v>
      </c>
      <c r="F98">
        <f t="shared" si="3"/>
        <v>2</v>
      </c>
    </row>
    <row r="99" spans="1:6" x14ac:dyDescent="0.35">
      <c r="A99" t="s">
        <v>197</v>
      </c>
      <c r="B99">
        <v>2001</v>
      </c>
      <c r="C99" t="str">
        <f t="shared" si="2"/>
        <v>Kiskunmajsai járás2001</v>
      </c>
      <c r="D99">
        <v>0.42671130952380953</v>
      </c>
      <c r="E99">
        <v>157</v>
      </c>
      <c r="F99">
        <f t="shared" si="3"/>
        <v>3</v>
      </c>
    </row>
    <row r="100" spans="1:6" x14ac:dyDescent="0.35">
      <c r="A100" t="s">
        <v>199</v>
      </c>
      <c r="B100">
        <v>2001</v>
      </c>
      <c r="C100" t="str">
        <f t="shared" si="2"/>
        <v>Kisteleki járás2001</v>
      </c>
      <c r="D100">
        <v>0.48063413263394528</v>
      </c>
      <c r="E100">
        <v>179</v>
      </c>
      <c r="F100">
        <f t="shared" si="3"/>
        <v>3</v>
      </c>
    </row>
    <row r="101" spans="1:6" x14ac:dyDescent="0.35">
      <c r="A101" t="s">
        <v>201</v>
      </c>
      <c r="B101">
        <v>2001</v>
      </c>
      <c r="C101" t="str">
        <f t="shared" si="2"/>
        <v>Kisvárdai járás2001</v>
      </c>
      <c r="D101">
        <v>0.46438439350235311</v>
      </c>
      <c r="E101">
        <v>173</v>
      </c>
      <c r="F101">
        <f t="shared" si="3"/>
        <v>3</v>
      </c>
    </row>
    <row r="102" spans="1:6" x14ac:dyDescent="0.35">
      <c r="A102" t="s">
        <v>203</v>
      </c>
      <c r="B102">
        <v>2001</v>
      </c>
      <c r="C102" t="str">
        <f t="shared" si="2"/>
        <v>Komáromi járás2001</v>
      </c>
      <c r="D102">
        <v>0.23975712994164544</v>
      </c>
      <c r="E102">
        <v>12</v>
      </c>
      <c r="F102">
        <f t="shared" si="3"/>
        <v>1</v>
      </c>
    </row>
    <row r="103" spans="1:6" x14ac:dyDescent="0.35">
      <c r="A103" t="s">
        <v>205</v>
      </c>
      <c r="B103">
        <v>2001</v>
      </c>
      <c r="C103" t="str">
        <f t="shared" si="2"/>
        <v>Komlói járás2001</v>
      </c>
      <c r="D103">
        <v>0.39231470230862697</v>
      </c>
      <c r="E103">
        <v>130</v>
      </c>
      <c r="F103">
        <f t="shared" si="3"/>
        <v>2</v>
      </c>
    </row>
    <row r="104" spans="1:6" x14ac:dyDescent="0.35">
      <c r="A104" t="s">
        <v>207</v>
      </c>
      <c r="B104">
        <v>2001</v>
      </c>
      <c r="C104" t="str">
        <f t="shared" si="2"/>
        <v>Körmendi járás2001</v>
      </c>
      <c r="D104">
        <v>0.23023796901690521</v>
      </c>
      <c r="E104">
        <v>9</v>
      </c>
      <c r="F104">
        <f t="shared" si="3"/>
        <v>1</v>
      </c>
    </row>
    <row r="105" spans="1:6" x14ac:dyDescent="0.35">
      <c r="A105" t="s">
        <v>209</v>
      </c>
      <c r="B105">
        <v>2001</v>
      </c>
      <c r="C105" t="str">
        <f t="shared" si="2"/>
        <v>Kőszegi járás2001</v>
      </c>
      <c r="D105">
        <v>0.2847533246055261</v>
      </c>
      <c r="E105">
        <v>31</v>
      </c>
      <c r="F105">
        <f t="shared" si="3"/>
        <v>1</v>
      </c>
    </row>
    <row r="106" spans="1:6" x14ac:dyDescent="0.35">
      <c r="A106" t="s">
        <v>211</v>
      </c>
      <c r="B106">
        <v>2001</v>
      </c>
      <c r="C106" t="str">
        <f t="shared" si="2"/>
        <v>Kunhegyesi járás2001</v>
      </c>
      <c r="D106">
        <v>0.48399117055686686</v>
      </c>
      <c r="E106">
        <v>181</v>
      </c>
      <c r="F106">
        <f t="shared" si="3"/>
        <v>3</v>
      </c>
    </row>
    <row r="107" spans="1:6" x14ac:dyDescent="0.35">
      <c r="A107" t="s">
        <v>213</v>
      </c>
      <c r="B107">
        <v>2001</v>
      </c>
      <c r="C107" t="str">
        <f t="shared" si="2"/>
        <v>Kunszentmártoni járás2001</v>
      </c>
      <c r="D107">
        <v>0.42401023971309926</v>
      </c>
      <c r="E107">
        <v>156</v>
      </c>
      <c r="F107">
        <f t="shared" si="3"/>
        <v>3</v>
      </c>
    </row>
    <row r="108" spans="1:6" x14ac:dyDescent="0.35">
      <c r="A108" t="s">
        <v>215</v>
      </c>
      <c r="B108">
        <v>2001</v>
      </c>
      <c r="C108" t="str">
        <f t="shared" si="2"/>
        <v>Kunszentmiklósi járás2001</v>
      </c>
      <c r="D108">
        <v>0.38813658700022335</v>
      </c>
      <c r="E108">
        <v>123</v>
      </c>
      <c r="F108">
        <f t="shared" si="3"/>
        <v>2</v>
      </c>
    </row>
    <row r="109" spans="1:6" x14ac:dyDescent="0.35">
      <c r="A109" t="s">
        <v>217</v>
      </c>
      <c r="B109">
        <v>2001</v>
      </c>
      <c r="C109" t="str">
        <f t="shared" si="2"/>
        <v>Lenti járás2001</v>
      </c>
      <c r="D109">
        <v>0.25613534952900346</v>
      </c>
      <c r="E109">
        <v>18</v>
      </c>
      <c r="F109">
        <f t="shared" si="3"/>
        <v>1</v>
      </c>
    </row>
    <row r="110" spans="1:6" x14ac:dyDescent="0.35">
      <c r="A110" t="s">
        <v>219</v>
      </c>
      <c r="B110">
        <v>2001</v>
      </c>
      <c r="C110" t="str">
        <f t="shared" si="2"/>
        <v>Letenyei járás2001</v>
      </c>
      <c r="D110">
        <v>0.37867979503667237</v>
      </c>
      <c r="E110">
        <v>117</v>
      </c>
      <c r="F110">
        <f t="shared" si="3"/>
        <v>2</v>
      </c>
    </row>
    <row r="111" spans="1:6" x14ac:dyDescent="0.35">
      <c r="A111" t="s">
        <v>221</v>
      </c>
      <c r="B111">
        <v>2001</v>
      </c>
      <c r="C111" t="str">
        <f t="shared" si="2"/>
        <v>Makói járás2001</v>
      </c>
      <c r="D111">
        <v>0.38037141905396404</v>
      </c>
      <c r="E111">
        <v>121</v>
      </c>
      <c r="F111">
        <f t="shared" si="3"/>
        <v>2</v>
      </c>
    </row>
    <row r="112" spans="1:6" x14ac:dyDescent="0.35">
      <c r="A112" t="s">
        <v>223</v>
      </c>
      <c r="B112">
        <v>2001</v>
      </c>
      <c r="C112" t="str">
        <f t="shared" si="2"/>
        <v>Marcali járás2001</v>
      </c>
      <c r="D112">
        <v>0.39823791195573732</v>
      </c>
      <c r="E112">
        <v>140</v>
      </c>
      <c r="F112">
        <f t="shared" si="3"/>
        <v>3</v>
      </c>
    </row>
    <row r="113" spans="1:6" x14ac:dyDescent="0.35">
      <c r="A113" t="s">
        <v>225</v>
      </c>
      <c r="B113">
        <v>2001</v>
      </c>
      <c r="C113" t="str">
        <f t="shared" si="2"/>
        <v>Martonvásári járás2001</v>
      </c>
      <c r="D113">
        <v>0.39427864567125165</v>
      </c>
      <c r="E113">
        <v>135</v>
      </c>
      <c r="F113">
        <f t="shared" si="3"/>
        <v>3</v>
      </c>
    </row>
    <row r="114" spans="1:6" x14ac:dyDescent="0.35">
      <c r="A114" t="s">
        <v>227</v>
      </c>
      <c r="B114">
        <v>2001</v>
      </c>
      <c r="C114" t="str">
        <f t="shared" si="2"/>
        <v>Mátészalkai járás2001</v>
      </c>
      <c r="D114">
        <v>0.49665986573647491</v>
      </c>
      <c r="E114">
        <v>189</v>
      </c>
      <c r="F114">
        <f t="shared" si="3"/>
        <v>3</v>
      </c>
    </row>
    <row r="115" spans="1:6" x14ac:dyDescent="0.35">
      <c r="A115" t="s">
        <v>229</v>
      </c>
      <c r="B115">
        <v>2001</v>
      </c>
      <c r="C115" t="str">
        <f t="shared" si="2"/>
        <v>Mezőcsáti járás2001</v>
      </c>
      <c r="D115">
        <v>0.51153553001876173</v>
      </c>
      <c r="E115">
        <v>191</v>
      </c>
      <c r="F115">
        <f t="shared" si="3"/>
        <v>3</v>
      </c>
    </row>
    <row r="116" spans="1:6" x14ac:dyDescent="0.35">
      <c r="A116" t="s">
        <v>231</v>
      </c>
      <c r="B116">
        <v>2001</v>
      </c>
      <c r="C116" t="str">
        <f t="shared" si="2"/>
        <v>Mezőkovácsházai járás2001</v>
      </c>
      <c r="D116">
        <v>0.39520130708407292</v>
      </c>
      <c r="E116">
        <v>136</v>
      </c>
      <c r="F116">
        <f t="shared" si="3"/>
        <v>3</v>
      </c>
    </row>
    <row r="117" spans="1:6" x14ac:dyDescent="0.35">
      <c r="A117" t="s">
        <v>233</v>
      </c>
      <c r="B117">
        <v>2001</v>
      </c>
      <c r="C117" t="str">
        <f t="shared" si="2"/>
        <v>Mezőkövesdi járás2001</v>
      </c>
      <c r="D117">
        <v>0.37861189801699718</v>
      </c>
      <c r="E117">
        <v>116</v>
      </c>
      <c r="F117">
        <f t="shared" si="3"/>
        <v>2</v>
      </c>
    </row>
    <row r="118" spans="1:6" x14ac:dyDescent="0.35">
      <c r="A118" t="s">
        <v>235</v>
      </c>
      <c r="B118">
        <v>2001</v>
      </c>
      <c r="C118" t="str">
        <f t="shared" si="2"/>
        <v>Mezőtúri járás2001</v>
      </c>
      <c r="D118">
        <v>0.40757386718085409</v>
      </c>
      <c r="E118">
        <v>143</v>
      </c>
      <c r="F118">
        <f t="shared" si="3"/>
        <v>3</v>
      </c>
    </row>
    <row r="119" spans="1:6" x14ac:dyDescent="0.35">
      <c r="A119" t="s">
        <v>237</v>
      </c>
      <c r="B119">
        <v>2001</v>
      </c>
      <c r="C119" t="str">
        <f t="shared" si="2"/>
        <v>Miskolci járás2001</v>
      </c>
      <c r="D119">
        <v>0.37985404068700374</v>
      </c>
      <c r="E119">
        <v>119</v>
      </c>
      <c r="F119">
        <f t="shared" si="3"/>
        <v>2</v>
      </c>
    </row>
    <row r="120" spans="1:6" x14ac:dyDescent="0.35">
      <c r="A120" t="s">
        <v>239</v>
      </c>
      <c r="B120">
        <v>2001</v>
      </c>
      <c r="C120" t="str">
        <f t="shared" si="2"/>
        <v>Mohácsi járás2001</v>
      </c>
      <c r="D120">
        <v>0.34973773872500674</v>
      </c>
      <c r="E120">
        <v>94</v>
      </c>
      <c r="F120">
        <f t="shared" si="3"/>
        <v>2</v>
      </c>
    </row>
    <row r="121" spans="1:6" x14ac:dyDescent="0.35">
      <c r="A121" t="s">
        <v>241</v>
      </c>
      <c r="B121">
        <v>2001</v>
      </c>
      <c r="C121" t="str">
        <f t="shared" si="2"/>
        <v>Monori járás2001</v>
      </c>
      <c r="D121">
        <v>0.39703014311526658</v>
      </c>
      <c r="E121">
        <v>138</v>
      </c>
      <c r="F121">
        <f t="shared" si="3"/>
        <v>3</v>
      </c>
    </row>
    <row r="122" spans="1:6" x14ac:dyDescent="0.35">
      <c r="A122" t="s">
        <v>243</v>
      </c>
      <c r="B122">
        <v>2001</v>
      </c>
      <c r="C122" t="str">
        <f t="shared" si="2"/>
        <v>Mórahalmi járás2001</v>
      </c>
      <c r="D122">
        <v>0.46009497549019607</v>
      </c>
      <c r="E122">
        <v>172</v>
      </c>
      <c r="F122">
        <f t="shared" si="3"/>
        <v>3</v>
      </c>
    </row>
    <row r="123" spans="1:6" x14ac:dyDescent="0.35">
      <c r="A123" t="s">
        <v>245</v>
      </c>
      <c r="B123">
        <v>2001</v>
      </c>
      <c r="C123" t="str">
        <f t="shared" si="2"/>
        <v>Móri járás2001</v>
      </c>
      <c r="D123">
        <v>0.23349575029308323</v>
      </c>
      <c r="E123">
        <v>11</v>
      </c>
      <c r="F123">
        <f t="shared" si="3"/>
        <v>1</v>
      </c>
    </row>
    <row r="124" spans="1:6" x14ac:dyDescent="0.35">
      <c r="A124" t="s">
        <v>247</v>
      </c>
      <c r="B124">
        <v>2001</v>
      </c>
      <c r="C124" t="str">
        <f t="shared" si="2"/>
        <v>Mosonmagyaróvári járás2001</v>
      </c>
      <c r="D124">
        <v>0.27955205926490556</v>
      </c>
      <c r="E124">
        <v>28</v>
      </c>
      <c r="F124">
        <f t="shared" si="3"/>
        <v>1</v>
      </c>
    </row>
    <row r="125" spans="1:6" x14ac:dyDescent="0.35">
      <c r="A125" t="s">
        <v>249</v>
      </c>
      <c r="B125">
        <v>2001</v>
      </c>
      <c r="C125" t="str">
        <f t="shared" si="2"/>
        <v>Nagyatádi járás2001</v>
      </c>
      <c r="D125">
        <v>0.3907093765341188</v>
      </c>
      <c r="E125">
        <v>127</v>
      </c>
      <c r="F125">
        <f t="shared" si="3"/>
        <v>2</v>
      </c>
    </row>
    <row r="126" spans="1:6" x14ac:dyDescent="0.35">
      <c r="A126" t="s">
        <v>251</v>
      </c>
      <c r="B126">
        <v>2001</v>
      </c>
      <c r="C126" t="str">
        <f t="shared" si="2"/>
        <v>Nagykállói járás2001</v>
      </c>
      <c r="D126">
        <v>0.52801026671130458</v>
      </c>
      <c r="E126">
        <v>197</v>
      </c>
      <c r="F126">
        <f t="shared" si="3"/>
        <v>3</v>
      </c>
    </row>
    <row r="127" spans="1:6" x14ac:dyDescent="0.35">
      <c r="A127" t="s">
        <v>253</v>
      </c>
      <c r="B127">
        <v>2001</v>
      </c>
      <c r="C127" t="str">
        <f t="shared" si="2"/>
        <v>Nagykanizsai járás2001</v>
      </c>
      <c r="D127">
        <v>0.35300438010240803</v>
      </c>
      <c r="E127">
        <v>95</v>
      </c>
      <c r="F127">
        <f t="shared" si="3"/>
        <v>2</v>
      </c>
    </row>
    <row r="128" spans="1:6" x14ac:dyDescent="0.35">
      <c r="A128" t="s">
        <v>255</v>
      </c>
      <c r="B128">
        <v>2001</v>
      </c>
      <c r="C128" t="str">
        <f t="shared" si="2"/>
        <v>Nagykátai járás2001</v>
      </c>
      <c r="D128">
        <v>0.41420797991615482</v>
      </c>
      <c r="E128">
        <v>149</v>
      </c>
      <c r="F128">
        <f t="shared" si="3"/>
        <v>3</v>
      </c>
    </row>
    <row r="129" spans="1:6" x14ac:dyDescent="0.35">
      <c r="A129" t="s">
        <v>257</v>
      </c>
      <c r="B129">
        <v>2001</v>
      </c>
      <c r="C129" t="str">
        <f t="shared" si="2"/>
        <v>Nagykőrösi járás2001</v>
      </c>
      <c r="D129">
        <v>0.39288958875900915</v>
      </c>
      <c r="E129">
        <v>132</v>
      </c>
      <c r="F129">
        <f t="shared" si="3"/>
        <v>3</v>
      </c>
    </row>
    <row r="130" spans="1:6" x14ac:dyDescent="0.35">
      <c r="A130" t="s">
        <v>259</v>
      </c>
      <c r="B130">
        <v>2001</v>
      </c>
      <c r="C130" t="str">
        <f t="shared" si="2"/>
        <v>Nyíradonyi járás2001</v>
      </c>
      <c r="D130">
        <v>0.51585421068517956</v>
      </c>
      <c r="E130">
        <v>194</v>
      </c>
      <c r="F130">
        <f t="shared" si="3"/>
        <v>3</v>
      </c>
    </row>
    <row r="131" spans="1:6" x14ac:dyDescent="0.35">
      <c r="A131" t="s">
        <v>261</v>
      </c>
      <c r="B131">
        <v>2001</v>
      </c>
      <c r="C131" t="str">
        <f t="shared" ref="C131:C194" si="4">A131&amp;B131</f>
        <v>Nyírbátori járás2001</v>
      </c>
      <c r="D131">
        <v>0.51701477692526288</v>
      </c>
      <c r="E131">
        <v>195</v>
      </c>
      <c r="F131">
        <f t="shared" ref="F131:F194" si="5">IF(E131&lt;66,1,IF(E131&lt;132,2,3))</f>
        <v>3</v>
      </c>
    </row>
    <row r="132" spans="1:6" x14ac:dyDescent="0.35">
      <c r="A132" t="s">
        <v>263</v>
      </c>
      <c r="B132">
        <v>2001</v>
      </c>
      <c r="C132" t="str">
        <f t="shared" si="4"/>
        <v>Nyíregyházi járás2001</v>
      </c>
      <c r="D132">
        <v>0.39141753192505074</v>
      </c>
      <c r="E132">
        <v>129</v>
      </c>
      <c r="F132">
        <f t="shared" si="5"/>
        <v>2</v>
      </c>
    </row>
    <row r="133" spans="1:6" x14ac:dyDescent="0.35">
      <c r="A133" t="s">
        <v>265</v>
      </c>
      <c r="B133">
        <v>2001</v>
      </c>
      <c r="C133" t="str">
        <f t="shared" si="4"/>
        <v>Orosházi járás2001</v>
      </c>
      <c r="D133">
        <v>0.32749118165784835</v>
      </c>
      <c r="E133">
        <v>73</v>
      </c>
      <c r="F133">
        <f t="shared" si="5"/>
        <v>2</v>
      </c>
    </row>
    <row r="134" spans="1:6" x14ac:dyDescent="0.35">
      <c r="A134" t="s">
        <v>267</v>
      </c>
      <c r="B134">
        <v>2001</v>
      </c>
      <c r="C134" t="str">
        <f t="shared" si="4"/>
        <v>Oroszlányi járás2001</v>
      </c>
      <c r="D134">
        <v>0.3218788437884379</v>
      </c>
      <c r="E134">
        <v>66</v>
      </c>
      <c r="F134">
        <f t="shared" si="5"/>
        <v>2</v>
      </c>
    </row>
    <row r="135" spans="1:6" x14ac:dyDescent="0.35">
      <c r="A135" t="s">
        <v>269</v>
      </c>
      <c r="B135">
        <v>2001</v>
      </c>
      <c r="C135" t="str">
        <f t="shared" si="4"/>
        <v>Ózdi járás2001</v>
      </c>
      <c r="D135">
        <v>0.45942149660710951</v>
      </c>
      <c r="E135">
        <v>171</v>
      </c>
      <c r="F135">
        <f t="shared" si="5"/>
        <v>3</v>
      </c>
    </row>
    <row r="136" spans="1:6" x14ac:dyDescent="0.35">
      <c r="A136" t="s">
        <v>271</v>
      </c>
      <c r="B136">
        <v>2001</v>
      </c>
      <c r="C136" t="str">
        <f t="shared" si="4"/>
        <v>Paksi járás2001</v>
      </c>
      <c r="D136">
        <v>0.31539867109634551</v>
      </c>
      <c r="E136">
        <v>57</v>
      </c>
      <c r="F136">
        <f t="shared" si="5"/>
        <v>1</v>
      </c>
    </row>
    <row r="137" spans="1:6" x14ac:dyDescent="0.35">
      <c r="A137" t="s">
        <v>273</v>
      </c>
      <c r="B137">
        <v>2001</v>
      </c>
      <c r="C137" t="str">
        <f t="shared" si="4"/>
        <v>Pannonhalmi járás2001</v>
      </c>
      <c r="D137">
        <v>0.28549654121233436</v>
      </c>
      <c r="E137">
        <v>32</v>
      </c>
      <c r="F137">
        <f t="shared" si="5"/>
        <v>1</v>
      </c>
    </row>
    <row r="138" spans="1:6" x14ac:dyDescent="0.35">
      <c r="A138" t="s">
        <v>275</v>
      </c>
      <c r="B138">
        <v>2001</v>
      </c>
      <c r="C138" t="str">
        <f t="shared" si="4"/>
        <v>Pápai járás2001</v>
      </c>
      <c r="D138">
        <v>0.27589285714285716</v>
      </c>
      <c r="E138">
        <v>26</v>
      </c>
      <c r="F138">
        <f t="shared" si="5"/>
        <v>1</v>
      </c>
    </row>
    <row r="139" spans="1:6" x14ac:dyDescent="0.35">
      <c r="A139" t="s">
        <v>277</v>
      </c>
      <c r="B139">
        <v>2001</v>
      </c>
      <c r="C139" t="str">
        <f t="shared" si="4"/>
        <v>Pásztói járás2001</v>
      </c>
      <c r="D139">
        <v>0.44350967809255493</v>
      </c>
      <c r="E139">
        <v>166</v>
      </c>
      <c r="F139">
        <f t="shared" si="5"/>
        <v>3</v>
      </c>
    </row>
    <row r="140" spans="1:6" x14ac:dyDescent="0.35">
      <c r="A140" t="s">
        <v>279</v>
      </c>
      <c r="B140">
        <v>2001</v>
      </c>
      <c r="C140" t="str">
        <f t="shared" si="4"/>
        <v>Pécsi járás2001</v>
      </c>
      <c r="D140">
        <v>0.32729343135688027</v>
      </c>
      <c r="E140">
        <v>72</v>
      </c>
      <c r="F140">
        <f t="shared" si="5"/>
        <v>2</v>
      </c>
    </row>
    <row r="141" spans="1:6" x14ac:dyDescent="0.35">
      <c r="A141" t="s">
        <v>281</v>
      </c>
      <c r="B141">
        <v>2001</v>
      </c>
      <c r="C141" t="str">
        <f t="shared" si="4"/>
        <v>Pécsváradi járás2001</v>
      </c>
      <c r="D141">
        <v>0.35694367942715505</v>
      </c>
      <c r="E141">
        <v>98</v>
      </c>
      <c r="F141">
        <f t="shared" si="5"/>
        <v>2</v>
      </c>
    </row>
    <row r="142" spans="1:6" x14ac:dyDescent="0.35">
      <c r="A142" t="s">
        <v>283</v>
      </c>
      <c r="B142">
        <v>2001</v>
      </c>
      <c r="C142" t="str">
        <f t="shared" si="4"/>
        <v>Pétervásárai járás2001</v>
      </c>
      <c r="D142">
        <v>0.38929047171289766</v>
      </c>
      <c r="E142">
        <v>125</v>
      </c>
      <c r="F142">
        <f t="shared" si="5"/>
        <v>2</v>
      </c>
    </row>
    <row r="143" spans="1:6" x14ac:dyDescent="0.35">
      <c r="A143" t="s">
        <v>285</v>
      </c>
      <c r="B143">
        <v>2001</v>
      </c>
      <c r="C143" t="str">
        <f t="shared" si="4"/>
        <v>Pilisvörösvári járás2001</v>
      </c>
      <c r="D143">
        <v>0.34222066556634551</v>
      </c>
      <c r="E143">
        <v>85</v>
      </c>
      <c r="F143">
        <f t="shared" si="5"/>
        <v>2</v>
      </c>
    </row>
    <row r="144" spans="1:6" x14ac:dyDescent="0.35">
      <c r="A144" t="s">
        <v>287</v>
      </c>
      <c r="B144">
        <v>2001</v>
      </c>
      <c r="C144" t="str">
        <f t="shared" si="4"/>
        <v>Putnoki járás2001</v>
      </c>
      <c r="D144">
        <v>0.48430105170902715</v>
      </c>
      <c r="E144">
        <v>182</v>
      </c>
      <c r="F144">
        <f t="shared" si="5"/>
        <v>3</v>
      </c>
    </row>
    <row r="145" spans="1:6" x14ac:dyDescent="0.35">
      <c r="A145" t="s">
        <v>289</v>
      </c>
      <c r="B145">
        <v>2001</v>
      </c>
      <c r="C145" t="str">
        <f t="shared" si="4"/>
        <v>Püspökladányi járás2001</v>
      </c>
      <c r="D145">
        <v>0.39272082878953107</v>
      </c>
      <c r="E145">
        <v>131</v>
      </c>
      <c r="F145">
        <f t="shared" si="5"/>
        <v>2</v>
      </c>
    </row>
    <row r="146" spans="1:6" x14ac:dyDescent="0.35">
      <c r="A146" t="s">
        <v>291</v>
      </c>
      <c r="B146">
        <v>2001</v>
      </c>
      <c r="C146" t="str">
        <f t="shared" si="4"/>
        <v>Ráckevei járás2001</v>
      </c>
      <c r="D146">
        <v>0.39423963133640555</v>
      </c>
      <c r="E146">
        <v>134</v>
      </c>
      <c r="F146">
        <f t="shared" si="5"/>
        <v>3</v>
      </c>
    </row>
    <row r="147" spans="1:6" x14ac:dyDescent="0.35">
      <c r="A147" t="s">
        <v>293</v>
      </c>
      <c r="B147">
        <v>2001</v>
      </c>
      <c r="C147" t="str">
        <f t="shared" si="4"/>
        <v>Rétsági járás2001</v>
      </c>
      <c r="D147">
        <v>0.39833007549204635</v>
      </c>
      <c r="E147">
        <v>141</v>
      </c>
      <c r="F147">
        <f t="shared" si="5"/>
        <v>3</v>
      </c>
    </row>
    <row r="148" spans="1:6" x14ac:dyDescent="0.35">
      <c r="A148" t="s">
        <v>295</v>
      </c>
      <c r="B148">
        <v>2001</v>
      </c>
      <c r="C148" t="str">
        <f t="shared" si="4"/>
        <v>Salgótarjáni járás2001</v>
      </c>
      <c r="D148">
        <v>0.40236167172261639</v>
      </c>
      <c r="E148">
        <v>142</v>
      </c>
      <c r="F148">
        <f t="shared" si="5"/>
        <v>3</v>
      </c>
    </row>
    <row r="149" spans="1:6" x14ac:dyDescent="0.35">
      <c r="A149" t="s">
        <v>297</v>
      </c>
      <c r="B149">
        <v>2001</v>
      </c>
      <c r="C149" t="str">
        <f t="shared" si="4"/>
        <v>Sárbogárdi járás2001</v>
      </c>
      <c r="D149">
        <v>0.36262606555408811</v>
      </c>
      <c r="E149">
        <v>102</v>
      </c>
      <c r="F149">
        <f t="shared" si="5"/>
        <v>2</v>
      </c>
    </row>
    <row r="150" spans="1:6" x14ac:dyDescent="0.35">
      <c r="A150" t="s">
        <v>299</v>
      </c>
      <c r="B150">
        <v>2001</v>
      </c>
      <c r="C150" t="str">
        <f t="shared" si="4"/>
        <v>Sarkadi járás2001</v>
      </c>
      <c r="D150">
        <v>0.47522893772893771</v>
      </c>
      <c r="E150">
        <v>177</v>
      </c>
      <c r="F150">
        <f t="shared" si="5"/>
        <v>3</v>
      </c>
    </row>
    <row r="151" spans="1:6" x14ac:dyDescent="0.35">
      <c r="A151" t="s">
        <v>301</v>
      </c>
      <c r="B151">
        <v>2001</v>
      </c>
      <c r="C151" t="str">
        <f t="shared" si="4"/>
        <v>Sárospataki járás2001</v>
      </c>
      <c r="D151">
        <v>0.35852584894419803</v>
      </c>
      <c r="E151">
        <v>99</v>
      </c>
      <c r="F151">
        <f t="shared" si="5"/>
        <v>2</v>
      </c>
    </row>
    <row r="152" spans="1:6" x14ac:dyDescent="0.35">
      <c r="A152" t="s">
        <v>303</v>
      </c>
      <c r="B152">
        <v>2001</v>
      </c>
      <c r="C152" t="str">
        <f t="shared" si="4"/>
        <v>Sárvári járás2001</v>
      </c>
      <c r="D152">
        <v>0.18700232952138923</v>
      </c>
      <c r="E152">
        <v>2</v>
      </c>
      <c r="F152">
        <f t="shared" si="5"/>
        <v>1</v>
      </c>
    </row>
    <row r="153" spans="1:6" x14ac:dyDescent="0.35">
      <c r="A153" t="s">
        <v>305</v>
      </c>
      <c r="B153">
        <v>2001</v>
      </c>
      <c r="C153" t="str">
        <f t="shared" si="4"/>
        <v>Sátoraljaújhelyi járás2001</v>
      </c>
      <c r="D153">
        <v>0.33960762632354913</v>
      </c>
      <c r="E153">
        <v>83</v>
      </c>
      <c r="F153">
        <f t="shared" si="5"/>
        <v>2</v>
      </c>
    </row>
    <row r="154" spans="1:6" x14ac:dyDescent="0.35">
      <c r="A154" t="s">
        <v>307</v>
      </c>
      <c r="B154">
        <v>2001</v>
      </c>
      <c r="C154" t="str">
        <f t="shared" si="4"/>
        <v>Sellyei járás2001</v>
      </c>
      <c r="D154">
        <v>0.50992964768446714</v>
      </c>
      <c r="E154">
        <v>190</v>
      </c>
      <c r="F154">
        <f t="shared" si="5"/>
        <v>3</v>
      </c>
    </row>
    <row r="155" spans="1:6" x14ac:dyDescent="0.35">
      <c r="A155" t="s">
        <v>309</v>
      </c>
      <c r="B155">
        <v>2001</v>
      </c>
      <c r="C155" t="str">
        <f t="shared" si="4"/>
        <v>Siklósi járás2001</v>
      </c>
      <c r="D155">
        <v>0.43109422972728917</v>
      </c>
      <c r="E155">
        <v>161</v>
      </c>
      <c r="F155">
        <f t="shared" si="5"/>
        <v>3</v>
      </c>
    </row>
    <row r="156" spans="1:6" x14ac:dyDescent="0.35">
      <c r="A156" t="s">
        <v>311</v>
      </c>
      <c r="B156">
        <v>2001</v>
      </c>
      <c r="C156" t="str">
        <f t="shared" si="4"/>
        <v>Siófoki járás2001</v>
      </c>
      <c r="D156">
        <v>0.2984018104627908</v>
      </c>
      <c r="E156">
        <v>41</v>
      </c>
      <c r="F156">
        <f t="shared" si="5"/>
        <v>1</v>
      </c>
    </row>
    <row r="157" spans="1:6" x14ac:dyDescent="0.35">
      <c r="A157" t="s">
        <v>313</v>
      </c>
      <c r="B157">
        <v>2001</v>
      </c>
      <c r="C157" t="str">
        <f t="shared" si="4"/>
        <v>Soproni járás2001</v>
      </c>
      <c r="D157">
        <v>0.31585056890924501</v>
      </c>
      <c r="E157">
        <v>59</v>
      </c>
      <c r="F157">
        <f t="shared" si="5"/>
        <v>1</v>
      </c>
    </row>
    <row r="158" spans="1:6" x14ac:dyDescent="0.35">
      <c r="A158" t="s">
        <v>315</v>
      </c>
      <c r="B158">
        <v>2001</v>
      </c>
      <c r="C158" t="str">
        <f t="shared" si="4"/>
        <v>Sümegi járás2001</v>
      </c>
      <c r="D158">
        <v>0.31226343679031038</v>
      </c>
      <c r="E158">
        <v>49</v>
      </c>
      <c r="F158">
        <f t="shared" si="5"/>
        <v>1</v>
      </c>
    </row>
    <row r="159" spans="1:6" x14ac:dyDescent="0.35">
      <c r="A159" t="s">
        <v>317</v>
      </c>
      <c r="B159">
        <v>2001</v>
      </c>
      <c r="C159" t="str">
        <f t="shared" si="4"/>
        <v>Szarvasi járás2001</v>
      </c>
      <c r="D159">
        <v>0.31441652470187392</v>
      </c>
      <c r="E159">
        <v>55</v>
      </c>
      <c r="F159">
        <f t="shared" si="5"/>
        <v>1</v>
      </c>
    </row>
    <row r="160" spans="1:6" x14ac:dyDescent="0.35">
      <c r="A160" t="s">
        <v>319</v>
      </c>
      <c r="B160">
        <v>2001</v>
      </c>
      <c r="C160" t="str">
        <f t="shared" si="4"/>
        <v>Szécsényi járás2001</v>
      </c>
      <c r="D160">
        <v>0.47118211691456241</v>
      </c>
      <c r="E160">
        <v>174</v>
      </c>
      <c r="F160">
        <f t="shared" si="5"/>
        <v>3</v>
      </c>
    </row>
    <row r="161" spans="1:6" x14ac:dyDescent="0.35">
      <c r="A161" t="s">
        <v>321</v>
      </c>
      <c r="B161">
        <v>2001</v>
      </c>
      <c r="C161" t="str">
        <f t="shared" si="4"/>
        <v>Szegedi járás2001</v>
      </c>
      <c r="D161">
        <v>0.34295059499117475</v>
      </c>
      <c r="E161">
        <v>86</v>
      </c>
      <c r="F161">
        <f t="shared" si="5"/>
        <v>2</v>
      </c>
    </row>
    <row r="162" spans="1:6" x14ac:dyDescent="0.35">
      <c r="A162" t="s">
        <v>323</v>
      </c>
      <c r="B162">
        <v>2001</v>
      </c>
      <c r="C162" t="str">
        <f t="shared" si="4"/>
        <v>Szeghalmi járás2001</v>
      </c>
      <c r="D162">
        <v>0.36325869020377027</v>
      </c>
      <c r="E162">
        <v>103</v>
      </c>
      <c r="F162">
        <f t="shared" si="5"/>
        <v>2</v>
      </c>
    </row>
    <row r="163" spans="1:6" x14ac:dyDescent="0.35">
      <c r="A163" t="s">
        <v>325</v>
      </c>
      <c r="B163">
        <v>2001</v>
      </c>
      <c r="C163" t="str">
        <f t="shared" si="4"/>
        <v>Székesfehérvári járás2001</v>
      </c>
      <c r="D163">
        <v>0.26862647963706521</v>
      </c>
      <c r="E163">
        <v>25</v>
      </c>
      <c r="F163">
        <f t="shared" si="5"/>
        <v>1</v>
      </c>
    </row>
    <row r="164" spans="1:6" x14ac:dyDescent="0.35">
      <c r="A164" t="s">
        <v>327</v>
      </c>
      <c r="B164">
        <v>2001</v>
      </c>
      <c r="C164" t="str">
        <f t="shared" si="4"/>
        <v>Szekszárdi járás2001</v>
      </c>
      <c r="D164">
        <v>0.29662904860999945</v>
      </c>
      <c r="E164">
        <v>38</v>
      </c>
      <c r="F164">
        <f t="shared" si="5"/>
        <v>1</v>
      </c>
    </row>
    <row r="165" spans="1:6" x14ac:dyDescent="0.35">
      <c r="A165" t="s">
        <v>329</v>
      </c>
      <c r="B165">
        <v>2001</v>
      </c>
      <c r="C165" t="str">
        <f t="shared" si="4"/>
        <v>Szentendrei járás2001</v>
      </c>
      <c r="D165">
        <v>0.33397614412105381</v>
      </c>
      <c r="E165">
        <v>79</v>
      </c>
      <c r="F165">
        <f t="shared" si="5"/>
        <v>2</v>
      </c>
    </row>
    <row r="166" spans="1:6" x14ac:dyDescent="0.35">
      <c r="A166" t="s">
        <v>331</v>
      </c>
      <c r="B166">
        <v>2001</v>
      </c>
      <c r="C166" t="str">
        <f t="shared" si="4"/>
        <v>Szentesi járás2001</v>
      </c>
      <c r="D166">
        <v>0.30664175645927472</v>
      </c>
      <c r="E166">
        <v>45</v>
      </c>
      <c r="F166">
        <f t="shared" si="5"/>
        <v>1</v>
      </c>
    </row>
    <row r="167" spans="1:6" x14ac:dyDescent="0.35">
      <c r="A167" t="s">
        <v>333</v>
      </c>
      <c r="B167">
        <v>2001</v>
      </c>
      <c r="C167" t="str">
        <f t="shared" si="4"/>
        <v>Szentgotthárdi járás2001</v>
      </c>
      <c r="D167">
        <v>0.28440724419604474</v>
      </c>
      <c r="E167">
        <v>30</v>
      </c>
      <c r="F167">
        <f t="shared" si="5"/>
        <v>1</v>
      </c>
    </row>
    <row r="168" spans="1:6" x14ac:dyDescent="0.35">
      <c r="A168" t="s">
        <v>335</v>
      </c>
      <c r="B168">
        <v>2001</v>
      </c>
      <c r="C168" t="str">
        <f t="shared" si="4"/>
        <v>Szentlőrinci járás2001</v>
      </c>
      <c r="D168">
        <v>0.41438265034592869</v>
      </c>
      <c r="E168">
        <v>151</v>
      </c>
      <c r="F168">
        <f t="shared" si="5"/>
        <v>3</v>
      </c>
    </row>
    <row r="169" spans="1:6" x14ac:dyDescent="0.35">
      <c r="A169" t="s">
        <v>337</v>
      </c>
      <c r="B169">
        <v>2001</v>
      </c>
      <c r="C169" t="str">
        <f t="shared" si="4"/>
        <v>Szerencsi járás2001</v>
      </c>
      <c r="D169">
        <v>0.44790081981068292</v>
      </c>
      <c r="E169">
        <v>168</v>
      </c>
      <c r="F169">
        <f t="shared" si="5"/>
        <v>3</v>
      </c>
    </row>
    <row r="170" spans="1:6" x14ac:dyDescent="0.35">
      <c r="A170" t="s">
        <v>339</v>
      </c>
      <c r="B170">
        <v>2001</v>
      </c>
      <c r="C170" t="str">
        <f t="shared" si="4"/>
        <v>Szigetszentmiklósi járás2001</v>
      </c>
      <c r="D170">
        <v>0.37083013142598176</v>
      </c>
      <c r="E170">
        <v>110</v>
      </c>
      <c r="F170">
        <f t="shared" si="5"/>
        <v>2</v>
      </c>
    </row>
    <row r="171" spans="1:6" x14ac:dyDescent="0.35">
      <c r="A171" t="s">
        <v>341</v>
      </c>
      <c r="B171">
        <v>2001</v>
      </c>
      <c r="C171" t="str">
        <f t="shared" si="4"/>
        <v>Szigetvári járás2001</v>
      </c>
      <c r="D171">
        <v>0.45672659640421576</v>
      </c>
      <c r="E171">
        <v>170</v>
      </c>
      <c r="F171">
        <f t="shared" si="5"/>
        <v>3</v>
      </c>
    </row>
    <row r="172" spans="1:6" x14ac:dyDescent="0.35">
      <c r="A172" t="s">
        <v>343</v>
      </c>
      <c r="B172">
        <v>2001</v>
      </c>
      <c r="C172" t="str">
        <f t="shared" si="4"/>
        <v>Szikszói járás2001</v>
      </c>
      <c r="D172">
        <v>0.48878661513425548</v>
      </c>
      <c r="E172">
        <v>184</v>
      </c>
      <c r="F172">
        <f t="shared" si="5"/>
        <v>3</v>
      </c>
    </row>
    <row r="173" spans="1:6" x14ac:dyDescent="0.35">
      <c r="A173" t="s">
        <v>345</v>
      </c>
      <c r="B173">
        <v>2001</v>
      </c>
      <c r="C173" t="str">
        <f t="shared" si="4"/>
        <v>Szobi járás2001</v>
      </c>
      <c r="D173">
        <v>0.36235965164819345</v>
      </c>
      <c r="E173">
        <v>101</v>
      </c>
      <c r="F173">
        <f t="shared" si="5"/>
        <v>2</v>
      </c>
    </row>
    <row r="174" spans="1:6" x14ac:dyDescent="0.35">
      <c r="A174" t="s">
        <v>347</v>
      </c>
      <c r="B174">
        <v>2001</v>
      </c>
      <c r="C174" t="str">
        <f t="shared" si="4"/>
        <v>Szolnoki járás2001</v>
      </c>
      <c r="D174">
        <v>0.29171995754871011</v>
      </c>
      <c r="E174">
        <v>36</v>
      </c>
      <c r="F174">
        <f t="shared" si="5"/>
        <v>1</v>
      </c>
    </row>
    <row r="175" spans="1:6" x14ac:dyDescent="0.35">
      <c r="A175" t="s">
        <v>349</v>
      </c>
      <c r="B175">
        <v>2001</v>
      </c>
      <c r="C175" t="str">
        <f t="shared" si="4"/>
        <v>Szombathelyi járás2001</v>
      </c>
      <c r="D175">
        <v>0.1958688002803288</v>
      </c>
      <c r="E175">
        <v>5</v>
      </c>
      <c r="F175">
        <f t="shared" si="5"/>
        <v>1</v>
      </c>
    </row>
    <row r="176" spans="1:6" x14ac:dyDescent="0.35">
      <c r="A176" t="s">
        <v>351</v>
      </c>
      <c r="B176">
        <v>2001</v>
      </c>
      <c r="C176" t="str">
        <f t="shared" si="4"/>
        <v>Tabi járás2001</v>
      </c>
      <c r="D176">
        <v>0.33006298449612403</v>
      </c>
      <c r="E176">
        <v>75</v>
      </c>
      <c r="F176">
        <f t="shared" si="5"/>
        <v>2</v>
      </c>
    </row>
    <row r="177" spans="1:6" x14ac:dyDescent="0.35">
      <c r="A177" t="s">
        <v>353</v>
      </c>
      <c r="B177">
        <v>2001</v>
      </c>
      <c r="C177" t="str">
        <f t="shared" si="4"/>
        <v>Tamási járás2001</v>
      </c>
      <c r="D177">
        <v>0.39697872069857149</v>
      </c>
      <c r="E177">
        <v>137</v>
      </c>
      <c r="F177">
        <f t="shared" si="5"/>
        <v>3</v>
      </c>
    </row>
    <row r="178" spans="1:6" x14ac:dyDescent="0.35">
      <c r="A178" t="s">
        <v>355</v>
      </c>
      <c r="B178">
        <v>2001</v>
      </c>
      <c r="C178" t="str">
        <f t="shared" si="4"/>
        <v>Tapolcai járás2001</v>
      </c>
      <c r="D178">
        <v>0.31661787937923985</v>
      </c>
      <c r="E178">
        <v>61</v>
      </c>
      <c r="F178">
        <f t="shared" si="5"/>
        <v>1</v>
      </c>
    </row>
    <row r="179" spans="1:6" x14ac:dyDescent="0.35">
      <c r="A179" t="s">
        <v>357</v>
      </c>
      <c r="B179">
        <v>2001</v>
      </c>
      <c r="C179" t="str">
        <f t="shared" si="4"/>
        <v>Tatabányai járás2001</v>
      </c>
      <c r="D179">
        <v>0.30865201933748426</v>
      </c>
      <c r="E179">
        <v>47</v>
      </c>
      <c r="F179">
        <f t="shared" si="5"/>
        <v>1</v>
      </c>
    </row>
    <row r="180" spans="1:6" x14ac:dyDescent="0.35">
      <c r="A180" t="s">
        <v>359</v>
      </c>
      <c r="B180">
        <v>2001</v>
      </c>
      <c r="C180" t="str">
        <f t="shared" si="4"/>
        <v>Tatai járás2001</v>
      </c>
      <c r="D180">
        <v>0.31263453340649139</v>
      </c>
      <c r="E180">
        <v>50</v>
      </c>
      <c r="F180">
        <f t="shared" si="5"/>
        <v>1</v>
      </c>
    </row>
    <row r="181" spans="1:6" x14ac:dyDescent="0.35">
      <c r="A181" t="s">
        <v>361</v>
      </c>
      <c r="B181">
        <v>2001</v>
      </c>
      <c r="C181" t="str">
        <f t="shared" si="4"/>
        <v>Téti járás2001</v>
      </c>
      <c r="D181">
        <v>0.28692802524578226</v>
      </c>
      <c r="E181">
        <v>33</v>
      </c>
      <c r="F181">
        <f t="shared" si="5"/>
        <v>1</v>
      </c>
    </row>
    <row r="182" spans="1:6" x14ac:dyDescent="0.35">
      <c r="A182" t="s">
        <v>363</v>
      </c>
      <c r="B182">
        <v>2001</v>
      </c>
      <c r="C182" t="str">
        <f t="shared" si="4"/>
        <v>Tiszafüredi járás2001</v>
      </c>
      <c r="D182">
        <v>0.39110118276784944</v>
      </c>
      <c r="E182">
        <v>128</v>
      </c>
      <c r="F182">
        <f t="shared" si="5"/>
        <v>2</v>
      </c>
    </row>
    <row r="183" spans="1:6" x14ac:dyDescent="0.35">
      <c r="A183" t="s">
        <v>365</v>
      </c>
      <c r="B183">
        <v>2001</v>
      </c>
      <c r="C183" t="str">
        <f t="shared" si="4"/>
        <v>Tiszakécskei járás2001</v>
      </c>
      <c r="D183">
        <v>0.38519268625075714</v>
      </c>
      <c r="E183">
        <v>122</v>
      </c>
      <c r="F183">
        <f t="shared" si="5"/>
        <v>2</v>
      </c>
    </row>
    <row r="184" spans="1:6" x14ac:dyDescent="0.35">
      <c r="A184" t="s">
        <v>367</v>
      </c>
      <c r="B184">
        <v>2001</v>
      </c>
      <c r="C184" t="str">
        <f t="shared" si="4"/>
        <v>Tiszaújvárosi járás2001</v>
      </c>
      <c r="D184">
        <v>0.33440296599335206</v>
      </c>
      <c r="E184">
        <v>80</v>
      </c>
      <c r="F184">
        <f t="shared" si="5"/>
        <v>2</v>
      </c>
    </row>
    <row r="185" spans="1:6" x14ac:dyDescent="0.35">
      <c r="A185" t="s">
        <v>369</v>
      </c>
      <c r="B185">
        <v>2001</v>
      </c>
      <c r="C185" t="str">
        <f t="shared" si="4"/>
        <v>Tiszavasvári járás2001</v>
      </c>
      <c r="D185">
        <v>0.41892806497357227</v>
      </c>
      <c r="E185">
        <v>153</v>
      </c>
      <c r="F185">
        <f t="shared" si="5"/>
        <v>3</v>
      </c>
    </row>
    <row r="186" spans="1:6" x14ac:dyDescent="0.35">
      <c r="A186" t="s">
        <v>371</v>
      </c>
      <c r="B186">
        <v>2001</v>
      </c>
      <c r="C186" t="str">
        <f t="shared" si="4"/>
        <v>Tokaji járás2001</v>
      </c>
      <c r="D186">
        <v>0.44667875906930199</v>
      </c>
      <c r="E186">
        <v>167</v>
      </c>
      <c r="F186">
        <f t="shared" si="5"/>
        <v>3</v>
      </c>
    </row>
    <row r="187" spans="1:6" x14ac:dyDescent="0.35">
      <c r="A187" t="s">
        <v>373</v>
      </c>
      <c r="B187">
        <v>2001</v>
      </c>
      <c r="C187" t="str">
        <f t="shared" si="4"/>
        <v>Tolnai járás2001</v>
      </c>
      <c r="D187">
        <v>0.32243974554251409</v>
      </c>
      <c r="E187">
        <v>67</v>
      </c>
      <c r="F187">
        <f t="shared" si="5"/>
        <v>2</v>
      </c>
    </row>
    <row r="188" spans="1:6" x14ac:dyDescent="0.35">
      <c r="A188" t="s">
        <v>375</v>
      </c>
      <c r="B188">
        <v>2001</v>
      </c>
      <c r="C188" t="str">
        <f t="shared" si="4"/>
        <v>Törökszentmiklósi járás2001</v>
      </c>
      <c r="D188">
        <v>0.37848952021902071</v>
      </c>
      <c r="E188">
        <v>115</v>
      </c>
      <c r="F188">
        <f t="shared" si="5"/>
        <v>2</v>
      </c>
    </row>
    <row r="189" spans="1:6" x14ac:dyDescent="0.35">
      <c r="A189" t="s">
        <v>377</v>
      </c>
      <c r="B189">
        <v>2001</v>
      </c>
      <c r="C189" t="str">
        <f t="shared" si="4"/>
        <v>Váci járás2001</v>
      </c>
      <c r="D189">
        <v>0.34546428388156208</v>
      </c>
      <c r="E189">
        <v>89</v>
      </c>
      <c r="F189">
        <f t="shared" si="5"/>
        <v>2</v>
      </c>
    </row>
    <row r="190" spans="1:6" x14ac:dyDescent="0.35">
      <c r="A190" t="s">
        <v>379</v>
      </c>
      <c r="B190">
        <v>2001</v>
      </c>
      <c r="C190" t="str">
        <f t="shared" si="4"/>
        <v>Várpalotai járás2001</v>
      </c>
      <c r="D190">
        <v>0.26818785904141301</v>
      </c>
      <c r="E190">
        <v>24</v>
      </c>
      <c r="F190">
        <f t="shared" si="5"/>
        <v>1</v>
      </c>
    </row>
    <row r="191" spans="1:6" x14ac:dyDescent="0.35">
      <c r="A191" t="s">
        <v>381</v>
      </c>
      <c r="B191">
        <v>2001</v>
      </c>
      <c r="C191" t="str">
        <f t="shared" si="4"/>
        <v>Vásárosnaményi járás2001</v>
      </c>
      <c r="D191">
        <v>0.49285592060232719</v>
      </c>
      <c r="E191">
        <v>186</v>
      </c>
      <c r="F191">
        <f t="shared" si="5"/>
        <v>3</v>
      </c>
    </row>
    <row r="192" spans="1:6" x14ac:dyDescent="0.35">
      <c r="A192" t="s">
        <v>383</v>
      </c>
      <c r="B192">
        <v>2001</v>
      </c>
      <c r="C192" t="str">
        <f t="shared" si="4"/>
        <v>Vasvári járás2001</v>
      </c>
      <c r="D192">
        <v>0.26669098869025903</v>
      </c>
      <c r="E192">
        <v>22</v>
      </c>
      <c r="F192">
        <f t="shared" si="5"/>
        <v>1</v>
      </c>
    </row>
    <row r="193" spans="1:6" x14ac:dyDescent="0.35">
      <c r="A193" t="s">
        <v>385</v>
      </c>
      <c r="B193">
        <v>2001</v>
      </c>
      <c r="C193" t="str">
        <f t="shared" si="4"/>
        <v>Vecsési járás2001</v>
      </c>
      <c r="D193">
        <v>0.36192691231910495</v>
      </c>
      <c r="E193">
        <v>100</v>
      </c>
      <c r="F193">
        <f t="shared" si="5"/>
        <v>2</v>
      </c>
    </row>
    <row r="194" spans="1:6" x14ac:dyDescent="0.35">
      <c r="A194" t="s">
        <v>387</v>
      </c>
      <c r="B194">
        <v>2001</v>
      </c>
      <c r="C194" t="str">
        <f t="shared" si="4"/>
        <v>Veszprémi járás2001</v>
      </c>
      <c r="D194">
        <v>0.25379560989698663</v>
      </c>
      <c r="E194">
        <v>17</v>
      </c>
      <c r="F194">
        <f t="shared" si="5"/>
        <v>1</v>
      </c>
    </row>
    <row r="195" spans="1:6" x14ac:dyDescent="0.35">
      <c r="A195" t="s">
        <v>389</v>
      </c>
      <c r="B195">
        <v>2001</v>
      </c>
      <c r="C195" t="str">
        <f t="shared" ref="C195:C258" si="6">A195&amp;B195</f>
        <v>Záhonyi járás2001</v>
      </c>
      <c r="D195">
        <v>0.42819658566326974</v>
      </c>
      <c r="E195">
        <v>158</v>
      </c>
      <c r="F195">
        <f t="shared" ref="F195:F258" si="7">IF(E195&lt;66,1,IF(E195&lt;132,2,3))</f>
        <v>3</v>
      </c>
    </row>
    <row r="196" spans="1:6" x14ac:dyDescent="0.35">
      <c r="A196" t="s">
        <v>391</v>
      </c>
      <c r="B196">
        <v>2001</v>
      </c>
      <c r="C196" t="str">
        <f t="shared" si="6"/>
        <v>Zalaegerszegi járás2001</v>
      </c>
      <c r="D196">
        <v>0.26245603751465418</v>
      </c>
      <c r="E196">
        <v>20</v>
      </c>
      <c r="F196">
        <f t="shared" si="7"/>
        <v>1</v>
      </c>
    </row>
    <row r="197" spans="1:6" x14ac:dyDescent="0.35">
      <c r="A197" t="s">
        <v>393</v>
      </c>
      <c r="B197">
        <v>2001</v>
      </c>
      <c r="C197" t="str">
        <f t="shared" si="6"/>
        <v>Zalaszentgróti járás2001</v>
      </c>
      <c r="D197">
        <v>0.30767492556358994</v>
      </c>
      <c r="E197">
        <v>46</v>
      </c>
      <c r="F197">
        <f t="shared" si="7"/>
        <v>1</v>
      </c>
    </row>
    <row r="198" spans="1:6" x14ac:dyDescent="0.35">
      <c r="A198" t="s">
        <v>395</v>
      </c>
      <c r="B198">
        <v>2001</v>
      </c>
      <c r="C198" t="str">
        <f t="shared" si="6"/>
        <v>Zirci járás2001</v>
      </c>
      <c r="D198">
        <v>0.26218884120171676</v>
      </c>
      <c r="E198">
        <v>19</v>
      </c>
      <c r="F198">
        <f t="shared" si="7"/>
        <v>1</v>
      </c>
    </row>
    <row r="199" spans="1:6" x14ac:dyDescent="0.35">
      <c r="A199" t="s">
        <v>1</v>
      </c>
      <c r="B199">
        <v>2011</v>
      </c>
      <c r="C199" t="str">
        <f t="shared" si="6"/>
        <v>Ajkai járás2011</v>
      </c>
      <c r="D199">
        <v>0.30677875082617317</v>
      </c>
      <c r="E199">
        <v>3</v>
      </c>
      <c r="F199">
        <f t="shared" si="7"/>
        <v>1</v>
      </c>
    </row>
    <row r="200" spans="1:6" x14ac:dyDescent="0.35">
      <c r="A200" t="s">
        <v>3</v>
      </c>
      <c r="B200">
        <v>2011</v>
      </c>
      <c r="C200" t="str">
        <f t="shared" si="6"/>
        <v>Aszódi járás2011</v>
      </c>
      <c r="D200">
        <v>0.390605885180007</v>
      </c>
      <c r="E200">
        <v>67</v>
      </c>
      <c r="F200">
        <f t="shared" si="7"/>
        <v>2</v>
      </c>
    </row>
    <row r="201" spans="1:6" x14ac:dyDescent="0.35">
      <c r="A201" t="s">
        <v>5</v>
      </c>
      <c r="B201">
        <v>2011</v>
      </c>
      <c r="C201" t="str">
        <f t="shared" si="6"/>
        <v>Bácsalmási járás2011</v>
      </c>
      <c r="D201">
        <v>0.49136143745680716</v>
      </c>
      <c r="E201">
        <v>169</v>
      </c>
      <c r="F201">
        <f t="shared" si="7"/>
        <v>3</v>
      </c>
    </row>
    <row r="202" spans="1:6" x14ac:dyDescent="0.35">
      <c r="A202" t="s">
        <v>7</v>
      </c>
      <c r="B202">
        <v>2011</v>
      </c>
      <c r="C202" t="str">
        <f t="shared" si="6"/>
        <v>Bajai járás2011</v>
      </c>
      <c r="D202">
        <v>0.45211532106360264</v>
      </c>
      <c r="E202">
        <v>142</v>
      </c>
      <c r="F202">
        <f t="shared" si="7"/>
        <v>3</v>
      </c>
    </row>
    <row r="203" spans="1:6" x14ac:dyDescent="0.35">
      <c r="A203" t="s">
        <v>9</v>
      </c>
      <c r="B203">
        <v>2011</v>
      </c>
      <c r="C203" t="str">
        <f t="shared" si="6"/>
        <v>Baktalórántházai járás2011</v>
      </c>
      <c r="D203">
        <v>0.49347482916702706</v>
      </c>
      <c r="E203">
        <v>171</v>
      </c>
      <c r="F203">
        <f t="shared" si="7"/>
        <v>3</v>
      </c>
    </row>
    <row r="204" spans="1:6" x14ac:dyDescent="0.35">
      <c r="A204" t="s">
        <v>11</v>
      </c>
      <c r="B204">
        <v>2011</v>
      </c>
      <c r="C204" t="str">
        <f t="shared" si="6"/>
        <v>Balassagyarmati járás2011</v>
      </c>
      <c r="D204">
        <v>0.39670727473245648</v>
      </c>
      <c r="E204">
        <v>78</v>
      </c>
      <c r="F204">
        <f t="shared" si="7"/>
        <v>2</v>
      </c>
    </row>
    <row r="205" spans="1:6" x14ac:dyDescent="0.35">
      <c r="A205" t="s">
        <v>13</v>
      </c>
      <c r="B205">
        <v>2011</v>
      </c>
      <c r="C205" t="str">
        <f t="shared" si="6"/>
        <v>Balatonalmádi járás2011</v>
      </c>
      <c r="D205">
        <v>0.32051024332261224</v>
      </c>
      <c r="E205">
        <v>8</v>
      </c>
      <c r="F205">
        <f t="shared" si="7"/>
        <v>1</v>
      </c>
    </row>
    <row r="206" spans="1:6" x14ac:dyDescent="0.35">
      <c r="A206" t="s">
        <v>15</v>
      </c>
      <c r="B206">
        <v>2011</v>
      </c>
      <c r="C206" t="str">
        <f t="shared" si="6"/>
        <v>Balatonfüredi járás2011</v>
      </c>
      <c r="D206">
        <v>0.31339664310954063</v>
      </c>
      <c r="E206">
        <v>5</v>
      </c>
      <c r="F206">
        <f t="shared" si="7"/>
        <v>1</v>
      </c>
    </row>
    <row r="207" spans="1:6" x14ac:dyDescent="0.35">
      <c r="A207" t="s">
        <v>17</v>
      </c>
      <c r="B207">
        <v>2011</v>
      </c>
      <c r="C207" t="str">
        <f t="shared" si="6"/>
        <v>Balmazújvárosi járás2011</v>
      </c>
      <c r="D207">
        <v>0.42365898772490329</v>
      </c>
      <c r="E207">
        <v>109</v>
      </c>
      <c r="F207">
        <f t="shared" si="7"/>
        <v>2</v>
      </c>
    </row>
    <row r="208" spans="1:6" x14ac:dyDescent="0.35">
      <c r="A208" t="s">
        <v>19</v>
      </c>
      <c r="B208">
        <v>2011</v>
      </c>
      <c r="C208" t="str">
        <f t="shared" si="6"/>
        <v>Barcsi járás2011</v>
      </c>
      <c r="D208">
        <v>0.48189809296781883</v>
      </c>
      <c r="E208">
        <v>162</v>
      </c>
      <c r="F208">
        <f t="shared" si="7"/>
        <v>3</v>
      </c>
    </row>
    <row r="209" spans="1:6" x14ac:dyDescent="0.35">
      <c r="A209" t="s">
        <v>21</v>
      </c>
      <c r="B209">
        <v>2011</v>
      </c>
      <c r="C209" t="str">
        <f t="shared" si="6"/>
        <v>Bátonyterenyei járás2011</v>
      </c>
      <c r="D209">
        <v>0.43994421551858187</v>
      </c>
      <c r="E209">
        <v>130</v>
      </c>
      <c r="F209">
        <f t="shared" si="7"/>
        <v>2</v>
      </c>
    </row>
    <row r="210" spans="1:6" x14ac:dyDescent="0.35">
      <c r="A210" t="s">
        <v>23</v>
      </c>
      <c r="B210">
        <v>2011</v>
      </c>
      <c r="C210" t="str">
        <f t="shared" si="6"/>
        <v>Békéscsabai járás2011</v>
      </c>
      <c r="D210">
        <v>0.38296357516977675</v>
      </c>
      <c r="E210">
        <v>56</v>
      </c>
      <c r="F210">
        <f t="shared" si="7"/>
        <v>1</v>
      </c>
    </row>
    <row r="211" spans="1:6" x14ac:dyDescent="0.35">
      <c r="A211" t="s">
        <v>25</v>
      </c>
      <c r="B211">
        <v>2011</v>
      </c>
      <c r="C211" t="str">
        <f t="shared" si="6"/>
        <v>Békési járás2011</v>
      </c>
      <c r="D211">
        <v>0.43024140060378741</v>
      </c>
      <c r="E211">
        <v>121</v>
      </c>
      <c r="F211">
        <f t="shared" si="7"/>
        <v>2</v>
      </c>
    </row>
    <row r="212" spans="1:6" x14ac:dyDescent="0.35">
      <c r="A212" t="s">
        <v>27</v>
      </c>
      <c r="B212">
        <v>2011</v>
      </c>
      <c r="C212" t="str">
        <f t="shared" si="6"/>
        <v>Bélapátfalvai járás2011</v>
      </c>
      <c r="D212">
        <v>0.45553043150555872</v>
      </c>
      <c r="E212">
        <v>148</v>
      </c>
      <c r="F212">
        <f t="shared" si="7"/>
        <v>3</v>
      </c>
    </row>
    <row r="213" spans="1:6" x14ac:dyDescent="0.35">
      <c r="A213" t="s">
        <v>29</v>
      </c>
      <c r="B213">
        <v>2011</v>
      </c>
      <c r="C213" t="str">
        <f t="shared" si="6"/>
        <v>Berettyóújfalui járás2011</v>
      </c>
      <c r="D213">
        <v>0.47090850635553733</v>
      </c>
      <c r="E213">
        <v>156</v>
      </c>
      <c r="F213">
        <f t="shared" si="7"/>
        <v>3</v>
      </c>
    </row>
    <row r="214" spans="1:6" x14ac:dyDescent="0.35">
      <c r="A214" t="s">
        <v>31</v>
      </c>
      <c r="B214">
        <v>2011</v>
      </c>
      <c r="C214" t="str">
        <f t="shared" si="6"/>
        <v>Bicskei járás2011</v>
      </c>
      <c r="D214">
        <v>0.3769578867473205</v>
      </c>
      <c r="E214">
        <v>52</v>
      </c>
      <c r="F214">
        <f t="shared" si="7"/>
        <v>1</v>
      </c>
    </row>
    <row r="215" spans="1:6" x14ac:dyDescent="0.35">
      <c r="A215" t="s">
        <v>33</v>
      </c>
      <c r="B215">
        <v>2011</v>
      </c>
      <c r="C215" t="str">
        <f t="shared" si="6"/>
        <v>Bólyi járás2011</v>
      </c>
      <c r="D215">
        <v>0.42451869997239855</v>
      </c>
      <c r="E215">
        <v>113</v>
      </c>
      <c r="F215">
        <f t="shared" si="7"/>
        <v>2</v>
      </c>
    </row>
    <row r="216" spans="1:6" x14ac:dyDescent="0.35">
      <c r="A216" t="s">
        <v>35</v>
      </c>
      <c r="B216">
        <v>2011</v>
      </c>
      <c r="C216" t="str">
        <f t="shared" si="6"/>
        <v>Bonyhádi járás2011</v>
      </c>
      <c r="D216">
        <v>0.43143722323521749</v>
      </c>
      <c r="E216">
        <v>122</v>
      </c>
      <c r="F216">
        <f t="shared" si="7"/>
        <v>2</v>
      </c>
    </row>
    <row r="217" spans="1:6" x14ac:dyDescent="0.35">
      <c r="A217" t="s">
        <v>37</v>
      </c>
      <c r="B217">
        <v>2011</v>
      </c>
      <c r="C217" t="str">
        <f t="shared" si="6"/>
        <v>Budakeszi járás2011</v>
      </c>
      <c r="D217">
        <v>0.35665156998826736</v>
      </c>
      <c r="E217">
        <v>33</v>
      </c>
      <c r="F217">
        <f t="shared" si="7"/>
        <v>1</v>
      </c>
    </row>
    <row r="218" spans="1:6" x14ac:dyDescent="0.35">
      <c r="A218" t="s">
        <v>41</v>
      </c>
      <c r="B218">
        <v>2011</v>
      </c>
      <c r="C218" t="str">
        <f t="shared" si="6"/>
        <v>Budapest 01. ker. járás2011</v>
      </c>
      <c r="D218">
        <v>0.31598912109934152</v>
      </c>
      <c r="E218">
        <v>6</v>
      </c>
      <c r="F218">
        <f t="shared" si="7"/>
        <v>1</v>
      </c>
    </row>
    <row r="219" spans="1:6" x14ac:dyDescent="0.35">
      <c r="A219" t="s">
        <v>43</v>
      </c>
      <c r="B219">
        <v>2011</v>
      </c>
      <c r="C219" t="str">
        <f t="shared" si="6"/>
        <v>Budapest 02. ker. járás2011</v>
      </c>
      <c r="D219">
        <v>0.36951650089948512</v>
      </c>
      <c r="E219">
        <v>43</v>
      </c>
      <c r="F219">
        <f t="shared" si="7"/>
        <v>1</v>
      </c>
    </row>
    <row r="220" spans="1:6" x14ac:dyDescent="0.35">
      <c r="A220" t="s">
        <v>45</v>
      </c>
      <c r="B220">
        <v>2011</v>
      </c>
      <c r="C220" t="str">
        <f t="shared" si="6"/>
        <v>Budapest 03. ker. járás2011</v>
      </c>
      <c r="D220">
        <v>0.39258255385487528</v>
      </c>
      <c r="E220">
        <v>72</v>
      </c>
      <c r="F220">
        <f t="shared" si="7"/>
        <v>2</v>
      </c>
    </row>
    <row r="221" spans="1:6" x14ac:dyDescent="0.35">
      <c r="A221" t="s">
        <v>47</v>
      </c>
      <c r="B221">
        <v>2011</v>
      </c>
      <c r="C221" t="str">
        <f t="shared" si="6"/>
        <v>Budapest 04. ker. járás2011</v>
      </c>
      <c r="D221">
        <v>0.36636048802432364</v>
      </c>
      <c r="E221">
        <v>41</v>
      </c>
      <c r="F221">
        <f t="shared" si="7"/>
        <v>1</v>
      </c>
    </row>
    <row r="222" spans="1:6" x14ac:dyDescent="0.35">
      <c r="A222" t="s">
        <v>49</v>
      </c>
      <c r="B222">
        <v>2011</v>
      </c>
      <c r="C222" t="str">
        <f t="shared" si="6"/>
        <v>Budapest 05. ker. járás2011</v>
      </c>
      <c r="D222">
        <v>0.40571814534394618</v>
      </c>
      <c r="E222">
        <v>89</v>
      </c>
      <c r="F222">
        <f t="shared" si="7"/>
        <v>2</v>
      </c>
    </row>
    <row r="223" spans="1:6" x14ac:dyDescent="0.35">
      <c r="A223" t="s">
        <v>51</v>
      </c>
      <c r="B223">
        <v>2011</v>
      </c>
      <c r="C223" t="str">
        <f t="shared" si="6"/>
        <v>Budapest 06. ker. járás2011</v>
      </c>
      <c r="D223">
        <v>0.51089552523978754</v>
      </c>
      <c r="E223">
        <v>186</v>
      </c>
      <c r="F223">
        <f t="shared" si="7"/>
        <v>3</v>
      </c>
    </row>
    <row r="224" spans="1:6" x14ac:dyDescent="0.35">
      <c r="A224" t="s">
        <v>53</v>
      </c>
      <c r="B224">
        <v>2011</v>
      </c>
      <c r="C224" t="str">
        <f t="shared" si="6"/>
        <v>Budapest 07. ker. járás2011</v>
      </c>
      <c r="D224">
        <v>0.494008019984223</v>
      </c>
      <c r="E224">
        <v>173</v>
      </c>
      <c r="F224">
        <f t="shared" si="7"/>
        <v>3</v>
      </c>
    </row>
    <row r="225" spans="1:6" x14ac:dyDescent="0.35">
      <c r="A225" t="s">
        <v>55</v>
      </c>
      <c r="B225">
        <v>2011</v>
      </c>
      <c r="C225" t="str">
        <f t="shared" si="6"/>
        <v>Budapest 08. ker. járás2011</v>
      </c>
      <c r="D225">
        <v>0.57527437798080794</v>
      </c>
      <c r="E225">
        <v>197</v>
      </c>
      <c r="F225">
        <f t="shared" si="7"/>
        <v>3</v>
      </c>
    </row>
    <row r="226" spans="1:6" x14ac:dyDescent="0.35">
      <c r="A226" t="s">
        <v>57</v>
      </c>
      <c r="B226">
        <v>2011</v>
      </c>
      <c r="C226" t="str">
        <f t="shared" si="6"/>
        <v>Budapest 09. ker. járás2011</v>
      </c>
      <c r="D226">
        <v>0.52588051251489865</v>
      </c>
      <c r="E226">
        <v>194</v>
      </c>
      <c r="F226">
        <f t="shared" si="7"/>
        <v>3</v>
      </c>
    </row>
    <row r="227" spans="1:6" x14ac:dyDescent="0.35">
      <c r="A227" t="s">
        <v>59</v>
      </c>
      <c r="B227">
        <v>2011</v>
      </c>
      <c r="C227" t="str">
        <f t="shared" si="6"/>
        <v>Budapest 10. ker. járás2011</v>
      </c>
      <c r="D227">
        <v>0.48649029623031292</v>
      </c>
      <c r="E227">
        <v>165</v>
      </c>
      <c r="F227">
        <f t="shared" si="7"/>
        <v>3</v>
      </c>
    </row>
    <row r="228" spans="1:6" x14ac:dyDescent="0.35">
      <c r="A228" t="s">
        <v>61</v>
      </c>
      <c r="B228">
        <v>2011</v>
      </c>
      <c r="C228" t="str">
        <f t="shared" si="6"/>
        <v>Budapest 11. ker. járás2011</v>
      </c>
      <c r="D228">
        <v>0.4280105619561575</v>
      </c>
      <c r="E228">
        <v>118</v>
      </c>
      <c r="F228">
        <f t="shared" si="7"/>
        <v>2</v>
      </c>
    </row>
    <row r="229" spans="1:6" x14ac:dyDescent="0.35">
      <c r="A229" t="s">
        <v>63</v>
      </c>
      <c r="B229">
        <v>2011</v>
      </c>
      <c r="C229" t="str">
        <f t="shared" si="6"/>
        <v>Budapest 12. ker. járás2011</v>
      </c>
      <c r="D229">
        <v>0.34429533156158942</v>
      </c>
      <c r="E229">
        <v>22</v>
      </c>
      <c r="F229">
        <f t="shared" si="7"/>
        <v>1</v>
      </c>
    </row>
    <row r="230" spans="1:6" x14ac:dyDescent="0.35">
      <c r="A230" t="s">
        <v>65</v>
      </c>
      <c r="B230">
        <v>2011</v>
      </c>
      <c r="C230" t="str">
        <f t="shared" si="6"/>
        <v>Budapest 13. ker. járás2011</v>
      </c>
      <c r="D230">
        <v>0.47420100884819966</v>
      </c>
      <c r="E230">
        <v>157</v>
      </c>
      <c r="F230">
        <f t="shared" si="7"/>
        <v>3</v>
      </c>
    </row>
    <row r="231" spans="1:6" x14ac:dyDescent="0.35">
      <c r="A231" t="s">
        <v>67</v>
      </c>
      <c r="B231">
        <v>2011</v>
      </c>
      <c r="C231" t="str">
        <f t="shared" si="6"/>
        <v>Budapest 14. ker. járás2011</v>
      </c>
      <c r="D231">
        <v>0.45473486560841092</v>
      </c>
      <c r="E231">
        <v>145</v>
      </c>
      <c r="F231">
        <f t="shared" si="7"/>
        <v>3</v>
      </c>
    </row>
    <row r="232" spans="1:6" x14ac:dyDescent="0.35">
      <c r="A232" t="s">
        <v>69</v>
      </c>
      <c r="B232">
        <v>2011</v>
      </c>
      <c r="C232" t="str">
        <f t="shared" si="6"/>
        <v>Budapest 15. ker. járás2011</v>
      </c>
      <c r="D232">
        <v>0.39513989695569501</v>
      </c>
      <c r="E232">
        <v>77</v>
      </c>
      <c r="F232">
        <f t="shared" si="7"/>
        <v>2</v>
      </c>
    </row>
    <row r="233" spans="1:6" x14ac:dyDescent="0.35">
      <c r="A233" t="s">
        <v>71</v>
      </c>
      <c r="B233">
        <v>2011</v>
      </c>
      <c r="C233" t="str">
        <f t="shared" si="6"/>
        <v>Budapest 16. ker. járás2011</v>
      </c>
      <c r="D233">
        <v>0.36972008833133646</v>
      </c>
      <c r="E233">
        <v>44</v>
      </c>
      <c r="F233">
        <f t="shared" si="7"/>
        <v>1</v>
      </c>
    </row>
    <row r="234" spans="1:6" x14ac:dyDescent="0.35">
      <c r="A234" t="s">
        <v>73</v>
      </c>
      <c r="B234">
        <v>2011</v>
      </c>
      <c r="C234" t="str">
        <f t="shared" si="6"/>
        <v>Budapest 17. ker. járás2011</v>
      </c>
      <c r="D234">
        <v>0.35160719410695496</v>
      </c>
      <c r="E234">
        <v>27</v>
      </c>
      <c r="F234">
        <f t="shared" si="7"/>
        <v>1</v>
      </c>
    </row>
    <row r="235" spans="1:6" x14ac:dyDescent="0.35">
      <c r="A235" t="s">
        <v>75</v>
      </c>
      <c r="B235">
        <v>2011</v>
      </c>
      <c r="C235" t="str">
        <f t="shared" si="6"/>
        <v>Budapest 18. ker. járás2011</v>
      </c>
      <c r="D235">
        <v>0.37996300325538135</v>
      </c>
      <c r="E235">
        <v>54</v>
      </c>
      <c r="F235">
        <f t="shared" si="7"/>
        <v>1</v>
      </c>
    </row>
    <row r="236" spans="1:6" x14ac:dyDescent="0.35">
      <c r="A236" t="s">
        <v>77</v>
      </c>
      <c r="B236">
        <v>2011</v>
      </c>
      <c r="C236" t="str">
        <f t="shared" si="6"/>
        <v>Budapest 19. ker. járás2011</v>
      </c>
      <c r="D236">
        <v>0.37297984631791953</v>
      </c>
      <c r="E236">
        <v>50</v>
      </c>
      <c r="F236">
        <f t="shared" si="7"/>
        <v>1</v>
      </c>
    </row>
    <row r="237" spans="1:6" x14ac:dyDescent="0.35">
      <c r="A237" t="s">
        <v>79</v>
      </c>
      <c r="B237">
        <v>2011</v>
      </c>
      <c r="C237" t="str">
        <f t="shared" si="6"/>
        <v>Budapest 20. ker. járás2011</v>
      </c>
      <c r="D237">
        <v>0.40495799177711383</v>
      </c>
      <c r="E237">
        <v>87</v>
      </c>
      <c r="F237">
        <f t="shared" si="7"/>
        <v>2</v>
      </c>
    </row>
    <row r="238" spans="1:6" x14ac:dyDescent="0.35">
      <c r="A238" t="s">
        <v>81</v>
      </c>
      <c r="B238">
        <v>2011</v>
      </c>
      <c r="C238" t="str">
        <f t="shared" si="6"/>
        <v>Budapest 21. ker. járás2011</v>
      </c>
      <c r="D238">
        <v>0.38415633044699277</v>
      </c>
      <c r="E238">
        <v>58</v>
      </c>
      <c r="F238">
        <f t="shared" si="7"/>
        <v>1</v>
      </c>
    </row>
    <row r="239" spans="1:6" x14ac:dyDescent="0.35">
      <c r="A239" t="s">
        <v>83</v>
      </c>
      <c r="B239">
        <v>2011</v>
      </c>
      <c r="C239" t="str">
        <f t="shared" si="6"/>
        <v>Budapest 22. ker. járás2011</v>
      </c>
      <c r="D239">
        <v>0.38774153655897359</v>
      </c>
      <c r="E239">
        <v>65</v>
      </c>
      <c r="F239">
        <f t="shared" si="7"/>
        <v>1</v>
      </c>
    </row>
    <row r="240" spans="1:6" x14ac:dyDescent="0.35">
      <c r="A240" t="s">
        <v>85</v>
      </c>
      <c r="B240">
        <v>2011</v>
      </c>
      <c r="C240" t="str">
        <f t="shared" si="6"/>
        <v>Budapest 23. ker. járás2011</v>
      </c>
      <c r="D240">
        <v>0.39896705119505393</v>
      </c>
      <c r="E240">
        <v>80</v>
      </c>
      <c r="F240">
        <f t="shared" si="7"/>
        <v>2</v>
      </c>
    </row>
    <row r="241" spans="1:6" x14ac:dyDescent="0.35">
      <c r="A241" t="s">
        <v>87</v>
      </c>
      <c r="B241">
        <v>2011</v>
      </c>
      <c r="C241" t="str">
        <f t="shared" si="6"/>
        <v>Ceglédi járás2011</v>
      </c>
      <c r="D241">
        <v>0.41635721017907634</v>
      </c>
      <c r="E241">
        <v>103</v>
      </c>
      <c r="F241">
        <f t="shared" si="7"/>
        <v>2</v>
      </c>
    </row>
    <row r="242" spans="1:6" x14ac:dyDescent="0.35">
      <c r="A242" t="s">
        <v>89</v>
      </c>
      <c r="B242">
        <v>2011</v>
      </c>
      <c r="C242" t="str">
        <f t="shared" si="6"/>
        <v>Celldömölki járás2011</v>
      </c>
      <c r="D242">
        <v>0.30852715129547592</v>
      </c>
      <c r="E242">
        <v>4</v>
      </c>
      <c r="F242">
        <f t="shared" si="7"/>
        <v>1</v>
      </c>
    </row>
    <row r="243" spans="1:6" x14ac:dyDescent="0.35">
      <c r="A243" t="s">
        <v>91</v>
      </c>
      <c r="B243">
        <v>2011</v>
      </c>
      <c r="C243" t="str">
        <f t="shared" si="6"/>
        <v>Cigándi járás2011</v>
      </c>
      <c r="D243">
        <v>0.54685598096713506</v>
      </c>
      <c r="E243">
        <v>196</v>
      </c>
      <c r="F243">
        <f t="shared" si="7"/>
        <v>3</v>
      </c>
    </row>
    <row r="244" spans="1:6" x14ac:dyDescent="0.35">
      <c r="A244" t="s">
        <v>93</v>
      </c>
      <c r="B244">
        <v>2011</v>
      </c>
      <c r="C244" t="str">
        <f t="shared" si="6"/>
        <v>Csengeri járás2011</v>
      </c>
      <c r="D244">
        <v>0.50987729667223436</v>
      </c>
      <c r="E244">
        <v>184</v>
      </c>
      <c r="F244">
        <f t="shared" si="7"/>
        <v>3</v>
      </c>
    </row>
    <row r="245" spans="1:6" x14ac:dyDescent="0.35">
      <c r="A245" t="s">
        <v>95</v>
      </c>
      <c r="B245">
        <v>2011</v>
      </c>
      <c r="C245" t="str">
        <f t="shared" si="6"/>
        <v>Csongrádi járás2011</v>
      </c>
      <c r="D245">
        <v>0.42497651258925218</v>
      </c>
      <c r="E245">
        <v>115</v>
      </c>
      <c r="F245">
        <f t="shared" si="7"/>
        <v>2</v>
      </c>
    </row>
    <row r="246" spans="1:6" x14ac:dyDescent="0.35">
      <c r="A246" t="s">
        <v>97</v>
      </c>
      <c r="B246">
        <v>2011</v>
      </c>
      <c r="C246" t="str">
        <f t="shared" si="6"/>
        <v>Csornai járás2011</v>
      </c>
      <c r="D246">
        <v>0.33825563141632614</v>
      </c>
      <c r="E246">
        <v>14</v>
      </c>
      <c r="F246">
        <f t="shared" si="7"/>
        <v>1</v>
      </c>
    </row>
    <row r="247" spans="1:6" x14ac:dyDescent="0.35">
      <c r="A247" t="s">
        <v>99</v>
      </c>
      <c r="B247">
        <v>2011</v>
      </c>
      <c r="C247" t="str">
        <f t="shared" si="6"/>
        <v>Csurgói járás2011</v>
      </c>
      <c r="D247">
        <v>0.45404833084205282</v>
      </c>
      <c r="E247">
        <v>144</v>
      </c>
      <c r="F247">
        <f t="shared" si="7"/>
        <v>3</v>
      </c>
    </row>
    <row r="248" spans="1:6" x14ac:dyDescent="0.35">
      <c r="A248" t="s">
        <v>101</v>
      </c>
      <c r="B248">
        <v>2011</v>
      </c>
      <c r="C248" t="str">
        <f t="shared" si="6"/>
        <v>Dabasi járás2011</v>
      </c>
      <c r="D248">
        <v>0.40691159721291703</v>
      </c>
      <c r="E248">
        <v>91</v>
      </c>
      <c r="F248">
        <f t="shared" si="7"/>
        <v>2</v>
      </c>
    </row>
    <row r="249" spans="1:6" x14ac:dyDescent="0.35">
      <c r="A249" t="s">
        <v>103</v>
      </c>
      <c r="B249">
        <v>2011</v>
      </c>
      <c r="C249" t="str">
        <f t="shared" si="6"/>
        <v>Debreceni járás2011</v>
      </c>
      <c r="D249">
        <v>0.4319176568257927</v>
      </c>
      <c r="E249">
        <v>123</v>
      </c>
      <c r="F249">
        <f t="shared" si="7"/>
        <v>2</v>
      </c>
    </row>
    <row r="250" spans="1:6" x14ac:dyDescent="0.35">
      <c r="A250" t="s">
        <v>105</v>
      </c>
      <c r="B250">
        <v>2011</v>
      </c>
      <c r="C250" t="str">
        <f t="shared" si="6"/>
        <v>Derecskei járás2011</v>
      </c>
      <c r="D250">
        <v>0.50624696871716113</v>
      </c>
      <c r="E250">
        <v>182</v>
      </c>
      <c r="F250">
        <f t="shared" si="7"/>
        <v>3</v>
      </c>
    </row>
    <row r="251" spans="1:6" x14ac:dyDescent="0.35">
      <c r="A251" t="s">
        <v>107</v>
      </c>
      <c r="B251">
        <v>2011</v>
      </c>
      <c r="C251" t="str">
        <f t="shared" si="6"/>
        <v>Devecseri járás2011</v>
      </c>
      <c r="D251">
        <v>0.39366472271126762</v>
      </c>
      <c r="E251">
        <v>73</v>
      </c>
      <c r="F251">
        <f t="shared" si="7"/>
        <v>2</v>
      </c>
    </row>
    <row r="252" spans="1:6" x14ac:dyDescent="0.35">
      <c r="A252" t="s">
        <v>109</v>
      </c>
      <c r="B252">
        <v>2011</v>
      </c>
      <c r="C252" t="str">
        <f t="shared" si="6"/>
        <v>Dombóvári járás2011</v>
      </c>
      <c r="D252">
        <v>0.44168942243289194</v>
      </c>
      <c r="E252">
        <v>133</v>
      </c>
      <c r="F252">
        <f t="shared" si="7"/>
        <v>3</v>
      </c>
    </row>
    <row r="253" spans="1:6" x14ac:dyDescent="0.35">
      <c r="A253" t="s">
        <v>111</v>
      </c>
      <c r="B253">
        <v>2011</v>
      </c>
      <c r="C253" t="str">
        <f t="shared" si="6"/>
        <v>Dunakeszi járás2011</v>
      </c>
      <c r="D253">
        <v>0.35872818846798249</v>
      </c>
      <c r="E253">
        <v>36</v>
      </c>
      <c r="F253">
        <f t="shared" si="7"/>
        <v>1</v>
      </c>
    </row>
    <row r="254" spans="1:6" x14ac:dyDescent="0.35">
      <c r="A254" t="s">
        <v>113</v>
      </c>
      <c r="B254">
        <v>2011</v>
      </c>
      <c r="C254" t="str">
        <f t="shared" si="6"/>
        <v>Dunaújvárosi járás2011</v>
      </c>
      <c r="D254">
        <v>0.37114974979713283</v>
      </c>
      <c r="E254">
        <v>46</v>
      </c>
      <c r="F254">
        <f t="shared" si="7"/>
        <v>1</v>
      </c>
    </row>
    <row r="255" spans="1:6" x14ac:dyDescent="0.35">
      <c r="A255" t="s">
        <v>115</v>
      </c>
      <c r="B255">
        <v>2011</v>
      </c>
      <c r="C255" t="str">
        <f t="shared" si="6"/>
        <v>Edelényi járás2011</v>
      </c>
      <c r="D255">
        <v>0.51004288119541197</v>
      </c>
      <c r="E255">
        <v>185</v>
      </c>
      <c r="F255">
        <f t="shared" si="7"/>
        <v>3</v>
      </c>
    </row>
    <row r="256" spans="1:6" x14ac:dyDescent="0.35">
      <c r="A256" t="s">
        <v>117</v>
      </c>
      <c r="B256">
        <v>2011</v>
      </c>
      <c r="C256" t="str">
        <f t="shared" si="6"/>
        <v>Egri járás2011</v>
      </c>
      <c r="D256">
        <v>0.38908275642108026</v>
      </c>
      <c r="E256">
        <v>66</v>
      </c>
      <c r="F256">
        <f t="shared" si="7"/>
        <v>2</v>
      </c>
    </row>
    <row r="257" spans="1:6" x14ac:dyDescent="0.35">
      <c r="A257" t="s">
        <v>119</v>
      </c>
      <c r="B257">
        <v>2011</v>
      </c>
      <c r="C257" t="str">
        <f t="shared" si="6"/>
        <v>Encsi járás2011</v>
      </c>
      <c r="D257">
        <v>0.50620782587228441</v>
      </c>
      <c r="E257">
        <v>181</v>
      </c>
      <c r="F257">
        <f t="shared" si="7"/>
        <v>3</v>
      </c>
    </row>
    <row r="258" spans="1:6" x14ac:dyDescent="0.35">
      <c r="A258" t="s">
        <v>121</v>
      </c>
      <c r="B258">
        <v>2011</v>
      </c>
      <c r="C258" t="str">
        <f t="shared" si="6"/>
        <v>Enyingi járás2011</v>
      </c>
      <c r="D258">
        <v>0.39775514240506327</v>
      </c>
      <c r="E258">
        <v>79</v>
      </c>
      <c r="F258">
        <f t="shared" si="7"/>
        <v>2</v>
      </c>
    </row>
    <row r="259" spans="1:6" x14ac:dyDescent="0.35">
      <c r="A259" t="s">
        <v>123</v>
      </c>
      <c r="B259">
        <v>2011</v>
      </c>
      <c r="C259" t="str">
        <f t="shared" ref="C259:C322" si="8">A259&amp;B259</f>
        <v>Érdi járás2011</v>
      </c>
      <c r="D259">
        <v>0.36914762037488674</v>
      </c>
      <c r="E259">
        <v>42</v>
      </c>
      <c r="F259">
        <f t="shared" ref="F259:F322" si="9">IF(E259&lt;66,1,IF(E259&lt;132,2,3))</f>
        <v>1</v>
      </c>
    </row>
    <row r="260" spans="1:6" x14ac:dyDescent="0.35">
      <c r="A260" t="s">
        <v>125</v>
      </c>
      <c r="B260">
        <v>2011</v>
      </c>
      <c r="C260" t="str">
        <f t="shared" si="8"/>
        <v>Esztergomi járás2011</v>
      </c>
      <c r="D260">
        <v>0.34107503734293998</v>
      </c>
      <c r="E260">
        <v>18</v>
      </c>
      <c r="F260">
        <f t="shared" si="9"/>
        <v>1</v>
      </c>
    </row>
    <row r="261" spans="1:6" x14ac:dyDescent="0.35">
      <c r="A261" t="s">
        <v>127</v>
      </c>
      <c r="B261">
        <v>2011</v>
      </c>
      <c r="C261" t="str">
        <f t="shared" si="8"/>
        <v>Fehérgyarmati járás2011</v>
      </c>
      <c r="D261">
        <v>0.52650557832422584</v>
      </c>
      <c r="E261">
        <v>195</v>
      </c>
      <c r="F261">
        <f t="shared" si="9"/>
        <v>3</v>
      </c>
    </row>
    <row r="262" spans="1:6" x14ac:dyDescent="0.35">
      <c r="A262" t="s">
        <v>129</v>
      </c>
      <c r="B262">
        <v>2011</v>
      </c>
      <c r="C262" t="str">
        <f t="shared" si="8"/>
        <v>Fonyódi járás2011</v>
      </c>
      <c r="D262">
        <v>0.4335677877167558</v>
      </c>
      <c r="E262">
        <v>124</v>
      </c>
      <c r="F262">
        <f t="shared" si="9"/>
        <v>2</v>
      </c>
    </row>
    <row r="263" spans="1:6" x14ac:dyDescent="0.35">
      <c r="A263" t="s">
        <v>131</v>
      </c>
      <c r="B263">
        <v>2011</v>
      </c>
      <c r="C263" t="str">
        <f t="shared" si="8"/>
        <v>Füzesabonyi járás2011</v>
      </c>
      <c r="D263">
        <v>0.44126891489002645</v>
      </c>
      <c r="E263">
        <v>131</v>
      </c>
      <c r="F263">
        <f t="shared" si="9"/>
        <v>2</v>
      </c>
    </row>
    <row r="264" spans="1:6" x14ac:dyDescent="0.35">
      <c r="A264" t="s">
        <v>133</v>
      </c>
      <c r="B264">
        <v>2011</v>
      </c>
      <c r="C264" t="str">
        <f t="shared" si="8"/>
        <v>Gárdonyi járás2011</v>
      </c>
      <c r="D264">
        <v>0.34695196868392481</v>
      </c>
      <c r="E264">
        <v>24</v>
      </c>
      <c r="F264">
        <f t="shared" si="9"/>
        <v>1</v>
      </c>
    </row>
    <row r="265" spans="1:6" x14ac:dyDescent="0.35">
      <c r="A265" t="s">
        <v>135</v>
      </c>
      <c r="B265">
        <v>2011</v>
      </c>
      <c r="C265" t="str">
        <f t="shared" si="8"/>
        <v>Gödöllői járás2011</v>
      </c>
      <c r="D265">
        <v>0.38727788312965306</v>
      </c>
      <c r="E265">
        <v>64</v>
      </c>
      <c r="F265">
        <f t="shared" si="9"/>
        <v>1</v>
      </c>
    </row>
    <row r="266" spans="1:6" x14ac:dyDescent="0.35">
      <c r="A266" t="s">
        <v>137</v>
      </c>
      <c r="B266">
        <v>2011</v>
      </c>
      <c r="C266" t="str">
        <f t="shared" si="8"/>
        <v>Gönci járás2011</v>
      </c>
      <c r="D266">
        <v>0.51841483059654958</v>
      </c>
      <c r="E266">
        <v>190</v>
      </c>
      <c r="F266">
        <f t="shared" si="9"/>
        <v>3</v>
      </c>
    </row>
    <row r="267" spans="1:6" x14ac:dyDescent="0.35">
      <c r="A267" t="s">
        <v>139</v>
      </c>
      <c r="B267">
        <v>2011</v>
      </c>
      <c r="C267" t="str">
        <f t="shared" si="8"/>
        <v>Gyáli járás2011</v>
      </c>
      <c r="D267">
        <v>0.40800202620293502</v>
      </c>
      <c r="E267">
        <v>92</v>
      </c>
      <c r="F267">
        <f t="shared" si="9"/>
        <v>2</v>
      </c>
    </row>
    <row r="268" spans="1:6" x14ac:dyDescent="0.35">
      <c r="A268" t="s">
        <v>141</v>
      </c>
      <c r="B268">
        <v>2011</v>
      </c>
      <c r="C268" t="str">
        <f t="shared" si="8"/>
        <v>Gyomaendrődi járás2011</v>
      </c>
      <c r="D268">
        <v>0.39117312881692939</v>
      </c>
      <c r="E268">
        <v>69</v>
      </c>
      <c r="F268">
        <f t="shared" si="9"/>
        <v>2</v>
      </c>
    </row>
    <row r="269" spans="1:6" x14ac:dyDescent="0.35">
      <c r="A269" t="s">
        <v>143</v>
      </c>
      <c r="B269">
        <v>2011</v>
      </c>
      <c r="C269" t="str">
        <f t="shared" si="8"/>
        <v>Gyöngyösi járás2011</v>
      </c>
      <c r="D269">
        <v>0.35409025603887306</v>
      </c>
      <c r="E269">
        <v>29</v>
      </c>
      <c r="F269">
        <f t="shared" si="9"/>
        <v>1</v>
      </c>
    </row>
    <row r="270" spans="1:6" x14ac:dyDescent="0.35">
      <c r="A270" t="s">
        <v>145</v>
      </c>
      <c r="B270">
        <v>2011</v>
      </c>
      <c r="C270" t="str">
        <f t="shared" si="8"/>
        <v>Győri járás2011</v>
      </c>
      <c r="D270">
        <v>0.34552848528295521</v>
      </c>
      <c r="E270">
        <v>23</v>
      </c>
      <c r="F270">
        <f t="shared" si="9"/>
        <v>1</v>
      </c>
    </row>
    <row r="271" spans="1:6" x14ac:dyDescent="0.35">
      <c r="A271" t="s">
        <v>147</v>
      </c>
      <c r="B271">
        <v>2011</v>
      </c>
      <c r="C271" t="str">
        <f t="shared" si="8"/>
        <v>Gyulai járás2011</v>
      </c>
      <c r="D271">
        <v>0.40129905523255816</v>
      </c>
      <c r="E271">
        <v>83</v>
      </c>
      <c r="F271">
        <f t="shared" si="9"/>
        <v>2</v>
      </c>
    </row>
    <row r="272" spans="1:6" x14ac:dyDescent="0.35">
      <c r="A272" t="s">
        <v>149</v>
      </c>
      <c r="B272">
        <v>2011</v>
      </c>
      <c r="C272" t="str">
        <f t="shared" si="8"/>
        <v>Hajdúböszörményi járás2011</v>
      </c>
      <c r="D272">
        <v>0.40847282475239421</v>
      </c>
      <c r="E272">
        <v>93</v>
      </c>
      <c r="F272">
        <f t="shared" si="9"/>
        <v>2</v>
      </c>
    </row>
    <row r="273" spans="1:6" x14ac:dyDescent="0.35">
      <c r="A273" t="s">
        <v>151</v>
      </c>
      <c r="B273">
        <v>2011</v>
      </c>
      <c r="C273" t="str">
        <f t="shared" si="8"/>
        <v>Hajdúhadházi járás2011</v>
      </c>
      <c r="D273">
        <v>0.51223602134375468</v>
      </c>
      <c r="E273">
        <v>188</v>
      </c>
      <c r="F273">
        <f t="shared" si="9"/>
        <v>3</v>
      </c>
    </row>
    <row r="274" spans="1:6" x14ac:dyDescent="0.35">
      <c r="A274" t="s">
        <v>153</v>
      </c>
      <c r="B274">
        <v>2011</v>
      </c>
      <c r="C274" t="str">
        <f t="shared" si="8"/>
        <v>Hajdúnánási járás2011</v>
      </c>
      <c r="D274">
        <v>0.39168000786428492</v>
      </c>
      <c r="E274">
        <v>70</v>
      </c>
      <c r="F274">
        <f t="shared" si="9"/>
        <v>2</v>
      </c>
    </row>
    <row r="275" spans="1:6" x14ac:dyDescent="0.35">
      <c r="A275" t="s">
        <v>155</v>
      </c>
      <c r="B275">
        <v>2011</v>
      </c>
      <c r="C275" t="str">
        <f t="shared" si="8"/>
        <v>Hajdúszoboszlói járás2011</v>
      </c>
      <c r="D275">
        <v>0.40189827942979767</v>
      </c>
      <c r="E275">
        <v>85</v>
      </c>
      <c r="F275">
        <f t="shared" si="9"/>
        <v>2</v>
      </c>
    </row>
    <row r="276" spans="1:6" x14ac:dyDescent="0.35">
      <c r="A276" t="s">
        <v>157</v>
      </c>
      <c r="B276">
        <v>2011</v>
      </c>
      <c r="C276" t="str">
        <f t="shared" si="8"/>
        <v>Hatvani járás2011</v>
      </c>
      <c r="D276">
        <v>0.34240357887421818</v>
      </c>
      <c r="E276">
        <v>19</v>
      </c>
      <c r="F276">
        <f t="shared" si="9"/>
        <v>1</v>
      </c>
    </row>
    <row r="277" spans="1:6" x14ac:dyDescent="0.35">
      <c r="A277" t="s">
        <v>159</v>
      </c>
      <c r="B277">
        <v>2011</v>
      </c>
      <c r="C277" t="str">
        <f t="shared" si="8"/>
        <v>Hegyháti járás2011</v>
      </c>
      <c r="D277">
        <v>0.49455031980159248</v>
      </c>
      <c r="E277">
        <v>174</v>
      </c>
      <c r="F277">
        <f t="shared" si="9"/>
        <v>3</v>
      </c>
    </row>
    <row r="278" spans="1:6" x14ac:dyDescent="0.35">
      <c r="A278" t="s">
        <v>161</v>
      </c>
      <c r="B278">
        <v>2011</v>
      </c>
      <c r="C278" t="str">
        <f t="shared" si="8"/>
        <v>Hevesi járás2011</v>
      </c>
      <c r="D278">
        <v>0.4919792081177875</v>
      </c>
      <c r="E278">
        <v>170</v>
      </c>
      <c r="F278">
        <f t="shared" si="9"/>
        <v>3</v>
      </c>
    </row>
    <row r="279" spans="1:6" x14ac:dyDescent="0.35">
      <c r="A279" t="s">
        <v>163</v>
      </c>
      <c r="B279">
        <v>2011</v>
      </c>
      <c r="C279" t="str">
        <f t="shared" si="8"/>
        <v>Hódmezővásárhelyi járás2011</v>
      </c>
      <c r="D279">
        <v>0.41560228301170699</v>
      </c>
      <c r="E279">
        <v>101</v>
      </c>
      <c r="F279">
        <f t="shared" si="9"/>
        <v>2</v>
      </c>
    </row>
    <row r="280" spans="1:6" x14ac:dyDescent="0.35">
      <c r="A280" t="s">
        <v>165</v>
      </c>
      <c r="B280">
        <v>2011</v>
      </c>
      <c r="C280" t="str">
        <f t="shared" si="8"/>
        <v>Ibrányi járás2011</v>
      </c>
      <c r="D280">
        <v>0.49475221238938055</v>
      </c>
      <c r="E280">
        <v>175</v>
      </c>
      <c r="F280">
        <f t="shared" si="9"/>
        <v>3</v>
      </c>
    </row>
    <row r="281" spans="1:6" x14ac:dyDescent="0.35">
      <c r="A281" t="s">
        <v>431</v>
      </c>
      <c r="B281">
        <v>2011</v>
      </c>
      <c r="C281" t="str">
        <f t="shared" si="8"/>
        <v>Jánoshalmai járás2011</v>
      </c>
      <c r="D281">
        <v>0.48167373951702536</v>
      </c>
      <c r="E281">
        <v>161</v>
      </c>
      <c r="F281">
        <f t="shared" si="9"/>
        <v>3</v>
      </c>
    </row>
    <row r="282" spans="1:6" x14ac:dyDescent="0.35">
      <c r="A282" t="s">
        <v>169</v>
      </c>
      <c r="B282">
        <v>2011</v>
      </c>
      <c r="C282" t="str">
        <f t="shared" si="8"/>
        <v>Jászapáti járás2011</v>
      </c>
      <c r="D282">
        <v>0.44205763199163617</v>
      </c>
      <c r="E282">
        <v>135</v>
      </c>
      <c r="F282">
        <f t="shared" si="9"/>
        <v>3</v>
      </c>
    </row>
    <row r="283" spans="1:6" x14ac:dyDescent="0.35">
      <c r="A283" t="s">
        <v>171</v>
      </c>
      <c r="B283">
        <v>2011</v>
      </c>
      <c r="C283" t="str">
        <f t="shared" si="8"/>
        <v>Jászberényi járás2011</v>
      </c>
      <c r="D283">
        <v>0.34879308656482572</v>
      </c>
      <c r="E283">
        <v>25</v>
      </c>
      <c r="F283">
        <f t="shared" si="9"/>
        <v>1</v>
      </c>
    </row>
    <row r="284" spans="1:6" x14ac:dyDescent="0.35">
      <c r="A284" t="s">
        <v>173</v>
      </c>
      <c r="B284">
        <v>2011</v>
      </c>
      <c r="C284" t="str">
        <f t="shared" si="8"/>
        <v>Kalocsai járás2011</v>
      </c>
      <c r="D284">
        <v>0.45555225560383905</v>
      </c>
      <c r="E284">
        <v>149</v>
      </c>
      <c r="F284">
        <f t="shared" si="9"/>
        <v>3</v>
      </c>
    </row>
    <row r="285" spans="1:6" x14ac:dyDescent="0.35">
      <c r="A285" t="s">
        <v>175</v>
      </c>
      <c r="B285">
        <v>2011</v>
      </c>
      <c r="C285" t="str">
        <f t="shared" si="8"/>
        <v>Kaposvári járás2011</v>
      </c>
      <c r="D285">
        <v>0.42810042134831461</v>
      </c>
      <c r="E285">
        <v>119</v>
      </c>
      <c r="F285">
        <f t="shared" si="9"/>
        <v>2</v>
      </c>
    </row>
    <row r="286" spans="1:6" x14ac:dyDescent="0.35">
      <c r="A286" t="s">
        <v>177</v>
      </c>
      <c r="B286">
        <v>2011</v>
      </c>
      <c r="C286" t="str">
        <f t="shared" si="8"/>
        <v>Kapuvári járás2011</v>
      </c>
      <c r="D286">
        <v>0.3557934818211595</v>
      </c>
      <c r="E286">
        <v>31</v>
      </c>
      <c r="F286">
        <f t="shared" si="9"/>
        <v>1</v>
      </c>
    </row>
    <row r="287" spans="1:6" x14ac:dyDescent="0.35">
      <c r="A287" t="s">
        <v>179</v>
      </c>
      <c r="B287">
        <v>2011</v>
      </c>
      <c r="C287" t="str">
        <f t="shared" si="8"/>
        <v>Karcagi járás2011</v>
      </c>
      <c r="D287">
        <v>0.44803605071041686</v>
      </c>
      <c r="E287">
        <v>140</v>
      </c>
      <c r="F287">
        <f t="shared" si="9"/>
        <v>3</v>
      </c>
    </row>
    <row r="288" spans="1:6" x14ac:dyDescent="0.35">
      <c r="A288" t="s">
        <v>181</v>
      </c>
      <c r="B288">
        <v>2011</v>
      </c>
      <c r="C288" t="str">
        <f t="shared" si="8"/>
        <v>Kazincbarcikai járás2011</v>
      </c>
      <c r="D288">
        <v>0.44455358247741616</v>
      </c>
      <c r="E288">
        <v>138</v>
      </c>
      <c r="F288">
        <f t="shared" si="9"/>
        <v>3</v>
      </c>
    </row>
    <row r="289" spans="1:6" x14ac:dyDescent="0.35">
      <c r="A289" t="s">
        <v>183</v>
      </c>
      <c r="B289">
        <v>2011</v>
      </c>
      <c r="C289" t="str">
        <f t="shared" si="8"/>
        <v>Kecskeméti járás2011</v>
      </c>
      <c r="D289">
        <v>0.38715631298100517</v>
      </c>
      <c r="E289">
        <v>63</v>
      </c>
      <c r="F289">
        <f t="shared" si="9"/>
        <v>1</v>
      </c>
    </row>
    <row r="290" spans="1:6" x14ac:dyDescent="0.35">
      <c r="A290" t="s">
        <v>185</v>
      </c>
      <c r="B290">
        <v>2011</v>
      </c>
      <c r="C290" t="str">
        <f t="shared" si="8"/>
        <v>Kemecsei járás2011</v>
      </c>
      <c r="D290">
        <v>0.49373972960860474</v>
      </c>
      <c r="E290">
        <v>172</v>
      </c>
      <c r="F290">
        <f t="shared" si="9"/>
        <v>3</v>
      </c>
    </row>
    <row r="291" spans="1:6" x14ac:dyDescent="0.35">
      <c r="A291" t="s">
        <v>187</v>
      </c>
      <c r="B291">
        <v>2011</v>
      </c>
      <c r="C291" t="str">
        <f t="shared" si="8"/>
        <v>Keszthelyi járás2011</v>
      </c>
      <c r="D291">
        <v>0.38646509399065138</v>
      </c>
      <c r="E291">
        <v>62</v>
      </c>
      <c r="F291">
        <f t="shared" si="9"/>
        <v>1</v>
      </c>
    </row>
    <row r="292" spans="1:6" x14ac:dyDescent="0.35">
      <c r="A292" t="s">
        <v>189</v>
      </c>
      <c r="B292">
        <v>2011</v>
      </c>
      <c r="C292" t="str">
        <f t="shared" si="8"/>
        <v>Kisbéri járás2011</v>
      </c>
      <c r="D292">
        <v>0.31760935291346004</v>
      </c>
      <c r="E292">
        <v>7</v>
      </c>
      <c r="F292">
        <f t="shared" si="9"/>
        <v>1</v>
      </c>
    </row>
    <row r="293" spans="1:6" x14ac:dyDescent="0.35">
      <c r="A293" t="s">
        <v>191</v>
      </c>
      <c r="B293">
        <v>2011</v>
      </c>
      <c r="C293" t="str">
        <f t="shared" si="8"/>
        <v>Kiskőrösi járás2011</v>
      </c>
      <c r="D293">
        <v>0.4562322552771263</v>
      </c>
      <c r="E293">
        <v>151</v>
      </c>
      <c r="F293">
        <f t="shared" si="9"/>
        <v>3</v>
      </c>
    </row>
    <row r="294" spans="1:6" x14ac:dyDescent="0.35">
      <c r="A294" t="s">
        <v>193</v>
      </c>
      <c r="B294">
        <v>2011</v>
      </c>
      <c r="C294" t="str">
        <f t="shared" si="8"/>
        <v>Kiskunfélegyházi járás2011</v>
      </c>
      <c r="D294">
        <v>0.40226212270048223</v>
      </c>
      <c r="E294">
        <v>86</v>
      </c>
      <c r="F294">
        <f t="shared" si="9"/>
        <v>2</v>
      </c>
    </row>
    <row r="295" spans="1:6" x14ac:dyDescent="0.35">
      <c r="A295" t="s">
        <v>195</v>
      </c>
      <c r="B295">
        <v>2011</v>
      </c>
      <c r="C295" t="str">
        <f t="shared" si="8"/>
        <v>Kiskunhalasi járás2011</v>
      </c>
      <c r="D295">
        <v>0.44165581720064906</v>
      </c>
      <c r="E295">
        <v>132</v>
      </c>
      <c r="F295">
        <f t="shared" si="9"/>
        <v>3</v>
      </c>
    </row>
    <row r="296" spans="1:6" x14ac:dyDescent="0.35">
      <c r="A296" t="s">
        <v>197</v>
      </c>
      <c r="B296">
        <v>2011</v>
      </c>
      <c r="C296" t="str">
        <f t="shared" si="8"/>
        <v>Kiskunmajsai járás2011</v>
      </c>
      <c r="D296">
        <v>0.45512806136180139</v>
      </c>
      <c r="E296">
        <v>147</v>
      </c>
      <c r="F296">
        <f t="shared" si="9"/>
        <v>3</v>
      </c>
    </row>
    <row r="297" spans="1:6" x14ac:dyDescent="0.35">
      <c r="A297" t="s">
        <v>199</v>
      </c>
      <c r="B297">
        <v>2011</v>
      </c>
      <c r="C297" t="str">
        <f t="shared" si="8"/>
        <v>Kisteleki járás2011</v>
      </c>
      <c r="D297">
        <v>0.51690910775502641</v>
      </c>
      <c r="E297">
        <v>189</v>
      </c>
      <c r="F297">
        <f t="shared" si="9"/>
        <v>3</v>
      </c>
    </row>
    <row r="298" spans="1:6" x14ac:dyDescent="0.35">
      <c r="A298" t="s">
        <v>201</v>
      </c>
      <c r="B298">
        <v>2011</v>
      </c>
      <c r="C298" t="str">
        <f t="shared" si="8"/>
        <v>Kisvárdai járás2011</v>
      </c>
      <c r="D298">
        <v>0.44362991999532819</v>
      </c>
      <c r="E298">
        <v>136</v>
      </c>
      <c r="F298">
        <f t="shared" si="9"/>
        <v>3</v>
      </c>
    </row>
    <row r="299" spans="1:6" x14ac:dyDescent="0.35">
      <c r="A299" t="s">
        <v>203</v>
      </c>
      <c r="B299">
        <v>2011</v>
      </c>
      <c r="C299" t="str">
        <f t="shared" si="8"/>
        <v>Komáromi járás2011</v>
      </c>
      <c r="D299">
        <v>0.29830539506876069</v>
      </c>
      <c r="E299">
        <v>2</v>
      </c>
      <c r="F299">
        <f t="shared" si="9"/>
        <v>1</v>
      </c>
    </row>
    <row r="300" spans="1:6" x14ac:dyDescent="0.35">
      <c r="A300" t="s">
        <v>205</v>
      </c>
      <c r="B300">
        <v>2011</v>
      </c>
      <c r="C300" t="str">
        <f t="shared" si="8"/>
        <v>Komlói járás2011</v>
      </c>
      <c r="D300">
        <v>0.44430356977068053</v>
      </c>
      <c r="E300">
        <v>137</v>
      </c>
      <c r="F300">
        <f t="shared" si="9"/>
        <v>3</v>
      </c>
    </row>
    <row r="301" spans="1:6" x14ac:dyDescent="0.35">
      <c r="A301" t="s">
        <v>207</v>
      </c>
      <c r="B301">
        <v>2011</v>
      </c>
      <c r="C301" t="str">
        <f t="shared" si="8"/>
        <v>Körmendi járás2011</v>
      </c>
      <c r="D301">
        <v>0.34987872745669901</v>
      </c>
      <c r="E301">
        <v>26</v>
      </c>
      <c r="F301">
        <f t="shared" si="9"/>
        <v>1</v>
      </c>
    </row>
    <row r="302" spans="1:6" x14ac:dyDescent="0.35">
      <c r="A302" t="s">
        <v>209</v>
      </c>
      <c r="B302">
        <v>2011</v>
      </c>
      <c r="C302" t="str">
        <f t="shared" si="8"/>
        <v>Kőszegi járás2011</v>
      </c>
      <c r="D302">
        <v>0.39481518839070734</v>
      </c>
      <c r="E302">
        <v>76</v>
      </c>
      <c r="F302">
        <f t="shared" si="9"/>
        <v>2</v>
      </c>
    </row>
    <row r="303" spans="1:6" x14ac:dyDescent="0.35">
      <c r="A303" t="s">
        <v>211</v>
      </c>
      <c r="B303">
        <v>2011</v>
      </c>
      <c r="C303" t="str">
        <f t="shared" si="8"/>
        <v>Kunhegyesi járás2011</v>
      </c>
      <c r="D303">
        <v>0.52360369477219881</v>
      </c>
      <c r="E303">
        <v>192</v>
      </c>
      <c r="F303">
        <f t="shared" si="9"/>
        <v>3</v>
      </c>
    </row>
    <row r="304" spans="1:6" x14ac:dyDescent="0.35">
      <c r="A304" t="s">
        <v>213</v>
      </c>
      <c r="B304">
        <v>2011</v>
      </c>
      <c r="C304" t="str">
        <f t="shared" si="8"/>
        <v>Kunszentmártoni járás2011</v>
      </c>
      <c r="D304">
        <v>0.45234271287692018</v>
      </c>
      <c r="E304">
        <v>143</v>
      </c>
      <c r="F304">
        <f t="shared" si="9"/>
        <v>3</v>
      </c>
    </row>
    <row r="305" spans="1:6" x14ac:dyDescent="0.35">
      <c r="A305" t="s">
        <v>215</v>
      </c>
      <c r="B305">
        <v>2011</v>
      </c>
      <c r="C305" t="str">
        <f t="shared" si="8"/>
        <v>Kunszentmiklósi járás2011</v>
      </c>
      <c r="D305">
        <v>0.41540379350801721</v>
      </c>
      <c r="E305">
        <v>100</v>
      </c>
      <c r="F305">
        <f t="shared" si="9"/>
        <v>2</v>
      </c>
    </row>
    <row r="306" spans="1:6" x14ac:dyDescent="0.35">
      <c r="A306" t="s">
        <v>217</v>
      </c>
      <c r="B306">
        <v>2011</v>
      </c>
      <c r="C306" t="str">
        <f t="shared" si="8"/>
        <v>Lenti járás2011</v>
      </c>
      <c r="D306">
        <v>0.35945535789562433</v>
      </c>
      <c r="E306">
        <v>37</v>
      </c>
      <c r="F306">
        <f t="shared" si="9"/>
        <v>1</v>
      </c>
    </row>
    <row r="307" spans="1:6" x14ac:dyDescent="0.35">
      <c r="A307" t="s">
        <v>219</v>
      </c>
      <c r="B307">
        <v>2011</v>
      </c>
      <c r="C307" t="str">
        <f t="shared" si="8"/>
        <v>Letenyei járás2011</v>
      </c>
      <c r="D307">
        <v>0.41246309681360072</v>
      </c>
      <c r="E307">
        <v>98</v>
      </c>
      <c r="F307">
        <f t="shared" si="9"/>
        <v>2</v>
      </c>
    </row>
    <row r="308" spans="1:6" x14ac:dyDescent="0.35">
      <c r="A308" t="s">
        <v>221</v>
      </c>
      <c r="B308">
        <v>2011</v>
      </c>
      <c r="C308" t="str">
        <f t="shared" si="8"/>
        <v>Makói járás2011</v>
      </c>
      <c r="D308">
        <v>0.43492544619323742</v>
      </c>
      <c r="E308">
        <v>126</v>
      </c>
      <c r="F308">
        <f t="shared" si="9"/>
        <v>2</v>
      </c>
    </row>
    <row r="309" spans="1:6" x14ac:dyDescent="0.35">
      <c r="A309" t="s">
        <v>223</v>
      </c>
      <c r="B309">
        <v>2011</v>
      </c>
      <c r="C309" t="str">
        <f t="shared" si="8"/>
        <v>Marcali járás2011</v>
      </c>
      <c r="D309">
        <v>0.44720983230964217</v>
      </c>
      <c r="E309">
        <v>139</v>
      </c>
      <c r="F309">
        <f t="shared" si="9"/>
        <v>3</v>
      </c>
    </row>
    <row r="310" spans="1:6" x14ac:dyDescent="0.35">
      <c r="A310" t="s">
        <v>225</v>
      </c>
      <c r="B310">
        <v>2011</v>
      </c>
      <c r="C310" t="str">
        <f t="shared" si="8"/>
        <v>Martonvásári járás2011</v>
      </c>
      <c r="D310">
        <v>0.43939954467842912</v>
      </c>
      <c r="E310">
        <v>128</v>
      </c>
      <c r="F310">
        <f t="shared" si="9"/>
        <v>2</v>
      </c>
    </row>
    <row r="311" spans="1:6" x14ac:dyDescent="0.35">
      <c r="A311" t="s">
        <v>227</v>
      </c>
      <c r="B311">
        <v>2011</v>
      </c>
      <c r="C311" t="str">
        <f t="shared" si="8"/>
        <v>Mátészalkai járás2011</v>
      </c>
      <c r="D311">
        <v>0.50268272020126814</v>
      </c>
      <c r="E311">
        <v>180</v>
      </c>
      <c r="F311">
        <f t="shared" si="9"/>
        <v>3</v>
      </c>
    </row>
    <row r="312" spans="1:6" x14ac:dyDescent="0.35">
      <c r="A312" t="s">
        <v>229</v>
      </c>
      <c r="B312">
        <v>2011</v>
      </c>
      <c r="C312" t="str">
        <f t="shared" si="8"/>
        <v>Mezőcsáti járás2011</v>
      </c>
      <c r="D312">
        <v>0.46417682926829268</v>
      </c>
      <c r="E312">
        <v>153</v>
      </c>
      <c r="F312">
        <f t="shared" si="9"/>
        <v>3</v>
      </c>
    </row>
    <row r="313" spans="1:6" x14ac:dyDescent="0.35">
      <c r="A313" t="s">
        <v>231</v>
      </c>
      <c r="B313">
        <v>2011</v>
      </c>
      <c r="C313" t="str">
        <f t="shared" si="8"/>
        <v>Mezőkovácsházai járás2011</v>
      </c>
      <c r="D313">
        <v>0.48937276738810676</v>
      </c>
      <c r="E313">
        <v>167</v>
      </c>
      <c r="F313">
        <f t="shared" si="9"/>
        <v>3</v>
      </c>
    </row>
    <row r="314" spans="1:6" x14ac:dyDescent="0.35">
      <c r="A314" t="s">
        <v>233</v>
      </c>
      <c r="B314">
        <v>2011</v>
      </c>
      <c r="C314" t="str">
        <f t="shared" si="8"/>
        <v>Mezőkövesdi járás2011</v>
      </c>
      <c r="D314">
        <v>0.40997540654487052</v>
      </c>
      <c r="E314">
        <v>96</v>
      </c>
      <c r="F314">
        <f t="shared" si="9"/>
        <v>2</v>
      </c>
    </row>
    <row r="315" spans="1:6" x14ac:dyDescent="0.35">
      <c r="A315" t="s">
        <v>235</v>
      </c>
      <c r="B315">
        <v>2011</v>
      </c>
      <c r="C315" t="str">
        <f t="shared" si="8"/>
        <v>Mezőtúri járás2011</v>
      </c>
      <c r="D315">
        <v>0.40652372810175186</v>
      </c>
      <c r="E315">
        <v>90</v>
      </c>
      <c r="F315">
        <f t="shared" si="9"/>
        <v>2</v>
      </c>
    </row>
    <row r="316" spans="1:6" x14ac:dyDescent="0.35">
      <c r="A316" t="s">
        <v>237</v>
      </c>
      <c r="B316">
        <v>2011</v>
      </c>
      <c r="C316" t="str">
        <f t="shared" si="8"/>
        <v>Miskolci járás2011</v>
      </c>
      <c r="D316">
        <v>0.42257417355100541</v>
      </c>
      <c r="E316">
        <v>108</v>
      </c>
      <c r="F316">
        <f t="shared" si="9"/>
        <v>2</v>
      </c>
    </row>
    <row r="317" spans="1:6" x14ac:dyDescent="0.35">
      <c r="A317" t="s">
        <v>239</v>
      </c>
      <c r="B317">
        <v>2011</v>
      </c>
      <c r="C317" t="str">
        <f t="shared" si="8"/>
        <v>Mohácsi járás2011</v>
      </c>
      <c r="D317">
        <v>0.41590871457633533</v>
      </c>
      <c r="E317">
        <v>102</v>
      </c>
      <c r="F317">
        <f t="shared" si="9"/>
        <v>2</v>
      </c>
    </row>
    <row r="318" spans="1:6" x14ac:dyDescent="0.35">
      <c r="A318" t="s">
        <v>241</v>
      </c>
      <c r="B318">
        <v>2011</v>
      </c>
      <c r="C318" t="str">
        <f t="shared" si="8"/>
        <v>Monori járás2011</v>
      </c>
      <c r="D318">
        <v>0.41912822878228784</v>
      </c>
      <c r="E318">
        <v>105</v>
      </c>
      <c r="F318">
        <f t="shared" si="9"/>
        <v>2</v>
      </c>
    </row>
    <row r="319" spans="1:6" x14ac:dyDescent="0.35">
      <c r="A319" t="s">
        <v>243</v>
      </c>
      <c r="B319">
        <v>2011</v>
      </c>
      <c r="C319" t="str">
        <f t="shared" si="8"/>
        <v>Mórahalmi járás2011</v>
      </c>
      <c r="D319">
        <v>0.48468516696568087</v>
      </c>
      <c r="E319">
        <v>164</v>
      </c>
      <c r="F319">
        <f t="shared" si="9"/>
        <v>3</v>
      </c>
    </row>
    <row r="320" spans="1:6" x14ac:dyDescent="0.35">
      <c r="A320" t="s">
        <v>245</v>
      </c>
      <c r="B320">
        <v>2011</v>
      </c>
      <c r="C320" t="str">
        <f t="shared" si="8"/>
        <v>Móri járás2011</v>
      </c>
      <c r="D320">
        <v>0.3206110600137963</v>
      </c>
      <c r="E320">
        <v>9</v>
      </c>
      <c r="F320">
        <f t="shared" si="9"/>
        <v>1</v>
      </c>
    </row>
    <row r="321" spans="1:6" x14ac:dyDescent="0.35">
      <c r="A321" t="s">
        <v>247</v>
      </c>
      <c r="B321">
        <v>2011</v>
      </c>
      <c r="C321" t="str">
        <f t="shared" si="8"/>
        <v>Mosonmagyaróvári járás2011</v>
      </c>
      <c r="D321">
        <v>0.40099582887466967</v>
      </c>
      <c r="E321">
        <v>82</v>
      </c>
      <c r="F321">
        <f t="shared" si="9"/>
        <v>2</v>
      </c>
    </row>
    <row r="322" spans="1:6" x14ac:dyDescent="0.35">
      <c r="A322" t="s">
        <v>249</v>
      </c>
      <c r="B322">
        <v>2011</v>
      </c>
      <c r="C322" t="str">
        <f t="shared" si="8"/>
        <v>Nagyatádi járás2011</v>
      </c>
      <c r="D322">
        <v>0.43959231549581534</v>
      </c>
      <c r="E322">
        <v>129</v>
      </c>
      <c r="F322">
        <f t="shared" si="9"/>
        <v>2</v>
      </c>
    </row>
    <row r="323" spans="1:6" x14ac:dyDescent="0.35">
      <c r="A323" t="s">
        <v>251</v>
      </c>
      <c r="B323">
        <v>2011</v>
      </c>
      <c r="C323" t="str">
        <f t="shared" ref="C323:C386" si="10">A323&amp;B323</f>
        <v>Nagykállói járás2011</v>
      </c>
      <c r="D323">
        <v>0.48359013660320532</v>
      </c>
      <c r="E323">
        <v>163</v>
      </c>
      <c r="F323">
        <f t="shared" ref="F323:F386" si="11">IF(E323&lt;66,1,IF(E323&lt;132,2,3))</f>
        <v>3</v>
      </c>
    </row>
    <row r="324" spans="1:6" x14ac:dyDescent="0.35">
      <c r="A324" t="s">
        <v>253</v>
      </c>
      <c r="B324">
        <v>2011</v>
      </c>
      <c r="C324" t="str">
        <f t="shared" si="10"/>
        <v>Nagykanizsai járás2011</v>
      </c>
      <c r="D324">
        <v>0.35767316444647645</v>
      </c>
      <c r="E324">
        <v>35</v>
      </c>
      <c r="F324">
        <f t="shared" si="11"/>
        <v>1</v>
      </c>
    </row>
    <row r="325" spans="1:6" x14ac:dyDescent="0.35">
      <c r="A325" t="s">
        <v>255</v>
      </c>
      <c r="B325">
        <v>2011</v>
      </c>
      <c r="C325" t="str">
        <f t="shared" si="10"/>
        <v>Nagykátai járás2011</v>
      </c>
      <c r="D325">
        <v>0.41887779103655598</v>
      </c>
      <c r="E325">
        <v>104</v>
      </c>
      <c r="F325">
        <f t="shared" si="11"/>
        <v>2</v>
      </c>
    </row>
    <row r="326" spans="1:6" x14ac:dyDescent="0.35">
      <c r="A326" t="s">
        <v>257</v>
      </c>
      <c r="B326">
        <v>2011</v>
      </c>
      <c r="C326" t="str">
        <f t="shared" si="10"/>
        <v>Nagykőrösi járás2011</v>
      </c>
      <c r="D326">
        <v>0.4222560975609756</v>
      </c>
      <c r="E326">
        <v>106</v>
      </c>
      <c r="F326">
        <f t="shared" si="11"/>
        <v>2</v>
      </c>
    </row>
    <row r="327" spans="1:6" x14ac:dyDescent="0.35">
      <c r="A327" t="s">
        <v>259</v>
      </c>
      <c r="B327">
        <v>2011</v>
      </c>
      <c r="C327" t="str">
        <f t="shared" si="10"/>
        <v>Nyíradonyi járás2011</v>
      </c>
      <c r="D327">
        <v>0.52584798287130941</v>
      </c>
      <c r="E327">
        <v>193</v>
      </c>
      <c r="F327">
        <f t="shared" si="11"/>
        <v>3</v>
      </c>
    </row>
    <row r="328" spans="1:6" x14ac:dyDescent="0.35">
      <c r="A328" t="s">
        <v>261</v>
      </c>
      <c r="B328">
        <v>2011</v>
      </c>
      <c r="C328" t="str">
        <f t="shared" si="10"/>
        <v>Nyírbátori járás2011</v>
      </c>
      <c r="D328">
        <v>0.51102955250162696</v>
      </c>
      <c r="E328">
        <v>187</v>
      </c>
      <c r="F328">
        <f t="shared" si="11"/>
        <v>3</v>
      </c>
    </row>
    <row r="329" spans="1:6" x14ac:dyDescent="0.35">
      <c r="A329" t="s">
        <v>263</v>
      </c>
      <c r="B329">
        <v>2011</v>
      </c>
      <c r="C329" t="str">
        <f t="shared" si="10"/>
        <v>Nyíregyházi járás2011</v>
      </c>
      <c r="D329">
        <v>0.41483531432464915</v>
      </c>
      <c r="E329">
        <v>99</v>
      </c>
      <c r="F329">
        <f t="shared" si="11"/>
        <v>2</v>
      </c>
    </row>
    <row r="330" spans="1:6" x14ac:dyDescent="0.35">
      <c r="A330" t="s">
        <v>265</v>
      </c>
      <c r="B330">
        <v>2011</v>
      </c>
      <c r="C330" t="str">
        <f t="shared" si="10"/>
        <v>Orosházi járás2011</v>
      </c>
      <c r="D330">
        <v>0.399317694591029</v>
      </c>
      <c r="E330">
        <v>81</v>
      </c>
      <c r="F330">
        <f t="shared" si="11"/>
        <v>2</v>
      </c>
    </row>
    <row r="331" spans="1:6" x14ac:dyDescent="0.35">
      <c r="A331" t="s">
        <v>267</v>
      </c>
      <c r="B331">
        <v>2011</v>
      </c>
      <c r="C331" t="str">
        <f t="shared" si="10"/>
        <v>Oroszlányi járás2011</v>
      </c>
      <c r="D331">
        <v>0.34107408786299331</v>
      </c>
      <c r="E331">
        <v>17</v>
      </c>
      <c r="F331">
        <f t="shared" si="11"/>
        <v>1</v>
      </c>
    </row>
    <row r="332" spans="1:6" x14ac:dyDescent="0.35">
      <c r="A332" t="s">
        <v>269</v>
      </c>
      <c r="B332">
        <v>2011</v>
      </c>
      <c r="C332" t="str">
        <f t="shared" si="10"/>
        <v>Ózdi járás2011</v>
      </c>
      <c r="D332">
        <v>0.49732765612327656</v>
      </c>
      <c r="E332">
        <v>177</v>
      </c>
      <c r="F332">
        <f t="shared" si="11"/>
        <v>3</v>
      </c>
    </row>
    <row r="333" spans="1:6" x14ac:dyDescent="0.35">
      <c r="A333" t="s">
        <v>271</v>
      </c>
      <c r="B333">
        <v>2011</v>
      </c>
      <c r="C333" t="str">
        <f t="shared" si="10"/>
        <v>Paksi járás2011</v>
      </c>
      <c r="D333">
        <v>0.37369834104686789</v>
      </c>
      <c r="E333">
        <v>51</v>
      </c>
      <c r="F333">
        <f t="shared" si="11"/>
        <v>1</v>
      </c>
    </row>
    <row r="334" spans="1:6" x14ac:dyDescent="0.35">
      <c r="A334" t="s">
        <v>273</v>
      </c>
      <c r="B334">
        <v>2011</v>
      </c>
      <c r="C334" t="str">
        <f t="shared" si="10"/>
        <v>Pannonhalmi járás2011</v>
      </c>
      <c r="D334">
        <v>0.33460291071623244</v>
      </c>
      <c r="E334">
        <v>12</v>
      </c>
      <c r="F334">
        <f t="shared" si="11"/>
        <v>1</v>
      </c>
    </row>
    <row r="335" spans="1:6" x14ac:dyDescent="0.35">
      <c r="A335" t="s">
        <v>275</v>
      </c>
      <c r="B335">
        <v>2011</v>
      </c>
      <c r="C335" t="str">
        <f t="shared" si="10"/>
        <v>Pápai járás2011</v>
      </c>
      <c r="D335">
        <v>0.35670450415187183</v>
      </c>
      <c r="E335">
        <v>34</v>
      </c>
      <c r="F335">
        <f t="shared" si="11"/>
        <v>1</v>
      </c>
    </row>
    <row r="336" spans="1:6" x14ac:dyDescent="0.35">
      <c r="A336" t="s">
        <v>277</v>
      </c>
      <c r="B336">
        <v>2011</v>
      </c>
      <c r="C336" t="str">
        <f t="shared" si="10"/>
        <v>Pásztói járás2011</v>
      </c>
      <c r="D336">
        <v>0.42824651212137288</v>
      </c>
      <c r="E336">
        <v>120</v>
      </c>
      <c r="F336">
        <f t="shared" si="11"/>
        <v>2</v>
      </c>
    </row>
    <row r="337" spans="1:6" x14ac:dyDescent="0.35">
      <c r="A337" t="s">
        <v>279</v>
      </c>
      <c r="B337">
        <v>2011</v>
      </c>
      <c r="C337" t="str">
        <f t="shared" si="10"/>
        <v>Pécsi járás2011</v>
      </c>
      <c r="D337">
        <v>0.42606063923882148</v>
      </c>
      <c r="E337">
        <v>116</v>
      </c>
      <c r="F337">
        <f t="shared" si="11"/>
        <v>2</v>
      </c>
    </row>
    <row r="338" spans="1:6" x14ac:dyDescent="0.35">
      <c r="A338" t="s">
        <v>281</v>
      </c>
      <c r="B338">
        <v>2011</v>
      </c>
      <c r="C338" t="str">
        <f t="shared" si="10"/>
        <v>Pécsváradi járás2011</v>
      </c>
      <c r="D338">
        <v>0.43872104381802957</v>
      </c>
      <c r="E338">
        <v>127</v>
      </c>
      <c r="F338">
        <f t="shared" si="11"/>
        <v>2</v>
      </c>
    </row>
    <row r="339" spans="1:6" x14ac:dyDescent="0.35">
      <c r="A339" t="s">
        <v>283</v>
      </c>
      <c r="B339">
        <v>2011</v>
      </c>
      <c r="C339" t="str">
        <f t="shared" si="10"/>
        <v>Pétervásárai járás2011</v>
      </c>
      <c r="D339">
        <v>0.47042848206839033</v>
      </c>
      <c r="E339">
        <v>155</v>
      </c>
      <c r="F339">
        <f t="shared" si="11"/>
        <v>3</v>
      </c>
    </row>
    <row r="340" spans="1:6" x14ac:dyDescent="0.35">
      <c r="A340" t="s">
        <v>285</v>
      </c>
      <c r="B340">
        <v>2011</v>
      </c>
      <c r="C340" t="str">
        <f t="shared" si="10"/>
        <v>Pilisvörösvári járás2011</v>
      </c>
      <c r="D340">
        <v>0.39097909102291223</v>
      </c>
      <c r="E340">
        <v>68</v>
      </c>
      <c r="F340">
        <f t="shared" si="11"/>
        <v>2</v>
      </c>
    </row>
    <row r="341" spans="1:6" x14ac:dyDescent="0.35">
      <c r="A341" t="s">
        <v>287</v>
      </c>
      <c r="B341">
        <v>2011</v>
      </c>
      <c r="C341" t="str">
        <f t="shared" si="10"/>
        <v>Putnoki járás2011</v>
      </c>
      <c r="D341">
        <v>0.4988737753673898</v>
      </c>
      <c r="E341">
        <v>178</v>
      </c>
      <c r="F341">
        <f t="shared" si="11"/>
        <v>3</v>
      </c>
    </row>
    <row r="342" spans="1:6" x14ac:dyDescent="0.35">
      <c r="A342" t="s">
        <v>289</v>
      </c>
      <c r="B342">
        <v>2011</v>
      </c>
      <c r="C342" t="str">
        <f t="shared" si="10"/>
        <v>Püspökladányi járás2011</v>
      </c>
      <c r="D342">
        <v>0.4551266264417354</v>
      </c>
      <c r="E342">
        <v>146</v>
      </c>
      <c r="F342">
        <f t="shared" si="11"/>
        <v>3</v>
      </c>
    </row>
    <row r="343" spans="1:6" x14ac:dyDescent="0.35">
      <c r="A343" t="s">
        <v>291</v>
      </c>
      <c r="B343">
        <v>2011</v>
      </c>
      <c r="C343" t="str">
        <f t="shared" si="10"/>
        <v>Ráckevei járás2011</v>
      </c>
      <c r="D343">
        <v>0.40543275585347432</v>
      </c>
      <c r="E343">
        <v>88</v>
      </c>
      <c r="F343">
        <f t="shared" si="11"/>
        <v>2</v>
      </c>
    </row>
    <row r="344" spans="1:6" x14ac:dyDescent="0.35">
      <c r="A344" t="s">
        <v>293</v>
      </c>
      <c r="B344">
        <v>2011</v>
      </c>
      <c r="C344" t="str">
        <f t="shared" si="10"/>
        <v>Rétsági járás2011</v>
      </c>
      <c r="D344">
        <v>0.39168614357262105</v>
      </c>
      <c r="E344">
        <v>71</v>
      </c>
      <c r="F344">
        <f t="shared" si="11"/>
        <v>2</v>
      </c>
    </row>
    <row r="345" spans="1:6" x14ac:dyDescent="0.35">
      <c r="A345" t="s">
        <v>295</v>
      </c>
      <c r="B345">
        <v>2011</v>
      </c>
      <c r="C345" t="str">
        <f t="shared" si="10"/>
        <v>Salgótarjáni járás2011</v>
      </c>
      <c r="D345">
        <v>0.44196947866546821</v>
      </c>
      <c r="E345">
        <v>134</v>
      </c>
      <c r="F345">
        <f t="shared" si="11"/>
        <v>3</v>
      </c>
    </row>
    <row r="346" spans="1:6" x14ac:dyDescent="0.35">
      <c r="A346" t="s">
        <v>297</v>
      </c>
      <c r="B346">
        <v>2011</v>
      </c>
      <c r="C346" t="str">
        <f t="shared" si="10"/>
        <v>Sárbogárdi járás2011</v>
      </c>
      <c r="D346">
        <v>0.42666511951728942</v>
      </c>
      <c r="E346">
        <v>117</v>
      </c>
      <c r="F346">
        <f t="shared" si="11"/>
        <v>2</v>
      </c>
    </row>
    <row r="347" spans="1:6" x14ac:dyDescent="0.35">
      <c r="A347" t="s">
        <v>299</v>
      </c>
      <c r="B347">
        <v>2011</v>
      </c>
      <c r="C347" t="str">
        <f t="shared" si="10"/>
        <v>Sarkadi járás2011</v>
      </c>
      <c r="D347">
        <v>0.52242064966921875</v>
      </c>
      <c r="E347">
        <v>191</v>
      </c>
      <c r="F347">
        <f t="shared" si="11"/>
        <v>3</v>
      </c>
    </row>
    <row r="348" spans="1:6" x14ac:dyDescent="0.35">
      <c r="A348" t="s">
        <v>301</v>
      </c>
      <c r="B348">
        <v>2011</v>
      </c>
      <c r="C348" t="str">
        <f t="shared" si="10"/>
        <v>Sárospataki járás2011</v>
      </c>
      <c r="D348">
        <v>0.4092184436481644</v>
      </c>
      <c r="E348">
        <v>95</v>
      </c>
      <c r="F348">
        <f t="shared" si="11"/>
        <v>2</v>
      </c>
    </row>
    <row r="349" spans="1:6" x14ac:dyDescent="0.35">
      <c r="A349" t="s">
        <v>303</v>
      </c>
      <c r="B349">
        <v>2011</v>
      </c>
      <c r="C349" t="str">
        <f t="shared" si="10"/>
        <v>Sárvári járás2011</v>
      </c>
      <c r="D349">
        <v>0.2952029136316337</v>
      </c>
      <c r="E349">
        <v>1</v>
      </c>
      <c r="F349">
        <f t="shared" si="11"/>
        <v>1</v>
      </c>
    </row>
    <row r="350" spans="1:6" x14ac:dyDescent="0.35">
      <c r="A350" t="s">
        <v>305</v>
      </c>
      <c r="B350">
        <v>2011</v>
      </c>
      <c r="C350" t="str">
        <f t="shared" si="10"/>
        <v>Sátoraljaújhelyi járás2011</v>
      </c>
      <c r="D350">
        <v>0.42418761220825851</v>
      </c>
      <c r="E350">
        <v>111</v>
      </c>
      <c r="F350">
        <f t="shared" si="11"/>
        <v>2</v>
      </c>
    </row>
    <row r="351" spans="1:6" x14ac:dyDescent="0.35">
      <c r="A351" t="s">
        <v>307</v>
      </c>
      <c r="B351">
        <v>2011</v>
      </c>
      <c r="C351" t="str">
        <f t="shared" si="10"/>
        <v>Sellyei járás2011</v>
      </c>
      <c r="D351">
        <v>0.48809212057728119</v>
      </c>
      <c r="E351">
        <v>166</v>
      </c>
      <c r="F351">
        <f t="shared" si="11"/>
        <v>3</v>
      </c>
    </row>
    <row r="352" spans="1:6" x14ac:dyDescent="0.35">
      <c r="A352" t="s">
        <v>309</v>
      </c>
      <c r="B352">
        <v>2011</v>
      </c>
      <c r="C352" t="str">
        <f t="shared" si="10"/>
        <v>Siklósi járás2011</v>
      </c>
      <c r="D352">
        <v>0.47832497366130733</v>
      </c>
      <c r="E352">
        <v>160</v>
      </c>
      <c r="F352">
        <f t="shared" si="11"/>
        <v>3</v>
      </c>
    </row>
    <row r="353" spans="1:6" x14ac:dyDescent="0.35">
      <c r="A353" t="s">
        <v>311</v>
      </c>
      <c r="B353">
        <v>2011</v>
      </c>
      <c r="C353" t="str">
        <f t="shared" si="10"/>
        <v>Siófoki járás2011</v>
      </c>
      <c r="D353">
        <v>0.39373498279109032</v>
      </c>
      <c r="E353">
        <v>74</v>
      </c>
      <c r="F353">
        <f t="shared" si="11"/>
        <v>2</v>
      </c>
    </row>
    <row r="354" spans="1:6" x14ac:dyDescent="0.35">
      <c r="A354" t="s">
        <v>313</v>
      </c>
      <c r="B354">
        <v>2011</v>
      </c>
      <c r="C354" t="str">
        <f t="shared" si="10"/>
        <v>Soproni járás2011</v>
      </c>
      <c r="D354">
        <v>0.43417722821166982</v>
      </c>
      <c r="E354">
        <v>125</v>
      </c>
      <c r="F354">
        <f t="shared" si="11"/>
        <v>2</v>
      </c>
    </row>
    <row r="355" spans="1:6" x14ac:dyDescent="0.35">
      <c r="A355" t="s">
        <v>315</v>
      </c>
      <c r="B355">
        <v>2011</v>
      </c>
      <c r="C355" t="str">
        <f t="shared" si="10"/>
        <v>Sümegi járás2011</v>
      </c>
      <c r="D355">
        <v>0.38308636073932439</v>
      </c>
      <c r="E355">
        <v>57</v>
      </c>
      <c r="F355">
        <f t="shared" si="11"/>
        <v>1</v>
      </c>
    </row>
    <row r="356" spans="1:6" x14ac:dyDescent="0.35">
      <c r="A356" t="s">
        <v>317</v>
      </c>
      <c r="B356">
        <v>2011</v>
      </c>
      <c r="C356" t="str">
        <f t="shared" si="10"/>
        <v>Szarvasi járás2011</v>
      </c>
      <c r="D356">
        <v>0.36396798726565266</v>
      </c>
      <c r="E356">
        <v>39</v>
      </c>
      <c r="F356">
        <f t="shared" si="11"/>
        <v>1</v>
      </c>
    </row>
    <row r="357" spans="1:6" x14ac:dyDescent="0.35">
      <c r="A357" t="s">
        <v>319</v>
      </c>
      <c r="B357">
        <v>2011</v>
      </c>
      <c r="C357" t="str">
        <f t="shared" si="10"/>
        <v>Szécsényi járás2011</v>
      </c>
      <c r="D357">
        <v>0.49669570116137979</v>
      </c>
      <c r="E357">
        <v>176</v>
      </c>
      <c r="F357">
        <f t="shared" si="11"/>
        <v>3</v>
      </c>
    </row>
    <row r="358" spans="1:6" x14ac:dyDescent="0.35">
      <c r="A358" t="s">
        <v>321</v>
      </c>
      <c r="B358">
        <v>2011</v>
      </c>
      <c r="C358" t="str">
        <f t="shared" si="10"/>
        <v>Szegedi járás2011</v>
      </c>
      <c r="D358">
        <v>0.42366560860194902</v>
      </c>
      <c r="E358">
        <v>110</v>
      </c>
      <c r="F358">
        <f t="shared" si="11"/>
        <v>2</v>
      </c>
    </row>
    <row r="359" spans="1:6" x14ac:dyDescent="0.35">
      <c r="A359" t="s">
        <v>323</v>
      </c>
      <c r="B359">
        <v>2011</v>
      </c>
      <c r="C359" t="str">
        <f t="shared" si="10"/>
        <v>Szeghalmi járás2011</v>
      </c>
      <c r="D359">
        <v>0.38228957496653282</v>
      </c>
      <c r="E359">
        <v>55</v>
      </c>
      <c r="F359">
        <f t="shared" si="11"/>
        <v>1</v>
      </c>
    </row>
    <row r="360" spans="1:6" x14ac:dyDescent="0.35">
      <c r="A360" t="s">
        <v>325</v>
      </c>
      <c r="B360">
        <v>2011</v>
      </c>
      <c r="C360" t="str">
        <f t="shared" si="10"/>
        <v>Székesfehérvári járás2011</v>
      </c>
      <c r="D360">
        <v>0.34063701009104547</v>
      </c>
      <c r="E360">
        <v>16</v>
      </c>
      <c r="F360">
        <f t="shared" si="11"/>
        <v>1</v>
      </c>
    </row>
    <row r="361" spans="1:6" x14ac:dyDescent="0.35">
      <c r="A361" t="s">
        <v>327</v>
      </c>
      <c r="B361">
        <v>2011</v>
      </c>
      <c r="C361" t="str">
        <f t="shared" si="10"/>
        <v>Szekszárdi járás2011</v>
      </c>
      <c r="D361">
        <v>0.38584531736069422</v>
      </c>
      <c r="E361">
        <v>61</v>
      </c>
      <c r="F361">
        <f t="shared" si="11"/>
        <v>1</v>
      </c>
    </row>
    <row r="362" spans="1:6" x14ac:dyDescent="0.35">
      <c r="A362" t="s">
        <v>329</v>
      </c>
      <c r="B362">
        <v>2011</v>
      </c>
      <c r="C362" t="str">
        <f t="shared" si="10"/>
        <v>Szentendrei járás2011</v>
      </c>
      <c r="D362">
        <v>0.37270769361992495</v>
      </c>
      <c r="E362">
        <v>49</v>
      </c>
      <c r="F362">
        <f t="shared" si="11"/>
        <v>1</v>
      </c>
    </row>
    <row r="363" spans="1:6" x14ac:dyDescent="0.35">
      <c r="A363" t="s">
        <v>331</v>
      </c>
      <c r="B363">
        <v>2011</v>
      </c>
      <c r="C363" t="str">
        <f t="shared" si="10"/>
        <v>Szentesi járás2011</v>
      </c>
      <c r="D363">
        <v>0.37251155986578277</v>
      </c>
      <c r="E363">
        <v>47</v>
      </c>
      <c r="F363">
        <f t="shared" si="11"/>
        <v>1</v>
      </c>
    </row>
    <row r="364" spans="1:6" x14ac:dyDescent="0.35">
      <c r="A364" t="s">
        <v>333</v>
      </c>
      <c r="B364">
        <v>2011</v>
      </c>
      <c r="C364" t="str">
        <f t="shared" si="10"/>
        <v>Szentgotthárdi járás2011</v>
      </c>
      <c r="D364">
        <v>0.42255801403130061</v>
      </c>
      <c r="E364">
        <v>107</v>
      </c>
      <c r="F364">
        <f t="shared" si="11"/>
        <v>2</v>
      </c>
    </row>
    <row r="365" spans="1:6" x14ac:dyDescent="0.35">
      <c r="A365" t="s">
        <v>335</v>
      </c>
      <c r="B365">
        <v>2011</v>
      </c>
      <c r="C365" t="str">
        <f t="shared" si="10"/>
        <v>Szentlőrinci járás2011</v>
      </c>
      <c r="D365">
        <v>0.44887146338878881</v>
      </c>
      <c r="E365">
        <v>141</v>
      </c>
      <c r="F365">
        <f t="shared" si="11"/>
        <v>3</v>
      </c>
    </row>
    <row r="366" spans="1:6" x14ac:dyDescent="0.35">
      <c r="A366" t="s">
        <v>337</v>
      </c>
      <c r="B366">
        <v>2011</v>
      </c>
      <c r="C366" t="str">
        <f t="shared" si="10"/>
        <v>Szerencsi járás2011</v>
      </c>
      <c r="D366">
        <v>0.45624737284573352</v>
      </c>
      <c r="E366">
        <v>152</v>
      </c>
      <c r="F366">
        <f t="shared" si="11"/>
        <v>3</v>
      </c>
    </row>
    <row r="367" spans="1:6" x14ac:dyDescent="0.35">
      <c r="A367" t="s">
        <v>339</v>
      </c>
      <c r="B367">
        <v>2011</v>
      </c>
      <c r="C367" t="str">
        <f t="shared" si="10"/>
        <v>Szigetszentmiklósi járás2011</v>
      </c>
      <c r="D367">
        <v>0.38552183332847012</v>
      </c>
      <c r="E367">
        <v>60</v>
      </c>
      <c r="F367">
        <f t="shared" si="11"/>
        <v>1</v>
      </c>
    </row>
    <row r="368" spans="1:6" x14ac:dyDescent="0.35">
      <c r="A368" t="s">
        <v>341</v>
      </c>
      <c r="B368">
        <v>2011</v>
      </c>
      <c r="C368" t="str">
        <f t="shared" si="10"/>
        <v>Szigetvári járás2011</v>
      </c>
      <c r="D368">
        <v>0.46512073591414332</v>
      </c>
      <c r="E368">
        <v>154</v>
      </c>
      <c r="F368">
        <f t="shared" si="11"/>
        <v>3</v>
      </c>
    </row>
    <row r="369" spans="1:6" x14ac:dyDescent="0.35">
      <c r="A369" t="s">
        <v>343</v>
      </c>
      <c r="B369">
        <v>2011</v>
      </c>
      <c r="C369" t="str">
        <f t="shared" si="10"/>
        <v>Szikszói járás2011</v>
      </c>
      <c r="D369">
        <v>0.50933702203339593</v>
      </c>
      <c r="E369">
        <v>183</v>
      </c>
      <c r="F369">
        <f t="shared" si="11"/>
        <v>3</v>
      </c>
    </row>
    <row r="370" spans="1:6" x14ac:dyDescent="0.35">
      <c r="A370" t="s">
        <v>345</v>
      </c>
      <c r="B370">
        <v>2011</v>
      </c>
      <c r="C370" t="str">
        <f t="shared" si="10"/>
        <v>Szobi járás2011</v>
      </c>
      <c r="D370">
        <v>0.41178149341928555</v>
      </c>
      <c r="E370">
        <v>97</v>
      </c>
      <c r="F370">
        <f t="shared" si="11"/>
        <v>2</v>
      </c>
    </row>
    <row r="371" spans="1:6" x14ac:dyDescent="0.35">
      <c r="A371" t="s">
        <v>347</v>
      </c>
      <c r="B371">
        <v>2011</v>
      </c>
      <c r="C371" t="str">
        <f t="shared" si="10"/>
        <v>Szolnoki járás2011</v>
      </c>
      <c r="D371">
        <v>0.35469828906337009</v>
      </c>
      <c r="E371">
        <v>30</v>
      </c>
      <c r="F371">
        <f t="shared" si="11"/>
        <v>1</v>
      </c>
    </row>
    <row r="372" spans="1:6" x14ac:dyDescent="0.35">
      <c r="A372" t="s">
        <v>349</v>
      </c>
      <c r="B372">
        <v>2011</v>
      </c>
      <c r="C372" t="str">
        <f t="shared" si="10"/>
        <v>Szombathelyi járás2011</v>
      </c>
      <c r="D372">
        <v>0.32867702015120592</v>
      </c>
      <c r="E372">
        <v>11</v>
      </c>
      <c r="F372">
        <f t="shared" si="11"/>
        <v>1</v>
      </c>
    </row>
    <row r="373" spans="1:6" x14ac:dyDescent="0.35">
      <c r="A373" t="s">
        <v>351</v>
      </c>
      <c r="B373">
        <v>2011</v>
      </c>
      <c r="C373" t="str">
        <f t="shared" si="10"/>
        <v>Tabi járás2011</v>
      </c>
      <c r="D373">
        <v>0.42446717537166162</v>
      </c>
      <c r="E373">
        <v>112</v>
      </c>
      <c r="F373">
        <f t="shared" si="11"/>
        <v>2</v>
      </c>
    </row>
    <row r="374" spans="1:6" x14ac:dyDescent="0.35">
      <c r="A374" t="s">
        <v>353</v>
      </c>
      <c r="B374">
        <v>2011</v>
      </c>
      <c r="C374" t="str">
        <f t="shared" si="10"/>
        <v>Tamási járás2011</v>
      </c>
      <c r="D374">
        <v>0.47491797900262467</v>
      </c>
      <c r="E374">
        <v>158</v>
      </c>
      <c r="F374">
        <f t="shared" si="11"/>
        <v>3</v>
      </c>
    </row>
    <row r="375" spans="1:6" x14ac:dyDescent="0.35">
      <c r="A375" t="s">
        <v>355</v>
      </c>
      <c r="B375">
        <v>2011</v>
      </c>
      <c r="C375" t="str">
        <f t="shared" si="10"/>
        <v>Tapolcai járás2011</v>
      </c>
      <c r="D375">
        <v>0.36176154030136332</v>
      </c>
      <c r="E375">
        <v>38</v>
      </c>
      <c r="F375">
        <f t="shared" si="11"/>
        <v>1</v>
      </c>
    </row>
    <row r="376" spans="1:6" x14ac:dyDescent="0.35">
      <c r="A376" t="s">
        <v>357</v>
      </c>
      <c r="B376">
        <v>2011</v>
      </c>
      <c r="C376" t="str">
        <f t="shared" si="10"/>
        <v>Tatabányai járás2011</v>
      </c>
      <c r="D376">
        <v>0.34301573640348404</v>
      </c>
      <c r="E376">
        <v>20</v>
      </c>
      <c r="F376">
        <f t="shared" si="11"/>
        <v>1</v>
      </c>
    </row>
    <row r="377" spans="1:6" x14ac:dyDescent="0.35">
      <c r="A377" t="s">
        <v>359</v>
      </c>
      <c r="B377">
        <v>2011</v>
      </c>
      <c r="C377" t="str">
        <f t="shared" si="10"/>
        <v>Tatai járás2011</v>
      </c>
      <c r="D377">
        <v>0.34320471541337766</v>
      </c>
      <c r="E377">
        <v>21</v>
      </c>
      <c r="F377">
        <f t="shared" si="11"/>
        <v>1</v>
      </c>
    </row>
    <row r="378" spans="1:6" x14ac:dyDescent="0.35">
      <c r="A378" t="s">
        <v>361</v>
      </c>
      <c r="B378">
        <v>2011</v>
      </c>
      <c r="C378" t="str">
        <f t="shared" si="10"/>
        <v>Téti járás2011</v>
      </c>
      <c r="D378">
        <v>0.33983422044799289</v>
      </c>
      <c r="E378">
        <v>15</v>
      </c>
      <c r="F378">
        <f t="shared" si="11"/>
        <v>1</v>
      </c>
    </row>
    <row r="379" spans="1:6" x14ac:dyDescent="0.35">
      <c r="A379" t="s">
        <v>363</v>
      </c>
      <c r="B379">
        <v>2011</v>
      </c>
      <c r="C379" t="str">
        <f t="shared" si="10"/>
        <v>Tiszafüredi járás2011</v>
      </c>
      <c r="D379">
        <v>0.40156249999999999</v>
      </c>
      <c r="E379">
        <v>84</v>
      </c>
      <c r="F379">
        <f t="shared" si="11"/>
        <v>2</v>
      </c>
    </row>
    <row r="380" spans="1:6" x14ac:dyDescent="0.35">
      <c r="A380" t="s">
        <v>365</v>
      </c>
      <c r="B380">
        <v>2011</v>
      </c>
      <c r="C380" t="str">
        <f t="shared" si="10"/>
        <v>Tiszakécskei járás2011</v>
      </c>
      <c r="D380">
        <v>0.42454064688470144</v>
      </c>
      <c r="E380">
        <v>114</v>
      </c>
      <c r="F380">
        <f t="shared" si="11"/>
        <v>2</v>
      </c>
    </row>
    <row r="381" spans="1:6" x14ac:dyDescent="0.35">
      <c r="A381" t="s">
        <v>367</v>
      </c>
      <c r="B381">
        <v>2011</v>
      </c>
      <c r="C381" t="str">
        <f t="shared" si="10"/>
        <v>Tiszaújvárosi járás2011</v>
      </c>
      <c r="D381">
        <v>0.37079869208151678</v>
      </c>
      <c r="E381">
        <v>45</v>
      </c>
      <c r="F381">
        <f t="shared" si="11"/>
        <v>1</v>
      </c>
    </row>
    <row r="382" spans="1:6" x14ac:dyDescent="0.35">
      <c r="A382" t="s">
        <v>369</v>
      </c>
      <c r="B382">
        <v>2011</v>
      </c>
      <c r="C382" t="str">
        <f t="shared" si="10"/>
        <v>Tiszavasvári járás2011</v>
      </c>
      <c r="D382">
        <v>0.47740926736089717</v>
      </c>
      <c r="E382">
        <v>159</v>
      </c>
      <c r="F382">
        <f t="shared" si="11"/>
        <v>3</v>
      </c>
    </row>
    <row r="383" spans="1:6" x14ac:dyDescent="0.35">
      <c r="A383" t="s">
        <v>371</v>
      </c>
      <c r="B383">
        <v>2011</v>
      </c>
      <c r="C383" t="str">
        <f t="shared" si="10"/>
        <v>Tokaji járás2011</v>
      </c>
      <c r="D383">
        <v>0.45562041255378383</v>
      </c>
      <c r="E383">
        <v>150</v>
      </c>
      <c r="F383">
        <f t="shared" si="11"/>
        <v>3</v>
      </c>
    </row>
    <row r="384" spans="1:6" x14ac:dyDescent="0.35">
      <c r="A384" t="s">
        <v>373</v>
      </c>
      <c r="B384">
        <v>2011</v>
      </c>
      <c r="C384" t="str">
        <f t="shared" si="10"/>
        <v>Tolnai járás2011</v>
      </c>
      <c r="D384">
        <v>0.38542145946443362</v>
      </c>
      <c r="E384">
        <v>59</v>
      </c>
      <c r="F384">
        <f t="shared" si="11"/>
        <v>1</v>
      </c>
    </row>
    <row r="385" spans="1:6" x14ac:dyDescent="0.35">
      <c r="A385" t="s">
        <v>375</v>
      </c>
      <c r="B385">
        <v>2011</v>
      </c>
      <c r="C385" t="str">
        <f t="shared" si="10"/>
        <v>Törökszentmiklósi járás2011</v>
      </c>
      <c r="D385">
        <v>0.40864965095986039</v>
      </c>
      <c r="E385">
        <v>94</v>
      </c>
      <c r="F385">
        <f t="shared" si="11"/>
        <v>2</v>
      </c>
    </row>
    <row r="386" spans="1:6" x14ac:dyDescent="0.35">
      <c r="A386" t="s">
        <v>377</v>
      </c>
      <c r="B386">
        <v>2011</v>
      </c>
      <c r="C386" t="str">
        <f t="shared" si="10"/>
        <v>Váci járás2011</v>
      </c>
      <c r="D386">
        <v>0.37257543103448276</v>
      </c>
      <c r="E386">
        <v>48</v>
      </c>
      <c r="F386">
        <f t="shared" si="11"/>
        <v>1</v>
      </c>
    </row>
    <row r="387" spans="1:6" x14ac:dyDescent="0.35">
      <c r="A387" t="s">
        <v>379</v>
      </c>
      <c r="B387">
        <v>2011</v>
      </c>
      <c r="C387" t="str">
        <f t="shared" ref="C387:C450" si="12">A387&amp;B387</f>
        <v>Várpalotai járás2011</v>
      </c>
      <c r="D387">
        <v>0.35287750848695804</v>
      </c>
      <c r="E387">
        <v>28</v>
      </c>
      <c r="F387">
        <f t="shared" ref="F387:F450" si="13">IF(E387&lt;66,1,IF(E387&lt;132,2,3))</f>
        <v>1</v>
      </c>
    </row>
    <row r="388" spans="1:6" x14ac:dyDescent="0.35">
      <c r="A388" t="s">
        <v>381</v>
      </c>
      <c r="B388">
        <v>2011</v>
      </c>
      <c r="C388" t="str">
        <f t="shared" si="12"/>
        <v>Vásárosnaményi járás2011</v>
      </c>
      <c r="D388">
        <v>0.50044724881539504</v>
      </c>
      <c r="E388">
        <v>179</v>
      </c>
      <c r="F388">
        <f t="shared" si="13"/>
        <v>3</v>
      </c>
    </row>
    <row r="389" spans="1:6" x14ac:dyDescent="0.35">
      <c r="A389" t="s">
        <v>383</v>
      </c>
      <c r="B389">
        <v>2011</v>
      </c>
      <c r="C389" t="str">
        <f t="shared" si="12"/>
        <v>Vasvári járás2011</v>
      </c>
      <c r="D389">
        <v>0.36463161021984553</v>
      </c>
      <c r="E389">
        <v>40</v>
      </c>
      <c r="F389">
        <f t="shared" si="13"/>
        <v>1</v>
      </c>
    </row>
    <row r="390" spans="1:6" x14ac:dyDescent="0.35">
      <c r="A390" t="s">
        <v>385</v>
      </c>
      <c r="B390">
        <v>2011</v>
      </c>
      <c r="C390" t="str">
        <f t="shared" si="12"/>
        <v>Vecsési járás2011</v>
      </c>
      <c r="D390">
        <v>0.3790196563972949</v>
      </c>
      <c r="E390">
        <v>53</v>
      </c>
      <c r="F390">
        <f t="shared" si="13"/>
        <v>1</v>
      </c>
    </row>
    <row r="391" spans="1:6" x14ac:dyDescent="0.35">
      <c r="A391" t="s">
        <v>387</v>
      </c>
      <c r="B391">
        <v>2011</v>
      </c>
      <c r="C391" t="str">
        <f t="shared" si="12"/>
        <v>Veszprémi járás2011</v>
      </c>
      <c r="D391">
        <v>0.35617056035052597</v>
      </c>
      <c r="E391">
        <v>32</v>
      </c>
      <c r="F391">
        <f t="shared" si="13"/>
        <v>1</v>
      </c>
    </row>
    <row r="392" spans="1:6" x14ac:dyDescent="0.35">
      <c r="A392" t="s">
        <v>389</v>
      </c>
      <c r="B392">
        <v>2011</v>
      </c>
      <c r="C392" t="str">
        <f t="shared" si="12"/>
        <v>Záhonyi járás2011</v>
      </c>
      <c r="D392">
        <v>0.49014350453172206</v>
      </c>
      <c r="E392">
        <v>168</v>
      </c>
      <c r="F392">
        <f t="shared" si="13"/>
        <v>3</v>
      </c>
    </row>
    <row r="393" spans="1:6" x14ac:dyDescent="0.35">
      <c r="A393" t="s">
        <v>391</v>
      </c>
      <c r="B393">
        <v>2011</v>
      </c>
      <c r="C393" t="str">
        <f t="shared" si="12"/>
        <v>Zalaegerszegi járás2011</v>
      </c>
      <c r="D393">
        <v>0.33725003905639744</v>
      </c>
      <c r="E393">
        <v>13</v>
      </c>
      <c r="F393">
        <f t="shared" si="13"/>
        <v>1</v>
      </c>
    </row>
    <row r="394" spans="1:6" x14ac:dyDescent="0.35">
      <c r="A394" t="s">
        <v>393</v>
      </c>
      <c r="B394">
        <v>2011</v>
      </c>
      <c r="C394" t="str">
        <f t="shared" si="12"/>
        <v>Zalaszentgróti járás2011</v>
      </c>
      <c r="D394">
        <v>0.39464931885908899</v>
      </c>
      <c r="E394">
        <v>75</v>
      </c>
      <c r="F394">
        <f t="shared" si="13"/>
        <v>2</v>
      </c>
    </row>
    <row r="395" spans="1:6" x14ac:dyDescent="0.35">
      <c r="A395" t="s">
        <v>395</v>
      </c>
      <c r="B395">
        <v>2011</v>
      </c>
      <c r="C395" t="str">
        <f t="shared" si="12"/>
        <v>Zirci járás2011</v>
      </c>
      <c r="D395">
        <v>0.32866244037157921</v>
      </c>
      <c r="E395">
        <v>10</v>
      </c>
      <c r="F395">
        <f t="shared" si="13"/>
        <v>1</v>
      </c>
    </row>
    <row r="396" spans="1:6" x14ac:dyDescent="0.35">
      <c r="A396" s="13" t="s">
        <v>1</v>
      </c>
      <c r="B396">
        <v>2022</v>
      </c>
      <c r="C396" t="str">
        <f t="shared" si="12"/>
        <v>Ajkai járás2022</v>
      </c>
      <c r="D396" t="e">
        <f>#REF!</f>
        <v>#REF!</v>
      </c>
      <c r="E396">
        <v>14</v>
      </c>
      <c r="F396">
        <f t="shared" si="13"/>
        <v>1</v>
      </c>
    </row>
    <row r="397" spans="1:6" x14ac:dyDescent="0.35">
      <c r="A397" s="13" t="s">
        <v>3</v>
      </c>
      <c r="B397">
        <v>2022</v>
      </c>
      <c r="C397" t="str">
        <f t="shared" si="12"/>
        <v>Aszódi járás2022</v>
      </c>
      <c r="D397" t="e">
        <f>#REF!</f>
        <v>#REF!</v>
      </c>
      <c r="E397">
        <v>65</v>
      </c>
      <c r="F397">
        <f t="shared" si="13"/>
        <v>1</v>
      </c>
    </row>
    <row r="398" spans="1:6" x14ac:dyDescent="0.35">
      <c r="A398" s="13" t="s">
        <v>5</v>
      </c>
      <c r="B398">
        <v>2022</v>
      </c>
      <c r="C398" t="str">
        <f t="shared" si="12"/>
        <v>Bácsalmási járás2022</v>
      </c>
      <c r="D398" t="e">
        <f>#REF!</f>
        <v>#REF!</v>
      </c>
      <c r="E398">
        <v>166</v>
      </c>
      <c r="F398">
        <f t="shared" si="13"/>
        <v>3</v>
      </c>
    </row>
    <row r="399" spans="1:6" x14ac:dyDescent="0.35">
      <c r="A399" s="13" t="s">
        <v>7</v>
      </c>
      <c r="B399">
        <v>2022</v>
      </c>
      <c r="C399" t="str">
        <f t="shared" si="12"/>
        <v>Bajai járás2022</v>
      </c>
      <c r="D399" t="e">
        <f>#REF!</f>
        <v>#REF!</v>
      </c>
      <c r="E399">
        <v>136</v>
      </c>
      <c r="F399">
        <f t="shared" si="13"/>
        <v>3</v>
      </c>
    </row>
    <row r="400" spans="1:6" x14ac:dyDescent="0.35">
      <c r="A400" s="13" t="s">
        <v>9</v>
      </c>
      <c r="B400">
        <v>2022</v>
      </c>
      <c r="C400" t="str">
        <f t="shared" si="12"/>
        <v>Baktalórántházai járás2022</v>
      </c>
      <c r="D400" t="e">
        <f>#REF!</f>
        <v>#REF!</v>
      </c>
      <c r="E400">
        <v>157</v>
      </c>
      <c r="F400">
        <f t="shared" si="13"/>
        <v>3</v>
      </c>
    </row>
    <row r="401" spans="1:6" x14ac:dyDescent="0.35">
      <c r="A401" s="13" t="s">
        <v>11</v>
      </c>
      <c r="B401">
        <v>2022</v>
      </c>
      <c r="C401" t="str">
        <f t="shared" si="12"/>
        <v>Balassagyarmati járás2022</v>
      </c>
      <c r="D401" t="e">
        <f>#REF!</f>
        <v>#REF!</v>
      </c>
      <c r="E401">
        <v>51</v>
      </c>
      <c r="F401">
        <f t="shared" si="13"/>
        <v>1</v>
      </c>
    </row>
    <row r="402" spans="1:6" x14ac:dyDescent="0.35">
      <c r="A402" s="13" t="s">
        <v>13</v>
      </c>
      <c r="B402">
        <v>2022</v>
      </c>
      <c r="C402" t="str">
        <f t="shared" si="12"/>
        <v>Balatonalmádi járás2022</v>
      </c>
      <c r="D402" t="e">
        <f>#REF!</f>
        <v>#REF!</v>
      </c>
      <c r="E402">
        <v>5</v>
      </c>
      <c r="F402">
        <f t="shared" si="13"/>
        <v>1</v>
      </c>
    </row>
    <row r="403" spans="1:6" x14ac:dyDescent="0.35">
      <c r="A403" s="13" t="s">
        <v>15</v>
      </c>
      <c r="B403">
        <v>2022</v>
      </c>
      <c r="C403" t="str">
        <f t="shared" si="12"/>
        <v>Balatonfüredi járás2022</v>
      </c>
      <c r="D403" t="e">
        <f>#REF!</f>
        <v>#REF!</v>
      </c>
      <c r="E403">
        <v>13</v>
      </c>
      <c r="F403">
        <f t="shared" si="13"/>
        <v>1</v>
      </c>
    </row>
    <row r="404" spans="1:6" x14ac:dyDescent="0.35">
      <c r="A404" s="13" t="s">
        <v>17</v>
      </c>
      <c r="B404">
        <v>2022</v>
      </c>
      <c r="C404" t="str">
        <f t="shared" si="12"/>
        <v>Balmazújvárosi járás2022</v>
      </c>
      <c r="D404" t="e">
        <f>#REF!</f>
        <v>#REF!</v>
      </c>
      <c r="E404">
        <v>120</v>
      </c>
      <c r="F404">
        <f t="shared" si="13"/>
        <v>2</v>
      </c>
    </row>
    <row r="405" spans="1:6" x14ac:dyDescent="0.35">
      <c r="A405" s="13" t="s">
        <v>19</v>
      </c>
      <c r="B405">
        <v>2022</v>
      </c>
      <c r="C405" t="str">
        <f t="shared" si="12"/>
        <v>Barcsi járás2022</v>
      </c>
      <c r="D405" t="e">
        <f>#REF!</f>
        <v>#REF!</v>
      </c>
      <c r="E405">
        <v>186</v>
      </c>
      <c r="F405">
        <f t="shared" si="13"/>
        <v>3</v>
      </c>
    </row>
    <row r="406" spans="1:6" x14ac:dyDescent="0.35">
      <c r="A406" s="13" t="s">
        <v>21</v>
      </c>
      <c r="B406">
        <v>2022</v>
      </c>
      <c r="C406" t="str">
        <f t="shared" si="12"/>
        <v>Bátonyterenyei járás2022</v>
      </c>
      <c r="D406" t="e">
        <f>#REF!</f>
        <v>#REF!</v>
      </c>
      <c r="E406">
        <v>112</v>
      </c>
      <c r="F406">
        <f t="shared" si="13"/>
        <v>2</v>
      </c>
    </row>
    <row r="407" spans="1:6" x14ac:dyDescent="0.35">
      <c r="A407" s="13" t="s">
        <v>23</v>
      </c>
      <c r="B407">
        <v>2022</v>
      </c>
      <c r="C407" t="str">
        <f t="shared" si="12"/>
        <v>Békéscsabai járás2022</v>
      </c>
      <c r="D407" t="e">
        <f>#REF!</f>
        <v>#REF!</v>
      </c>
      <c r="E407">
        <v>26</v>
      </c>
      <c r="F407">
        <f t="shared" si="13"/>
        <v>1</v>
      </c>
    </row>
    <row r="408" spans="1:6" x14ac:dyDescent="0.35">
      <c r="A408" s="13" t="s">
        <v>25</v>
      </c>
      <c r="B408">
        <v>2022</v>
      </c>
      <c r="C408" t="str">
        <f t="shared" si="12"/>
        <v>Békési járás2022</v>
      </c>
      <c r="D408" t="e">
        <f>#REF!</f>
        <v>#REF!</v>
      </c>
      <c r="E408">
        <v>70</v>
      </c>
      <c r="F408">
        <f t="shared" si="13"/>
        <v>2</v>
      </c>
    </row>
    <row r="409" spans="1:6" x14ac:dyDescent="0.35">
      <c r="A409" s="13" t="s">
        <v>27</v>
      </c>
      <c r="B409">
        <v>2022</v>
      </c>
      <c r="C409" t="str">
        <f t="shared" si="12"/>
        <v>Bélapátfalvai járás2022</v>
      </c>
      <c r="D409" t="e">
        <f>#REF!</f>
        <v>#REF!</v>
      </c>
      <c r="E409">
        <v>58</v>
      </c>
      <c r="F409">
        <f t="shared" si="13"/>
        <v>1</v>
      </c>
    </row>
    <row r="410" spans="1:6" x14ac:dyDescent="0.35">
      <c r="A410" s="13" t="s">
        <v>29</v>
      </c>
      <c r="B410">
        <v>2022</v>
      </c>
      <c r="C410" t="str">
        <f t="shared" si="12"/>
        <v>Berettyóújfalui járás2022</v>
      </c>
      <c r="D410" t="e">
        <f>#REF!</f>
        <v>#REF!</v>
      </c>
      <c r="E410">
        <v>167</v>
      </c>
      <c r="F410">
        <f t="shared" si="13"/>
        <v>3</v>
      </c>
    </row>
    <row r="411" spans="1:6" x14ac:dyDescent="0.35">
      <c r="A411" s="13" t="s">
        <v>31</v>
      </c>
      <c r="B411">
        <v>2022</v>
      </c>
      <c r="C411" t="str">
        <f t="shared" si="12"/>
        <v>Bicskei járás2022</v>
      </c>
      <c r="D411" t="e">
        <f>#REF!</f>
        <v>#REF!</v>
      </c>
      <c r="E411">
        <v>23</v>
      </c>
      <c r="F411">
        <f t="shared" si="13"/>
        <v>1</v>
      </c>
    </row>
    <row r="412" spans="1:6" x14ac:dyDescent="0.35">
      <c r="A412" s="13" t="s">
        <v>33</v>
      </c>
      <c r="B412">
        <v>2022</v>
      </c>
      <c r="C412" t="str">
        <f t="shared" si="12"/>
        <v>Bólyi járás2022</v>
      </c>
      <c r="D412" t="e">
        <f>#REF!</f>
        <v>#REF!</v>
      </c>
      <c r="E412">
        <v>143</v>
      </c>
      <c r="F412">
        <f t="shared" si="13"/>
        <v>3</v>
      </c>
    </row>
    <row r="413" spans="1:6" x14ac:dyDescent="0.35">
      <c r="A413" s="13" t="s">
        <v>35</v>
      </c>
      <c r="B413">
        <v>2022</v>
      </c>
      <c r="C413" t="str">
        <f t="shared" si="12"/>
        <v>Bonyhádi járás2022</v>
      </c>
      <c r="D413" t="e">
        <f>#REF!</f>
        <v>#REF!</v>
      </c>
      <c r="E413">
        <v>146</v>
      </c>
      <c r="F413">
        <f t="shared" si="13"/>
        <v>3</v>
      </c>
    </row>
    <row r="414" spans="1:6" x14ac:dyDescent="0.35">
      <c r="A414" s="13" t="s">
        <v>37</v>
      </c>
      <c r="B414">
        <v>2022</v>
      </c>
      <c r="C414" t="str">
        <f t="shared" si="12"/>
        <v>Budakeszi járás2022</v>
      </c>
      <c r="D414" t="e">
        <f>#REF!</f>
        <v>#REF!</v>
      </c>
      <c r="E414">
        <v>42</v>
      </c>
      <c r="F414">
        <f t="shared" si="13"/>
        <v>1</v>
      </c>
    </row>
    <row r="415" spans="1:6" x14ac:dyDescent="0.35">
      <c r="A415" s="13" t="s">
        <v>41</v>
      </c>
      <c r="B415">
        <v>2022</v>
      </c>
      <c r="C415" t="str">
        <f t="shared" si="12"/>
        <v>Budapest 01. ker. járás2022</v>
      </c>
      <c r="D415" t="e">
        <f>#REF!</f>
        <v>#REF!</v>
      </c>
      <c r="E415">
        <v>29</v>
      </c>
      <c r="F415">
        <f t="shared" si="13"/>
        <v>1</v>
      </c>
    </row>
    <row r="416" spans="1:6" x14ac:dyDescent="0.35">
      <c r="A416" s="13" t="s">
        <v>43</v>
      </c>
      <c r="B416">
        <v>2022</v>
      </c>
      <c r="C416" t="str">
        <f t="shared" si="12"/>
        <v>Budapest 02. ker. járás2022</v>
      </c>
      <c r="D416" t="e">
        <f>#REF!</f>
        <v>#REF!</v>
      </c>
      <c r="E416">
        <v>95</v>
      </c>
      <c r="F416">
        <f t="shared" si="13"/>
        <v>2</v>
      </c>
    </row>
    <row r="417" spans="1:6" x14ac:dyDescent="0.35">
      <c r="A417" s="13" t="s">
        <v>45</v>
      </c>
      <c r="B417">
        <v>2022</v>
      </c>
      <c r="C417" t="str">
        <f t="shared" si="12"/>
        <v>Budapest 03. ker. járás2022</v>
      </c>
      <c r="D417" t="e">
        <f>#REF!</f>
        <v>#REF!</v>
      </c>
      <c r="E417">
        <v>57</v>
      </c>
      <c r="F417">
        <f t="shared" si="13"/>
        <v>1</v>
      </c>
    </row>
    <row r="418" spans="1:6" x14ac:dyDescent="0.35">
      <c r="A418" s="13" t="s">
        <v>47</v>
      </c>
      <c r="B418">
        <v>2022</v>
      </c>
      <c r="C418" t="str">
        <f t="shared" si="12"/>
        <v>Budapest 04. ker. járás2022</v>
      </c>
      <c r="D418" t="e">
        <f>#REF!</f>
        <v>#REF!</v>
      </c>
      <c r="E418">
        <v>66</v>
      </c>
      <c r="F418">
        <f t="shared" si="13"/>
        <v>2</v>
      </c>
    </row>
    <row r="419" spans="1:6" x14ac:dyDescent="0.35">
      <c r="A419" s="13" t="s">
        <v>49</v>
      </c>
      <c r="B419">
        <v>2022</v>
      </c>
      <c r="C419" t="str">
        <f t="shared" si="12"/>
        <v>Budapest 05. ker. járás2022</v>
      </c>
      <c r="D419" t="e">
        <f>#REF!</f>
        <v>#REF!</v>
      </c>
      <c r="E419">
        <v>118</v>
      </c>
      <c r="F419">
        <f t="shared" si="13"/>
        <v>2</v>
      </c>
    </row>
    <row r="420" spans="1:6" x14ac:dyDescent="0.35">
      <c r="A420" s="13" t="s">
        <v>51</v>
      </c>
      <c r="B420">
        <v>2022</v>
      </c>
      <c r="C420" t="str">
        <f t="shared" si="12"/>
        <v>Budapest 06. ker. járás2022</v>
      </c>
      <c r="D420" t="e">
        <f>#REF!</f>
        <v>#REF!</v>
      </c>
      <c r="E420">
        <v>195</v>
      </c>
      <c r="F420">
        <f t="shared" si="13"/>
        <v>3</v>
      </c>
    </row>
    <row r="421" spans="1:6" x14ac:dyDescent="0.35">
      <c r="A421" s="13" t="s">
        <v>53</v>
      </c>
      <c r="B421">
        <v>2022</v>
      </c>
      <c r="C421" t="str">
        <f t="shared" si="12"/>
        <v>Budapest 07. ker. járás2022</v>
      </c>
      <c r="D421" t="e">
        <f>#REF!</f>
        <v>#REF!</v>
      </c>
      <c r="E421">
        <v>194</v>
      </c>
      <c r="F421">
        <f t="shared" si="13"/>
        <v>3</v>
      </c>
    </row>
    <row r="422" spans="1:6" x14ac:dyDescent="0.35">
      <c r="A422" s="13" t="s">
        <v>55</v>
      </c>
      <c r="B422">
        <v>2022</v>
      </c>
      <c r="C422" t="str">
        <f t="shared" si="12"/>
        <v>Budapest 08. ker. járás2022</v>
      </c>
      <c r="D422" t="e">
        <f>#REF!</f>
        <v>#REF!</v>
      </c>
      <c r="E422">
        <v>196</v>
      </c>
      <c r="F422">
        <f t="shared" si="13"/>
        <v>3</v>
      </c>
    </row>
    <row r="423" spans="1:6" x14ac:dyDescent="0.35">
      <c r="A423" s="13" t="s">
        <v>57</v>
      </c>
      <c r="B423">
        <v>2022</v>
      </c>
      <c r="C423" t="str">
        <f t="shared" si="12"/>
        <v>Budapest 09. ker. járás2022</v>
      </c>
      <c r="D423" t="e">
        <f>#REF!</f>
        <v>#REF!</v>
      </c>
      <c r="E423">
        <v>192</v>
      </c>
      <c r="F423">
        <f t="shared" si="13"/>
        <v>3</v>
      </c>
    </row>
    <row r="424" spans="1:6" x14ac:dyDescent="0.35">
      <c r="A424" s="13" t="s">
        <v>59</v>
      </c>
      <c r="B424">
        <v>2022</v>
      </c>
      <c r="C424" t="str">
        <f t="shared" si="12"/>
        <v>Budapest 10. ker. járás2022</v>
      </c>
      <c r="D424" t="e">
        <f>#REF!</f>
        <v>#REF!</v>
      </c>
      <c r="E424">
        <v>163</v>
      </c>
      <c r="F424">
        <f t="shared" si="13"/>
        <v>3</v>
      </c>
    </row>
    <row r="425" spans="1:6" x14ac:dyDescent="0.35">
      <c r="A425" s="13" t="s">
        <v>61</v>
      </c>
      <c r="B425">
        <v>2022</v>
      </c>
      <c r="C425" t="str">
        <f t="shared" si="12"/>
        <v>Budapest 11. ker. járás2022</v>
      </c>
      <c r="D425" t="e">
        <f>#REF!</f>
        <v>#REF!</v>
      </c>
      <c r="E425">
        <v>144</v>
      </c>
      <c r="F425">
        <f t="shared" si="13"/>
        <v>3</v>
      </c>
    </row>
    <row r="426" spans="1:6" x14ac:dyDescent="0.35">
      <c r="A426" s="13" t="s">
        <v>63</v>
      </c>
      <c r="B426">
        <v>2022</v>
      </c>
      <c r="C426" t="str">
        <f t="shared" si="12"/>
        <v>Budapest 12. ker. járás2022</v>
      </c>
      <c r="D426" t="e">
        <f>#REF!</f>
        <v>#REF!</v>
      </c>
      <c r="E426">
        <v>98</v>
      </c>
      <c r="F426">
        <f t="shared" si="13"/>
        <v>2</v>
      </c>
    </row>
    <row r="427" spans="1:6" x14ac:dyDescent="0.35">
      <c r="A427" s="13" t="s">
        <v>65</v>
      </c>
      <c r="B427">
        <v>2022</v>
      </c>
      <c r="C427" t="str">
        <f t="shared" si="12"/>
        <v>Budapest 13. ker. járás2022</v>
      </c>
      <c r="D427" t="e">
        <f>#REF!</f>
        <v>#REF!</v>
      </c>
      <c r="E427">
        <v>140</v>
      </c>
      <c r="F427">
        <f t="shared" si="13"/>
        <v>3</v>
      </c>
    </row>
    <row r="428" spans="1:6" x14ac:dyDescent="0.35">
      <c r="A428" s="13" t="s">
        <v>67</v>
      </c>
      <c r="B428">
        <v>2022</v>
      </c>
      <c r="C428" t="str">
        <f t="shared" si="12"/>
        <v>Budapest 14. ker. járás2022</v>
      </c>
      <c r="D428" t="e">
        <f>#REF!</f>
        <v>#REF!</v>
      </c>
      <c r="E428">
        <v>149</v>
      </c>
      <c r="F428">
        <f t="shared" si="13"/>
        <v>3</v>
      </c>
    </row>
    <row r="429" spans="1:6" x14ac:dyDescent="0.35">
      <c r="A429" s="13" t="s">
        <v>69</v>
      </c>
      <c r="B429">
        <v>2022</v>
      </c>
      <c r="C429" t="str">
        <f t="shared" si="12"/>
        <v>Budapest 15. ker. járás2022</v>
      </c>
      <c r="D429" t="e">
        <f>#REF!</f>
        <v>#REF!</v>
      </c>
      <c r="E429">
        <v>102</v>
      </c>
      <c r="F429">
        <f t="shared" si="13"/>
        <v>2</v>
      </c>
    </row>
    <row r="430" spans="1:6" x14ac:dyDescent="0.35">
      <c r="A430" s="13" t="s">
        <v>71</v>
      </c>
      <c r="B430">
        <v>2022</v>
      </c>
      <c r="C430" t="str">
        <f t="shared" si="12"/>
        <v>Budapest 16. ker. járás2022</v>
      </c>
      <c r="D430" t="e">
        <f>#REF!</f>
        <v>#REF!</v>
      </c>
      <c r="E430">
        <v>48</v>
      </c>
      <c r="F430">
        <f t="shared" si="13"/>
        <v>1</v>
      </c>
    </row>
    <row r="431" spans="1:6" x14ac:dyDescent="0.35">
      <c r="A431" s="13" t="s">
        <v>73</v>
      </c>
      <c r="B431">
        <v>2022</v>
      </c>
      <c r="C431" t="str">
        <f t="shared" si="12"/>
        <v>Budapest 17. ker. járás2022</v>
      </c>
      <c r="D431" t="e">
        <f>#REF!</f>
        <v>#REF!</v>
      </c>
      <c r="E431">
        <v>18</v>
      </c>
      <c r="F431">
        <f t="shared" si="13"/>
        <v>1</v>
      </c>
    </row>
    <row r="432" spans="1:6" x14ac:dyDescent="0.35">
      <c r="A432" s="13" t="s">
        <v>75</v>
      </c>
      <c r="B432">
        <v>2022</v>
      </c>
      <c r="C432" t="str">
        <f t="shared" si="12"/>
        <v>Budapest 18. ker. járás2022</v>
      </c>
      <c r="D432" t="e">
        <f>#REF!</f>
        <v>#REF!</v>
      </c>
      <c r="E432">
        <v>72</v>
      </c>
      <c r="F432">
        <f t="shared" si="13"/>
        <v>2</v>
      </c>
    </row>
    <row r="433" spans="1:6" x14ac:dyDescent="0.35">
      <c r="A433" s="13" t="s">
        <v>77</v>
      </c>
      <c r="B433">
        <v>2022</v>
      </c>
      <c r="C433" t="str">
        <f t="shared" si="12"/>
        <v>Budapest 19. ker. járás2022</v>
      </c>
      <c r="D433" t="e">
        <f>#REF!</f>
        <v>#REF!</v>
      </c>
      <c r="E433">
        <v>81</v>
      </c>
      <c r="F433">
        <f t="shared" si="13"/>
        <v>2</v>
      </c>
    </row>
    <row r="434" spans="1:6" x14ac:dyDescent="0.35">
      <c r="A434" s="13" t="s">
        <v>79</v>
      </c>
      <c r="B434">
        <v>2022</v>
      </c>
      <c r="C434" t="str">
        <f t="shared" si="12"/>
        <v>Budapest 20. ker. járás2022</v>
      </c>
      <c r="D434" t="e">
        <f>#REF!</f>
        <v>#REF!</v>
      </c>
      <c r="E434">
        <v>125</v>
      </c>
      <c r="F434">
        <f t="shared" si="13"/>
        <v>2</v>
      </c>
    </row>
    <row r="435" spans="1:6" x14ac:dyDescent="0.35">
      <c r="A435" s="13" t="s">
        <v>81</v>
      </c>
      <c r="B435">
        <v>2022</v>
      </c>
      <c r="C435" t="str">
        <f t="shared" si="12"/>
        <v>Budapest 21. ker. járás2022</v>
      </c>
      <c r="D435" t="e">
        <f>#REF!</f>
        <v>#REF!</v>
      </c>
      <c r="E435">
        <v>91</v>
      </c>
      <c r="F435">
        <f t="shared" si="13"/>
        <v>2</v>
      </c>
    </row>
    <row r="436" spans="1:6" x14ac:dyDescent="0.35">
      <c r="A436" s="13" t="s">
        <v>83</v>
      </c>
      <c r="B436">
        <v>2022</v>
      </c>
      <c r="C436" t="str">
        <f t="shared" si="12"/>
        <v>Budapest 22. ker. járás2022</v>
      </c>
      <c r="D436" t="e">
        <f>#REF!</f>
        <v>#REF!</v>
      </c>
      <c r="E436">
        <v>54</v>
      </c>
      <c r="F436">
        <f t="shared" si="13"/>
        <v>1</v>
      </c>
    </row>
    <row r="437" spans="1:6" x14ac:dyDescent="0.35">
      <c r="A437" s="13" t="s">
        <v>85</v>
      </c>
      <c r="B437">
        <v>2022</v>
      </c>
      <c r="C437" t="str">
        <f t="shared" si="12"/>
        <v>Budapest 23. ker. járás2022</v>
      </c>
      <c r="D437" t="e">
        <f>#REF!</f>
        <v>#REF!</v>
      </c>
      <c r="E437">
        <v>84</v>
      </c>
      <c r="F437">
        <f t="shared" si="13"/>
        <v>2</v>
      </c>
    </row>
    <row r="438" spans="1:6" x14ac:dyDescent="0.35">
      <c r="A438" s="13" t="s">
        <v>87</v>
      </c>
      <c r="B438">
        <v>2022</v>
      </c>
      <c r="C438" t="str">
        <f t="shared" si="12"/>
        <v>Ceglédi járás2022</v>
      </c>
      <c r="D438" t="e">
        <f>#REF!</f>
        <v>#REF!</v>
      </c>
      <c r="E438">
        <v>67</v>
      </c>
      <c r="F438">
        <f t="shared" si="13"/>
        <v>2</v>
      </c>
    </row>
    <row r="439" spans="1:6" x14ac:dyDescent="0.35">
      <c r="A439" s="13" t="s">
        <v>89</v>
      </c>
      <c r="B439">
        <v>2022</v>
      </c>
      <c r="C439" t="str">
        <f t="shared" si="12"/>
        <v>Celldömölki járás2022</v>
      </c>
      <c r="D439" t="e">
        <f>#REF!</f>
        <v>#REF!</v>
      </c>
      <c r="E439">
        <v>34</v>
      </c>
      <c r="F439">
        <f t="shared" si="13"/>
        <v>1</v>
      </c>
    </row>
    <row r="440" spans="1:6" x14ac:dyDescent="0.35">
      <c r="A440" s="13" t="s">
        <v>91</v>
      </c>
      <c r="B440">
        <v>2022</v>
      </c>
      <c r="C440" t="str">
        <f t="shared" si="12"/>
        <v>Cigándi járás2022</v>
      </c>
      <c r="D440" t="e">
        <f>#REF!</f>
        <v>#REF!</v>
      </c>
      <c r="E440">
        <v>184</v>
      </c>
      <c r="F440">
        <f t="shared" si="13"/>
        <v>3</v>
      </c>
    </row>
    <row r="441" spans="1:6" x14ac:dyDescent="0.35">
      <c r="A441" s="13" t="s">
        <v>93</v>
      </c>
      <c r="B441">
        <v>2022</v>
      </c>
      <c r="C441" t="str">
        <f t="shared" si="12"/>
        <v>Csengeri járás2022</v>
      </c>
      <c r="D441" t="e">
        <f>#REF!</f>
        <v>#REF!</v>
      </c>
      <c r="E441">
        <v>165</v>
      </c>
      <c r="F441">
        <f t="shared" si="13"/>
        <v>3</v>
      </c>
    </row>
    <row r="442" spans="1:6" x14ac:dyDescent="0.35">
      <c r="A442" s="13" t="s">
        <v>95</v>
      </c>
      <c r="B442">
        <v>2022</v>
      </c>
      <c r="C442" t="str">
        <f t="shared" si="12"/>
        <v>Csongrádi járás2022</v>
      </c>
      <c r="D442" t="e">
        <f>#REF!</f>
        <v>#REF!</v>
      </c>
      <c r="E442">
        <v>89</v>
      </c>
      <c r="F442">
        <f t="shared" si="13"/>
        <v>2</v>
      </c>
    </row>
    <row r="443" spans="1:6" x14ac:dyDescent="0.35">
      <c r="A443" s="13" t="s">
        <v>97</v>
      </c>
      <c r="B443">
        <v>2022</v>
      </c>
      <c r="C443" t="str">
        <f t="shared" si="12"/>
        <v>Csornai járás2022</v>
      </c>
      <c r="D443" t="e">
        <f>#REF!</f>
        <v>#REF!</v>
      </c>
      <c r="E443">
        <v>59</v>
      </c>
      <c r="F443">
        <f t="shared" si="13"/>
        <v>1</v>
      </c>
    </row>
    <row r="444" spans="1:6" x14ac:dyDescent="0.35">
      <c r="A444" s="13" t="s">
        <v>99</v>
      </c>
      <c r="B444">
        <v>2022</v>
      </c>
      <c r="C444" t="str">
        <f t="shared" si="12"/>
        <v>Csurgói járás2022</v>
      </c>
      <c r="D444" t="e">
        <f>#REF!</f>
        <v>#REF!</v>
      </c>
      <c r="E444">
        <v>177</v>
      </c>
      <c r="F444">
        <f t="shared" si="13"/>
        <v>3</v>
      </c>
    </row>
    <row r="445" spans="1:6" x14ac:dyDescent="0.35">
      <c r="A445" s="13" t="s">
        <v>101</v>
      </c>
      <c r="B445">
        <v>2022</v>
      </c>
      <c r="C445" t="str">
        <f t="shared" si="12"/>
        <v>Dabasi járás2022</v>
      </c>
      <c r="D445" t="e">
        <f>#REF!</f>
        <v>#REF!</v>
      </c>
      <c r="E445">
        <v>27</v>
      </c>
      <c r="F445">
        <f t="shared" si="13"/>
        <v>1</v>
      </c>
    </row>
    <row r="446" spans="1:6" x14ac:dyDescent="0.35">
      <c r="A446" s="13" t="s">
        <v>103</v>
      </c>
      <c r="B446">
        <v>2022</v>
      </c>
      <c r="C446" t="str">
        <f t="shared" si="12"/>
        <v>Debreceni járás2022</v>
      </c>
      <c r="D446" t="e">
        <f>#REF!</f>
        <v>#REF!</v>
      </c>
      <c r="E446">
        <v>130</v>
      </c>
      <c r="F446">
        <f t="shared" si="13"/>
        <v>2</v>
      </c>
    </row>
    <row r="447" spans="1:6" x14ac:dyDescent="0.35">
      <c r="A447" s="13" t="s">
        <v>105</v>
      </c>
      <c r="B447">
        <v>2022</v>
      </c>
      <c r="C447" t="str">
        <f t="shared" si="12"/>
        <v>Derecskei járás2022</v>
      </c>
      <c r="D447" t="e">
        <f>#REF!</f>
        <v>#REF!</v>
      </c>
      <c r="E447">
        <v>155</v>
      </c>
      <c r="F447">
        <f t="shared" si="13"/>
        <v>3</v>
      </c>
    </row>
    <row r="448" spans="1:6" x14ac:dyDescent="0.35">
      <c r="A448" s="13" t="s">
        <v>107</v>
      </c>
      <c r="B448">
        <v>2022</v>
      </c>
      <c r="C448" t="str">
        <f t="shared" si="12"/>
        <v>Devecseri járás2022</v>
      </c>
      <c r="D448" t="e">
        <f>#REF!</f>
        <v>#REF!</v>
      </c>
      <c r="E448">
        <v>85</v>
      </c>
      <c r="F448">
        <f t="shared" si="13"/>
        <v>2</v>
      </c>
    </row>
    <row r="449" spans="1:6" x14ac:dyDescent="0.35">
      <c r="A449" s="13" t="s">
        <v>109</v>
      </c>
      <c r="B449">
        <v>2022</v>
      </c>
      <c r="C449" t="str">
        <f t="shared" si="12"/>
        <v>Dombóvári járás2022</v>
      </c>
      <c r="D449" t="e">
        <f>#REF!</f>
        <v>#REF!</v>
      </c>
      <c r="E449">
        <v>141</v>
      </c>
      <c r="F449">
        <f t="shared" si="13"/>
        <v>3</v>
      </c>
    </row>
    <row r="450" spans="1:6" x14ac:dyDescent="0.35">
      <c r="A450" s="13" t="s">
        <v>111</v>
      </c>
      <c r="B450">
        <v>2022</v>
      </c>
      <c r="C450" t="str">
        <f t="shared" si="12"/>
        <v>Dunakeszi járás2022</v>
      </c>
      <c r="D450" t="e">
        <f>#REF!</f>
        <v>#REF!</v>
      </c>
      <c r="E450">
        <v>36</v>
      </c>
      <c r="F450">
        <f t="shared" si="13"/>
        <v>1</v>
      </c>
    </row>
    <row r="451" spans="1:6" x14ac:dyDescent="0.35">
      <c r="A451" s="13" t="s">
        <v>113</v>
      </c>
      <c r="B451">
        <v>2022</v>
      </c>
      <c r="C451" t="str">
        <f t="shared" ref="C451:C514" si="14">A451&amp;B451</f>
        <v>Dunaújvárosi járás2022</v>
      </c>
      <c r="D451" t="e">
        <f>#REF!</f>
        <v>#REF!</v>
      </c>
      <c r="E451">
        <v>38</v>
      </c>
      <c r="F451">
        <f t="shared" ref="F451:F514" si="15">IF(E451&lt;66,1,IF(E451&lt;132,2,3))</f>
        <v>1</v>
      </c>
    </row>
    <row r="452" spans="1:6" x14ac:dyDescent="0.35">
      <c r="A452" s="13" t="s">
        <v>115</v>
      </c>
      <c r="B452">
        <v>2022</v>
      </c>
      <c r="C452" t="str">
        <f t="shared" si="14"/>
        <v>Edelényi járás2022</v>
      </c>
      <c r="D452" t="e">
        <f>#REF!</f>
        <v>#REF!</v>
      </c>
      <c r="E452">
        <v>183</v>
      </c>
      <c r="F452">
        <f t="shared" si="15"/>
        <v>3</v>
      </c>
    </row>
    <row r="453" spans="1:6" x14ac:dyDescent="0.35">
      <c r="A453" s="13" t="s">
        <v>117</v>
      </c>
      <c r="B453">
        <v>2022</v>
      </c>
      <c r="C453" t="str">
        <f t="shared" si="14"/>
        <v>Egri járás2022</v>
      </c>
      <c r="D453" t="e">
        <f>#REF!</f>
        <v>#REF!</v>
      </c>
      <c r="E453">
        <v>40</v>
      </c>
      <c r="F453">
        <f t="shared" si="15"/>
        <v>1</v>
      </c>
    </row>
    <row r="454" spans="1:6" x14ac:dyDescent="0.35">
      <c r="A454" s="13" t="s">
        <v>119</v>
      </c>
      <c r="B454">
        <v>2022</v>
      </c>
      <c r="C454" t="str">
        <f t="shared" si="14"/>
        <v>Encsi járás2022</v>
      </c>
      <c r="D454" t="e">
        <f>#REF!</f>
        <v>#REF!</v>
      </c>
      <c r="E454">
        <v>185</v>
      </c>
      <c r="F454">
        <f t="shared" si="15"/>
        <v>3</v>
      </c>
    </row>
    <row r="455" spans="1:6" x14ac:dyDescent="0.35">
      <c r="A455" s="13" t="s">
        <v>121</v>
      </c>
      <c r="B455">
        <v>2022</v>
      </c>
      <c r="C455" t="str">
        <f t="shared" si="14"/>
        <v>Enyingi járás2022</v>
      </c>
      <c r="D455" t="e">
        <f>#REF!</f>
        <v>#REF!</v>
      </c>
      <c r="E455">
        <v>45</v>
      </c>
      <c r="F455">
        <f t="shared" si="15"/>
        <v>1</v>
      </c>
    </row>
    <row r="456" spans="1:6" x14ac:dyDescent="0.35">
      <c r="A456" s="13" t="s">
        <v>123</v>
      </c>
      <c r="B456">
        <v>2022</v>
      </c>
      <c r="C456" t="str">
        <f t="shared" si="14"/>
        <v>Érdi járás2022</v>
      </c>
      <c r="D456" t="e">
        <f>#REF!</f>
        <v>#REF!</v>
      </c>
      <c r="E456">
        <v>28</v>
      </c>
      <c r="F456">
        <f t="shared" si="15"/>
        <v>1</v>
      </c>
    </row>
    <row r="457" spans="1:6" x14ac:dyDescent="0.35">
      <c r="A457" s="13" t="s">
        <v>125</v>
      </c>
      <c r="B457">
        <v>2022</v>
      </c>
      <c r="C457" t="str">
        <f t="shared" si="14"/>
        <v>Esztergomi járás2022</v>
      </c>
      <c r="D457" t="e">
        <f>#REF!</f>
        <v>#REF!</v>
      </c>
      <c r="E457">
        <v>30</v>
      </c>
      <c r="F457">
        <f t="shared" si="15"/>
        <v>1</v>
      </c>
    </row>
    <row r="458" spans="1:6" x14ac:dyDescent="0.35">
      <c r="A458" s="13" t="s">
        <v>127</v>
      </c>
      <c r="B458">
        <v>2022</v>
      </c>
      <c r="C458" t="str">
        <f t="shared" si="14"/>
        <v>Fehérgyarmati járás2022</v>
      </c>
      <c r="D458" t="e">
        <f>#REF!</f>
        <v>#REF!</v>
      </c>
      <c r="E458">
        <v>175</v>
      </c>
      <c r="F458">
        <f t="shared" si="15"/>
        <v>3</v>
      </c>
    </row>
    <row r="459" spans="1:6" x14ac:dyDescent="0.35">
      <c r="A459" s="13" t="s">
        <v>129</v>
      </c>
      <c r="B459">
        <v>2022</v>
      </c>
      <c r="C459" t="str">
        <f t="shared" si="14"/>
        <v>Fonyódi járás2022</v>
      </c>
      <c r="D459" t="e">
        <f>#REF!</f>
        <v>#REF!</v>
      </c>
      <c r="E459">
        <v>139</v>
      </c>
      <c r="F459">
        <f t="shared" si="15"/>
        <v>3</v>
      </c>
    </row>
    <row r="460" spans="1:6" x14ac:dyDescent="0.35">
      <c r="A460" s="13" t="s">
        <v>131</v>
      </c>
      <c r="B460">
        <v>2022</v>
      </c>
      <c r="C460" t="str">
        <f t="shared" si="14"/>
        <v>Füzesabonyi járás2022</v>
      </c>
      <c r="D460" t="e">
        <f>#REF!</f>
        <v>#REF!</v>
      </c>
      <c r="E460">
        <v>121</v>
      </c>
      <c r="F460">
        <f t="shared" si="15"/>
        <v>2</v>
      </c>
    </row>
    <row r="461" spans="1:6" x14ac:dyDescent="0.35">
      <c r="A461" s="13" t="s">
        <v>133</v>
      </c>
      <c r="B461">
        <v>2022</v>
      </c>
      <c r="C461" t="str">
        <f t="shared" si="14"/>
        <v>Gárdonyi járás2022</v>
      </c>
      <c r="D461" t="e">
        <f>#REF!</f>
        <v>#REF!</v>
      </c>
      <c r="E461">
        <v>11</v>
      </c>
      <c r="F461">
        <f t="shared" si="15"/>
        <v>1</v>
      </c>
    </row>
    <row r="462" spans="1:6" x14ac:dyDescent="0.35">
      <c r="A462" s="13" t="s">
        <v>135</v>
      </c>
      <c r="B462">
        <v>2022</v>
      </c>
      <c r="C462" t="str">
        <f t="shared" si="14"/>
        <v>Gödöllői járás2022</v>
      </c>
      <c r="D462" t="e">
        <f>#REF!</f>
        <v>#REF!</v>
      </c>
      <c r="E462">
        <v>69</v>
      </c>
      <c r="F462">
        <f t="shared" si="15"/>
        <v>2</v>
      </c>
    </row>
    <row r="463" spans="1:6" x14ac:dyDescent="0.35">
      <c r="A463" s="13" t="s">
        <v>137</v>
      </c>
      <c r="B463">
        <v>2022</v>
      </c>
      <c r="C463" t="str">
        <f t="shared" si="14"/>
        <v>Gönci járás2022</v>
      </c>
      <c r="D463" t="e">
        <f>#REF!</f>
        <v>#REF!</v>
      </c>
      <c r="E463">
        <v>191</v>
      </c>
      <c r="F463">
        <f t="shared" si="15"/>
        <v>3</v>
      </c>
    </row>
    <row r="464" spans="1:6" x14ac:dyDescent="0.35">
      <c r="A464" s="13" t="s">
        <v>139</v>
      </c>
      <c r="B464">
        <v>2022</v>
      </c>
      <c r="C464" t="str">
        <f t="shared" si="14"/>
        <v>Gyáli járás2022</v>
      </c>
      <c r="D464" t="e">
        <f>#REF!</f>
        <v>#REF!</v>
      </c>
      <c r="E464">
        <v>24</v>
      </c>
      <c r="F464">
        <f t="shared" si="15"/>
        <v>1</v>
      </c>
    </row>
    <row r="465" spans="1:6" x14ac:dyDescent="0.35">
      <c r="A465" s="13" t="s">
        <v>141</v>
      </c>
      <c r="B465">
        <v>2022</v>
      </c>
      <c r="C465" t="str">
        <f t="shared" si="14"/>
        <v>Gyomaendrődi járás2022</v>
      </c>
      <c r="D465" t="e">
        <f>#REF!</f>
        <v>#REF!</v>
      </c>
      <c r="E465">
        <v>71</v>
      </c>
      <c r="F465">
        <f t="shared" si="15"/>
        <v>2</v>
      </c>
    </row>
    <row r="466" spans="1:6" x14ac:dyDescent="0.35">
      <c r="A466" s="13" t="s">
        <v>143</v>
      </c>
      <c r="B466">
        <v>2022</v>
      </c>
      <c r="C466" t="str">
        <f t="shared" si="14"/>
        <v>Gyöngyösi járás2022</v>
      </c>
      <c r="D466" t="e">
        <f>#REF!</f>
        <v>#REF!</v>
      </c>
      <c r="E466">
        <v>41</v>
      </c>
      <c r="F466">
        <f t="shared" si="15"/>
        <v>1</v>
      </c>
    </row>
    <row r="467" spans="1:6" x14ac:dyDescent="0.35">
      <c r="A467" s="13" t="s">
        <v>145</v>
      </c>
      <c r="B467">
        <v>2022</v>
      </c>
      <c r="C467" t="str">
        <f t="shared" si="14"/>
        <v>Győri járás2022</v>
      </c>
      <c r="D467" t="e">
        <f>#REF!</f>
        <v>#REF!</v>
      </c>
      <c r="E467">
        <v>53</v>
      </c>
      <c r="F467">
        <f t="shared" si="15"/>
        <v>1</v>
      </c>
    </row>
    <row r="468" spans="1:6" x14ac:dyDescent="0.35">
      <c r="A468" s="13" t="s">
        <v>147</v>
      </c>
      <c r="B468">
        <v>2022</v>
      </c>
      <c r="C468" t="str">
        <f t="shared" si="14"/>
        <v>Gyulai járás2022</v>
      </c>
      <c r="D468" t="e">
        <f>#REF!</f>
        <v>#REF!</v>
      </c>
      <c r="E468">
        <v>61</v>
      </c>
      <c r="F468">
        <f t="shared" si="15"/>
        <v>1</v>
      </c>
    </row>
    <row r="469" spans="1:6" x14ac:dyDescent="0.35">
      <c r="A469" s="13" t="s">
        <v>149</v>
      </c>
      <c r="B469">
        <v>2022</v>
      </c>
      <c r="C469" t="str">
        <f t="shared" si="14"/>
        <v>Hajdúböszörményi járás2022</v>
      </c>
      <c r="D469" t="e">
        <f>#REF!</f>
        <v>#REF!</v>
      </c>
      <c r="E469">
        <v>99</v>
      </c>
      <c r="F469">
        <f t="shared" si="15"/>
        <v>2</v>
      </c>
    </row>
    <row r="470" spans="1:6" x14ac:dyDescent="0.35">
      <c r="A470" s="13" t="s">
        <v>151</v>
      </c>
      <c r="B470">
        <v>2022</v>
      </c>
      <c r="C470" t="str">
        <f t="shared" si="14"/>
        <v>Hajdúhadházi járás2022</v>
      </c>
      <c r="D470" t="e">
        <f>#REF!</f>
        <v>#REF!</v>
      </c>
      <c r="E470">
        <v>171</v>
      </c>
      <c r="F470">
        <f t="shared" si="15"/>
        <v>3</v>
      </c>
    </row>
    <row r="471" spans="1:6" x14ac:dyDescent="0.35">
      <c r="A471" s="13" t="s">
        <v>153</v>
      </c>
      <c r="B471">
        <v>2022</v>
      </c>
      <c r="C471" t="str">
        <f t="shared" si="14"/>
        <v>Hajdúnánási járás2022</v>
      </c>
      <c r="D471" t="e">
        <f>#REF!</f>
        <v>#REF!</v>
      </c>
      <c r="E471">
        <v>87</v>
      </c>
      <c r="F471">
        <f t="shared" si="15"/>
        <v>2</v>
      </c>
    </row>
    <row r="472" spans="1:6" x14ac:dyDescent="0.35">
      <c r="A472" s="13" t="s">
        <v>155</v>
      </c>
      <c r="B472">
        <v>2022</v>
      </c>
      <c r="C472" t="str">
        <f t="shared" si="14"/>
        <v>Hajdúszoboszlói járás2022</v>
      </c>
      <c r="D472" t="e">
        <f>#REF!</f>
        <v>#REF!</v>
      </c>
      <c r="E472">
        <v>60</v>
      </c>
      <c r="F472">
        <f t="shared" si="15"/>
        <v>1</v>
      </c>
    </row>
    <row r="473" spans="1:6" x14ac:dyDescent="0.35">
      <c r="A473" s="13" t="s">
        <v>157</v>
      </c>
      <c r="B473">
        <v>2022</v>
      </c>
      <c r="C473" t="str">
        <f t="shared" si="14"/>
        <v>Hatvani járás2022</v>
      </c>
      <c r="D473" t="e">
        <f>#REF!</f>
        <v>#REF!</v>
      </c>
      <c r="E473">
        <v>10</v>
      </c>
      <c r="F473">
        <f t="shared" si="15"/>
        <v>1</v>
      </c>
    </row>
    <row r="474" spans="1:6" x14ac:dyDescent="0.35">
      <c r="A474" s="13" t="s">
        <v>159</v>
      </c>
      <c r="B474">
        <v>2022</v>
      </c>
      <c r="C474" t="str">
        <f t="shared" si="14"/>
        <v>Hegyháti járás2022</v>
      </c>
      <c r="D474" t="e">
        <f>#REF!</f>
        <v>#REF!</v>
      </c>
      <c r="E474">
        <v>172</v>
      </c>
      <c r="F474">
        <f t="shared" si="15"/>
        <v>3</v>
      </c>
    </row>
    <row r="475" spans="1:6" x14ac:dyDescent="0.35">
      <c r="A475" s="13" t="s">
        <v>161</v>
      </c>
      <c r="B475">
        <v>2022</v>
      </c>
      <c r="C475" t="str">
        <f t="shared" si="14"/>
        <v>Hevesi járás2022</v>
      </c>
      <c r="D475" t="e">
        <f>#REF!</f>
        <v>#REF!</v>
      </c>
      <c r="E475">
        <v>174</v>
      </c>
      <c r="F475">
        <f t="shared" si="15"/>
        <v>3</v>
      </c>
    </row>
    <row r="476" spans="1:6" x14ac:dyDescent="0.35">
      <c r="A476" s="13" t="s">
        <v>163</v>
      </c>
      <c r="B476">
        <v>2022</v>
      </c>
      <c r="C476" t="str">
        <f t="shared" si="14"/>
        <v>Hódmezővásárhelyi járás2022</v>
      </c>
      <c r="D476" t="e">
        <f>#REF!</f>
        <v>#REF!</v>
      </c>
      <c r="E476">
        <v>68</v>
      </c>
      <c r="F476">
        <f t="shared" si="15"/>
        <v>2</v>
      </c>
    </row>
    <row r="477" spans="1:6" x14ac:dyDescent="0.35">
      <c r="A477" s="13" t="s">
        <v>165</v>
      </c>
      <c r="B477">
        <v>2022</v>
      </c>
      <c r="C477" t="str">
        <f t="shared" si="14"/>
        <v>Ibrányi járás2022</v>
      </c>
      <c r="D477" t="e">
        <f>#REF!</f>
        <v>#REF!</v>
      </c>
      <c r="E477">
        <v>178</v>
      </c>
      <c r="F477">
        <f t="shared" si="15"/>
        <v>3</v>
      </c>
    </row>
    <row r="478" spans="1:6" x14ac:dyDescent="0.35">
      <c r="A478" s="13" t="s">
        <v>431</v>
      </c>
      <c r="B478">
        <v>2022</v>
      </c>
      <c r="C478" t="str">
        <f t="shared" si="14"/>
        <v>Jánoshalmai járás2022</v>
      </c>
      <c r="D478" t="e">
        <f>#REF!</f>
        <v>#REF!</v>
      </c>
      <c r="E478">
        <v>150</v>
      </c>
      <c r="F478">
        <f t="shared" si="15"/>
        <v>3</v>
      </c>
    </row>
    <row r="479" spans="1:6" x14ac:dyDescent="0.35">
      <c r="A479" s="13" t="s">
        <v>169</v>
      </c>
      <c r="B479">
        <v>2022</v>
      </c>
      <c r="C479" t="str">
        <f t="shared" si="14"/>
        <v>Jászapáti járás2022</v>
      </c>
      <c r="D479" t="e">
        <f>#REF!</f>
        <v>#REF!</v>
      </c>
      <c r="E479">
        <v>126</v>
      </c>
      <c r="F479">
        <f t="shared" si="15"/>
        <v>2</v>
      </c>
    </row>
    <row r="480" spans="1:6" x14ac:dyDescent="0.35">
      <c r="A480" s="13" t="s">
        <v>171</v>
      </c>
      <c r="B480">
        <v>2022</v>
      </c>
      <c r="C480" t="str">
        <f t="shared" si="14"/>
        <v>Jászberényi járás2022</v>
      </c>
      <c r="D480" t="e">
        <f>#REF!</f>
        <v>#REF!</v>
      </c>
      <c r="E480">
        <v>2</v>
      </c>
      <c r="F480">
        <f t="shared" si="15"/>
        <v>1</v>
      </c>
    </row>
    <row r="481" spans="1:6" x14ac:dyDescent="0.35">
      <c r="A481" s="13" t="s">
        <v>173</v>
      </c>
      <c r="B481">
        <v>2022</v>
      </c>
      <c r="C481" t="str">
        <f t="shared" si="14"/>
        <v>Kalocsai járás2022</v>
      </c>
      <c r="D481" t="e">
        <f>#REF!</f>
        <v>#REF!</v>
      </c>
      <c r="E481">
        <v>138</v>
      </c>
      <c r="F481">
        <f t="shared" si="15"/>
        <v>3</v>
      </c>
    </row>
    <row r="482" spans="1:6" x14ac:dyDescent="0.35">
      <c r="A482" s="13" t="s">
        <v>175</v>
      </c>
      <c r="B482">
        <v>2022</v>
      </c>
      <c r="C482" t="str">
        <f t="shared" si="14"/>
        <v>Kaposvári járás2022</v>
      </c>
      <c r="D482" t="e">
        <f>#REF!</f>
        <v>#REF!</v>
      </c>
      <c r="E482">
        <v>116</v>
      </c>
      <c r="F482">
        <f t="shared" si="15"/>
        <v>2</v>
      </c>
    </row>
    <row r="483" spans="1:6" x14ac:dyDescent="0.35">
      <c r="A483" s="13" t="s">
        <v>177</v>
      </c>
      <c r="B483">
        <v>2022</v>
      </c>
      <c r="C483" t="str">
        <f t="shared" si="14"/>
        <v>Kapuvári járás2022</v>
      </c>
      <c r="D483" t="e">
        <f>#REF!</f>
        <v>#REF!</v>
      </c>
      <c r="E483">
        <v>127</v>
      </c>
      <c r="F483">
        <f t="shared" si="15"/>
        <v>2</v>
      </c>
    </row>
    <row r="484" spans="1:6" x14ac:dyDescent="0.35">
      <c r="A484" s="13" t="s">
        <v>179</v>
      </c>
      <c r="B484">
        <v>2022</v>
      </c>
      <c r="C484" t="str">
        <f t="shared" si="14"/>
        <v>Karcagi járás2022</v>
      </c>
      <c r="D484" t="e">
        <f>#REF!</f>
        <v>#REF!</v>
      </c>
      <c r="E484">
        <v>115</v>
      </c>
      <c r="F484">
        <f t="shared" si="15"/>
        <v>2</v>
      </c>
    </row>
    <row r="485" spans="1:6" x14ac:dyDescent="0.35">
      <c r="A485" s="13" t="s">
        <v>181</v>
      </c>
      <c r="B485">
        <v>2022</v>
      </c>
      <c r="C485" t="str">
        <f t="shared" si="14"/>
        <v>Kazincbarcikai járás2022</v>
      </c>
      <c r="D485" t="e">
        <f>#REF!</f>
        <v>#REF!</v>
      </c>
      <c r="E485">
        <v>128</v>
      </c>
      <c r="F485">
        <f t="shared" si="15"/>
        <v>2</v>
      </c>
    </row>
    <row r="486" spans="1:6" x14ac:dyDescent="0.35">
      <c r="A486" s="13" t="s">
        <v>183</v>
      </c>
      <c r="B486">
        <v>2022</v>
      </c>
      <c r="C486" t="str">
        <f t="shared" si="14"/>
        <v>Kecskeméti járás2022</v>
      </c>
      <c r="D486" t="e">
        <f>#REF!</f>
        <v>#REF!</v>
      </c>
      <c r="E486">
        <v>49</v>
      </c>
      <c r="F486">
        <f t="shared" si="15"/>
        <v>1</v>
      </c>
    </row>
    <row r="487" spans="1:6" x14ac:dyDescent="0.35">
      <c r="A487" s="13" t="s">
        <v>185</v>
      </c>
      <c r="B487">
        <v>2022</v>
      </c>
      <c r="C487" t="str">
        <f t="shared" si="14"/>
        <v>Kemecsei járás2022</v>
      </c>
      <c r="D487" t="e">
        <f>#REF!</f>
        <v>#REF!</v>
      </c>
      <c r="E487">
        <v>153</v>
      </c>
      <c r="F487">
        <f t="shared" si="15"/>
        <v>3</v>
      </c>
    </row>
    <row r="488" spans="1:6" x14ac:dyDescent="0.35">
      <c r="A488" s="13" t="s">
        <v>187</v>
      </c>
      <c r="B488">
        <v>2022</v>
      </c>
      <c r="C488" t="str">
        <f t="shared" si="14"/>
        <v>Keszthelyi járás2022</v>
      </c>
      <c r="D488" t="e">
        <f>#REF!</f>
        <v>#REF!</v>
      </c>
      <c r="E488">
        <v>135</v>
      </c>
      <c r="F488">
        <f t="shared" si="15"/>
        <v>3</v>
      </c>
    </row>
    <row r="489" spans="1:6" x14ac:dyDescent="0.35">
      <c r="A489" s="13" t="s">
        <v>189</v>
      </c>
      <c r="B489">
        <v>2022</v>
      </c>
      <c r="C489" t="str">
        <f t="shared" si="14"/>
        <v>Kisbéri járás2022</v>
      </c>
      <c r="D489" t="e">
        <f>#REF!</f>
        <v>#REF!</v>
      </c>
      <c r="E489">
        <v>4</v>
      </c>
      <c r="F489">
        <f t="shared" si="15"/>
        <v>1</v>
      </c>
    </row>
    <row r="490" spans="1:6" x14ac:dyDescent="0.35">
      <c r="A490" s="13" t="s">
        <v>191</v>
      </c>
      <c r="B490">
        <v>2022</v>
      </c>
      <c r="C490" t="str">
        <f t="shared" si="14"/>
        <v>Kiskőrösi járás2022</v>
      </c>
      <c r="D490" t="e">
        <f>#REF!</f>
        <v>#REF!</v>
      </c>
      <c r="E490">
        <v>142</v>
      </c>
      <c r="F490">
        <f t="shared" si="15"/>
        <v>3</v>
      </c>
    </row>
    <row r="491" spans="1:6" x14ac:dyDescent="0.35">
      <c r="A491" s="13" t="s">
        <v>193</v>
      </c>
      <c r="B491">
        <v>2022</v>
      </c>
      <c r="C491" t="str">
        <f t="shared" si="14"/>
        <v>Kiskunfélegyházi járás2022</v>
      </c>
      <c r="D491" t="e">
        <f>#REF!</f>
        <v>#REF!</v>
      </c>
      <c r="E491">
        <v>83</v>
      </c>
      <c r="F491">
        <f t="shared" si="15"/>
        <v>2</v>
      </c>
    </row>
    <row r="492" spans="1:6" x14ac:dyDescent="0.35">
      <c r="A492" s="13" t="s">
        <v>195</v>
      </c>
      <c r="B492">
        <v>2022</v>
      </c>
      <c r="C492" t="str">
        <f t="shared" si="14"/>
        <v>Kiskunhalasi járás2022</v>
      </c>
      <c r="D492" t="e">
        <f>#REF!</f>
        <v>#REF!</v>
      </c>
      <c r="E492">
        <v>137</v>
      </c>
      <c r="F492">
        <f t="shared" si="15"/>
        <v>3</v>
      </c>
    </row>
    <row r="493" spans="1:6" x14ac:dyDescent="0.35">
      <c r="A493" s="13" t="s">
        <v>197</v>
      </c>
      <c r="B493">
        <v>2022</v>
      </c>
      <c r="C493" t="str">
        <f t="shared" si="14"/>
        <v>Kiskunmajsai járás2022</v>
      </c>
      <c r="D493" t="e">
        <f>#REF!</f>
        <v>#REF!</v>
      </c>
      <c r="E493">
        <v>156</v>
      </c>
      <c r="F493">
        <f t="shared" si="15"/>
        <v>3</v>
      </c>
    </row>
    <row r="494" spans="1:6" x14ac:dyDescent="0.35">
      <c r="A494" s="13" t="s">
        <v>199</v>
      </c>
      <c r="B494">
        <v>2022</v>
      </c>
      <c r="C494" t="str">
        <f t="shared" si="14"/>
        <v>Kisteleki járás2022</v>
      </c>
      <c r="D494" t="e">
        <f>#REF!</f>
        <v>#REF!</v>
      </c>
      <c r="E494">
        <v>173</v>
      </c>
      <c r="F494">
        <f t="shared" si="15"/>
        <v>3</v>
      </c>
    </row>
    <row r="495" spans="1:6" x14ac:dyDescent="0.35">
      <c r="A495" s="13" t="s">
        <v>201</v>
      </c>
      <c r="B495">
        <v>2022</v>
      </c>
      <c r="C495" t="str">
        <f t="shared" si="14"/>
        <v>Kisvárdai járás2022</v>
      </c>
      <c r="D495" t="e">
        <f>#REF!</f>
        <v>#REF!</v>
      </c>
      <c r="E495">
        <v>103</v>
      </c>
      <c r="F495">
        <f t="shared" si="15"/>
        <v>2</v>
      </c>
    </row>
    <row r="496" spans="1:6" x14ac:dyDescent="0.35">
      <c r="A496" s="13" t="s">
        <v>203</v>
      </c>
      <c r="B496">
        <v>2022</v>
      </c>
      <c r="C496" t="str">
        <f t="shared" si="14"/>
        <v>Komáromi járás2022</v>
      </c>
      <c r="D496" t="e">
        <f>#REF!</f>
        <v>#REF!</v>
      </c>
      <c r="E496">
        <v>1</v>
      </c>
      <c r="F496">
        <f t="shared" si="15"/>
        <v>1</v>
      </c>
    </row>
    <row r="497" spans="1:6" x14ac:dyDescent="0.35">
      <c r="A497" s="13" t="s">
        <v>205</v>
      </c>
      <c r="B497">
        <v>2022</v>
      </c>
      <c r="C497" t="str">
        <f t="shared" si="14"/>
        <v>Komlói járás2022</v>
      </c>
      <c r="D497" t="e">
        <f>#REF!</f>
        <v>#REF!</v>
      </c>
      <c r="E497">
        <v>133</v>
      </c>
      <c r="F497">
        <f t="shared" si="15"/>
        <v>3</v>
      </c>
    </row>
    <row r="498" spans="1:6" x14ac:dyDescent="0.35">
      <c r="A498" s="13" t="s">
        <v>207</v>
      </c>
      <c r="B498">
        <v>2022</v>
      </c>
      <c r="C498" t="str">
        <f t="shared" si="14"/>
        <v>Körmendi járás2022</v>
      </c>
      <c r="D498" t="e">
        <f>#REF!</f>
        <v>#REF!</v>
      </c>
      <c r="E498">
        <v>75</v>
      </c>
      <c r="F498">
        <f t="shared" si="15"/>
        <v>2</v>
      </c>
    </row>
    <row r="499" spans="1:6" x14ac:dyDescent="0.35">
      <c r="A499" s="13" t="s">
        <v>209</v>
      </c>
      <c r="B499">
        <v>2022</v>
      </c>
      <c r="C499" t="str">
        <f t="shared" si="14"/>
        <v>Kőszegi járás2022</v>
      </c>
      <c r="D499" t="e">
        <f>#REF!</f>
        <v>#REF!</v>
      </c>
      <c r="E499">
        <v>179</v>
      </c>
      <c r="F499">
        <f t="shared" si="15"/>
        <v>3</v>
      </c>
    </row>
    <row r="500" spans="1:6" x14ac:dyDescent="0.35">
      <c r="A500" s="13" t="s">
        <v>211</v>
      </c>
      <c r="B500">
        <v>2022</v>
      </c>
      <c r="C500" t="str">
        <f t="shared" si="14"/>
        <v>Kunhegyesi járás2022</v>
      </c>
      <c r="D500" t="e">
        <f>#REF!</f>
        <v>#REF!</v>
      </c>
      <c r="E500">
        <v>188</v>
      </c>
      <c r="F500">
        <f t="shared" si="15"/>
        <v>3</v>
      </c>
    </row>
    <row r="501" spans="1:6" x14ac:dyDescent="0.35">
      <c r="A501" s="13" t="s">
        <v>213</v>
      </c>
      <c r="B501">
        <v>2022</v>
      </c>
      <c r="C501" t="str">
        <f t="shared" si="14"/>
        <v>Kunszentmártoni járás2022</v>
      </c>
      <c r="D501" t="e">
        <f>#REF!</f>
        <v>#REF!</v>
      </c>
      <c r="E501">
        <v>92</v>
      </c>
      <c r="F501">
        <f t="shared" si="15"/>
        <v>2</v>
      </c>
    </row>
    <row r="502" spans="1:6" x14ac:dyDescent="0.35">
      <c r="A502" s="13" t="s">
        <v>215</v>
      </c>
      <c r="B502">
        <v>2022</v>
      </c>
      <c r="C502" t="str">
        <f t="shared" si="14"/>
        <v>Kunszentmiklósi járás2022</v>
      </c>
      <c r="D502" t="e">
        <f>#REF!</f>
        <v>#REF!</v>
      </c>
      <c r="E502">
        <v>73</v>
      </c>
      <c r="F502">
        <f t="shared" si="15"/>
        <v>2</v>
      </c>
    </row>
    <row r="503" spans="1:6" x14ac:dyDescent="0.35">
      <c r="A503" s="13" t="s">
        <v>217</v>
      </c>
      <c r="B503">
        <v>2022</v>
      </c>
      <c r="C503" t="str">
        <f t="shared" si="14"/>
        <v>Lenti járás2022</v>
      </c>
      <c r="D503" t="e">
        <f>#REF!</f>
        <v>#REF!</v>
      </c>
      <c r="E503">
        <v>86</v>
      </c>
      <c r="F503">
        <f t="shared" si="15"/>
        <v>2</v>
      </c>
    </row>
    <row r="504" spans="1:6" x14ac:dyDescent="0.35">
      <c r="A504" s="13" t="s">
        <v>219</v>
      </c>
      <c r="B504">
        <v>2022</v>
      </c>
      <c r="C504" t="str">
        <f t="shared" si="14"/>
        <v>Letenyei járás2022</v>
      </c>
      <c r="D504" t="e">
        <f>#REF!</f>
        <v>#REF!</v>
      </c>
      <c r="E504">
        <v>114</v>
      </c>
      <c r="F504">
        <f t="shared" si="15"/>
        <v>2</v>
      </c>
    </row>
    <row r="505" spans="1:6" x14ac:dyDescent="0.35">
      <c r="A505" s="13" t="s">
        <v>221</v>
      </c>
      <c r="B505">
        <v>2022</v>
      </c>
      <c r="C505" t="str">
        <f t="shared" si="14"/>
        <v>Makói járás2022</v>
      </c>
      <c r="D505" t="e">
        <f>#REF!</f>
        <v>#REF!</v>
      </c>
      <c r="E505">
        <v>109</v>
      </c>
      <c r="F505">
        <f t="shared" si="15"/>
        <v>2</v>
      </c>
    </row>
    <row r="506" spans="1:6" x14ac:dyDescent="0.35">
      <c r="A506" s="13" t="s">
        <v>223</v>
      </c>
      <c r="B506">
        <v>2022</v>
      </c>
      <c r="C506" t="str">
        <f t="shared" si="14"/>
        <v>Marcali járás2022</v>
      </c>
      <c r="D506" t="e">
        <f>#REF!</f>
        <v>#REF!</v>
      </c>
      <c r="E506">
        <v>181</v>
      </c>
      <c r="F506">
        <f t="shared" si="15"/>
        <v>3</v>
      </c>
    </row>
    <row r="507" spans="1:6" x14ac:dyDescent="0.35">
      <c r="A507" s="13" t="s">
        <v>225</v>
      </c>
      <c r="B507">
        <v>2022</v>
      </c>
      <c r="C507" t="str">
        <f t="shared" si="14"/>
        <v>Martonvásári járás2022</v>
      </c>
      <c r="D507" t="e">
        <f>#REF!</f>
        <v>#REF!</v>
      </c>
      <c r="E507">
        <v>105</v>
      </c>
      <c r="F507">
        <f t="shared" si="15"/>
        <v>2</v>
      </c>
    </row>
    <row r="508" spans="1:6" x14ac:dyDescent="0.35">
      <c r="A508" s="13" t="s">
        <v>227</v>
      </c>
      <c r="B508">
        <v>2022</v>
      </c>
      <c r="C508" t="str">
        <f t="shared" si="14"/>
        <v>Mátészalkai járás2022</v>
      </c>
      <c r="D508" t="e">
        <f>#REF!</f>
        <v>#REF!</v>
      </c>
      <c r="E508">
        <v>162</v>
      </c>
      <c r="F508">
        <f t="shared" si="15"/>
        <v>3</v>
      </c>
    </row>
    <row r="509" spans="1:6" x14ac:dyDescent="0.35">
      <c r="A509" s="13" t="s">
        <v>229</v>
      </c>
      <c r="B509">
        <v>2022</v>
      </c>
      <c r="C509" t="str">
        <f t="shared" si="14"/>
        <v>Mezőcsáti járás2022</v>
      </c>
      <c r="D509" t="e">
        <f>#REF!</f>
        <v>#REF!</v>
      </c>
      <c r="E509">
        <v>164</v>
      </c>
      <c r="F509">
        <f t="shared" si="15"/>
        <v>3</v>
      </c>
    </row>
    <row r="510" spans="1:6" x14ac:dyDescent="0.35">
      <c r="A510" s="13" t="s">
        <v>231</v>
      </c>
      <c r="B510">
        <v>2022</v>
      </c>
      <c r="C510" t="str">
        <f t="shared" si="14"/>
        <v>Mezőkovácsházai járás2022</v>
      </c>
      <c r="D510" t="e">
        <f>#REF!</f>
        <v>#REF!</v>
      </c>
      <c r="E510">
        <v>151</v>
      </c>
      <c r="F510">
        <f t="shared" si="15"/>
        <v>3</v>
      </c>
    </row>
    <row r="511" spans="1:6" x14ac:dyDescent="0.35">
      <c r="A511" s="13" t="s">
        <v>233</v>
      </c>
      <c r="B511">
        <v>2022</v>
      </c>
      <c r="C511" t="str">
        <f t="shared" si="14"/>
        <v>Mezőkövesdi járás2022</v>
      </c>
      <c r="D511" t="e">
        <f>#REF!</f>
        <v>#REF!</v>
      </c>
      <c r="E511">
        <v>82</v>
      </c>
      <c r="F511">
        <f t="shared" si="15"/>
        <v>2</v>
      </c>
    </row>
    <row r="512" spans="1:6" x14ac:dyDescent="0.35">
      <c r="A512" s="13" t="s">
        <v>235</v>
      </c>
      <c r="B512">
        <v>2022</v>
      </c>
      <c r="C512" t="str">
        <f t="shared" si="14"/>
        <v>Mezőtúri járás2022</v>
      </c>
      <c r="D512" t="e">
        <f>#REF!</f>
        <v>#REF!</v>
      </c>
      <c r="E512">
        <v>44</v>
      </c>
      <c r="F512">
        <f t="shared" si="15"/>
        <v>1</v>
      </c>
    </row>
    <row r="513" spans="1:6" x14ac:dyDescent="0.35">
      <c r="A513" s="13" t="s">
        <v>237</v>
      </c>
      <c r="B513">
        <v>2022</v>
      </c>
      <c r="C513" t="str">
        <f t="shared" si="14"/>
        <v>Miskolci járás2022</v>
      </c>
      <c r="D513" t="e">
        <f>#REF!</f>
        <v>#REF!</v>
      </c>
      <c r="E513">
        <v>107</v>
      </c>
      <c r="F513">
        <f t="shared" si="15"/>
        <v>2</v>
      </c>
    </row>
    <row r="514" spans="1:6" x14ac:dyDescent="0.35">
      <c r="A514" s="13" t="s">
        <v>239</v>
      </c>
      <c r="B514">
        <v>2022</v>
      </c>
      <c r="C514" t="str">
        <f t="shared" si="14"/>
        <v>Mohácsi járás2022</v>
      </c>
      <c r="D514" t="e">
        <f>#REF!</f>
        <v>#REF!</v>
      </c>
      <c r="E514">
        <v>134</v>
      </c>
      <c r="F514">
        <f t="shared" si="15"/>
        <v>3</v>
      </c>
    </row>
    <row r="515" spans="1:6" x14ac:dyDescent="0.35">
      <c r="A515" s="13" t="s">
        <v>241</v>
      </c>
      <c r="B515">
        <v>2022</v>
      </c>
      <c r="C515" t="str">
        <f t="shared" ref="C515:C578" si="16">A515&amp;B515</f>
        <v>Monori járás2022</v>
      </c>
      <c r="D515" t="e">
        <f>#REF!</f>
        <v>#REF!</v>
      </c>
      <c r="E515">
        <v>32</v>
      </c>
      <c r="F515">
        <f t="shared" ref="F515:F578" si="17">IF(E515&lt;66,1,IF(E515&lt;132,2,3))</f>
        <v>1</v>
      </c>
    </row>
    <row r="516" spans="1:6" x14ac:dyDescent="0.35">
      <c r="A516" s="13" t="s">
        <v>243</v>
      </c>
      <c r="B516">
        <v>2022</v>
      </c>
      <c r="C516" t="str">
        <f t="shared" si="16"/>
        <v>Mórahalmi járás2022</v>
      </c>
      <c r="D516" t="e">
        <f>#REF!</f>
        <v>#REF!</v>
      </c>
      <c r="E516">
        <v>132</v>
      </c>
      <c r="F516">
        <f t="shared" si="17"/>
        <v>3</v>
      </c>
    </row>
    <row r="517" spans="1:6" x14ac:dyDescent="0.35">
      <c r="A517" s="13" t="s">
        <v>245</v>
      </c>
      <c r="B517">
        <v>2022</v>
      </c>
      <c r="C517" t="str">
        <f t="shared" si="16"/>
        <v>Móri járás2022</v>
      </c>
      <c r="D517" t="e">
        <f>#REF!</f>
        <v>#REF!</v>
      </c>
      <c r="E517">
        <v>7</v>
      </c>
      <c r="F517">
        <f t="shared" si="17"/>
        <v>1</v>
      </c>
    </row>
    <row r="518" spans="1:6" x14ac:dyDescent="0.35">
      <c r="A518" s="13" t="s">
        <v>247</v>
      </c>
      <c r="B518">
        <v>2022</v>
      </c>
      <c r="C518" t="str">
        <f t="shared" si="16"/>
        <v>Mosonmagyaróvári járás2022</v>
      </c>
      <c r="D518" t="e">
        <f>#REF!</f>
        <v>#REF!</v>
      </c>
      <c r="E518">
        <v>193</v>
      </c>
      <c r="F518">
        <f t="shared" si="17"/>
        <v>3</v>
      </c>
    </row>
    <row r="519" spans="1:6" x14ac:dyDescent="0.35">
      <c r="A519" s="13" t="s">
        <v>249</v>
      </c>
      <c r="B519">
        <v>2022</v>
      </c>
      <c r="C519" t="str">
        <f t="shared" si="16"/>
        <v>Nagyatádi járás2022</v>
      </c>
      <c r="D519" t="e">
        <f>#REF!</f>
        <v>#REF!</v>
      </c>
      <c r="E519">
        <v>158</v>
      </c>
      <c r="F519">
        <f t="shared" si="17"/>
        <v>3</v>
      </c>
    </row>
    <row r="520" spans="1:6" x14ac:dyDescent="0.35">
      <c r="A520" s="13" t="s">
        <v>251</v>
      </c>
      <c r="B520">
        <v>2022</v>
      </c>
      <c r="C520" t="str">
        <f t="shared" si="16"/>
        <v>Nagykállói járás2022</v>
      </c>
      <c r="D520" t="e">
        <f>#REF!</f>
        <v>#REF!</v>
      </c>
      <c r="E520">
        <v>147</v>
      </c>
      <c r="F520">
        <f t="shared" si="17"/>
        <v>3</v>
      </c>
    </row>
    <row r="521" spans="1:6" x14ac:dyDescent="0.35">
      <c r="A521" s="13" t="s">
        <v>253</v>
      </c>
      <c r="B521">
        <v>2022</v>
      </c>
      <c r="C521" t="str">
        <f t="shared" si="16"/>
        <v>Nagykanizsai járás2022</v>
      </c>
      <c r="D521" t="e">
        <f>#REF!</f>
        <v>#REF!</v>
      </c>
      <c r="E521">
        <v>110</v>
      </c>
      <c r="F521">
        <f t="shared" si="17"/>
        <v>2</v>
      </c>
    </row>
    <row r="522" spans="1:6" x14ac:dyDescent="0.35">
      <c r="A522" s="13" t="s">
        <v>255</v>
      </c>
      <c r="B522">
        <v>2022</v>
      </c>
      <c r="C522" t="str">
        <f t="shared" si="16"/>
        <v>Nagykátai járás2022</v>
      </c>
      <c r="D522" t="e">
        <f>#REF!</f>
        <v>#REF!</v>
      </c>
      <c r="E522">
        <v>62</v>
      </c>
      <c r="F522">
        <f t="shared" si="17"/>
        <v>1</v>
      </c>
    </row>
    <row r="523" spans="1:6" x14ac:dyDescent="0.35">
      <c r="A523" s="13" t="s">
        <v>257</v>
      </c>
      <c r="B523">
        <v>2022</v>
      </c>
      <c r="C523" t="str">
        <f t="shared" si="16"/>
        <v>Nagykőrösi járás2022</v>
      </c>
      <c r="D523" t="e">
        <f>#REF!</f>
        <v>#REF!</v>
      </c>
      <c r="E523">
        <v>97</v>
      </c>
      <c r="F523">
        <f t="shared" si="17"/>
        <v>2</v>
      </c>
    </row>
    <row r="524" spans="1:6" x14ac:dyDescent="0.35">
      <c r="A524" s="13" t="s">
        <v>259</v>
      </c>
      <c r="B524">
        <v>2022</v>
      </c>
      <c r="C524" t="str">
        <f t="shared" si="16"/>
        <v>Nyíradonyi járás2022</v>
      </c>
      <c r="D524" t="e">
        <f>#REF!</f>
        <v>#REF!</v>
      </c>
      <c r="E524">
        <v>182</v>
      </c>
      <c r="F524">
        <f t="shared" si="17"/>
        <v>3</v>
      </c>
    </row>
    <row r="525" spans="1:6" x14ac:dyDescent="0.35">
      <c r="A525" s="13" t="s">
        <v>261</v>
      </c>
      <c r="B525">
        <v>2022</v>
      </c>
      <c r="C525" t="str">
        <f t="shared" si="16"/>
        <v>Nyírbátori járás2022</v>
      </c>
      <c r="D525" t="e">
        <f>#REF!</f>
        <v>#REF!</v>
      </c>
      <c r="E525">
        <v>176</v>
      </c>
      <c r="F525">
        <f t="shared" si="17"/>
        <v>3</v>
      </c>
    </row>
    <row r="526" spans="1:6" x14ac:dyDescent="0.35">
      <c r="A526" s="13" t="s">
        <v>263</v>
      </c>
      <c r="B526">
        <v>2022</v>
      </c>
      <c r="C526" t="str">
        <f t="shared" si="16"/>
        <v>Nyíregyházi járás2022</v>
      </c>
      <c r="D526" t="e">
        <f>#REF!</f>
        <v>#REF!</v>
      </c>
      <c r="E526">
        <v>88</v>
      </c>
      <c r="F526">
        <f t="shared" si="17"/>
        <v>2</v>
      </c>
    </row>
    <row r="527" spans="1:6" x14ac:dyDescent="0.35">
      <c r="A527" s="13" t="s">
        <v>265</v>
      </c>
      <c r="B527">
        <v>2022</v>
      </c>
      <c r="C527" t="str">
        <f t="shared" si="16"/>
        <v>Orosházi járás2022</v>
      </c>
      <c r="D527" t="e">
        <f>#REF!</f>
        <v>#REF!</v>
      </c>
      <c r="E527">
        <v>50</v>
      </c>
      <c r="F527">
        <f t="shared" si="17"/>
        <v>1</v>
      </c>
    </row>
    <row r="528" spans="1:6" x14ac:dyDescent="0.35">
      <c r="A528" s="13" t="s">
        <v>267</v>
      </c>
      <c r="B528">
        <v>2022</v>
      </c>
      <c r="C528" t="str">
        <f t="shared" si="16"/>
        <v>Oroszlányi járás2022</v>
      </c>
      <c r="D528" t="e">
        <f>#REF!</f>
        <v>#REF!</v>
      </c>
      <c r="E528">
        <v>21</v>
      </c>
      <c r="F528">
        <f t="shared" si="17"/>
        <v>1</v>
      </c>
    </row>
    <row r="529" spans="1:6" x14ac:dyDescent="0.35">
      <c r="A529" s="13" t="s">
        <v>269</v>
      </c>
      <c r="B529">
        <v>2022</v>
      </c>
      <c r="C529" t="str">
        <f t="shared" si="16"/>
        <v>Ózdi járás2022</v>
      </c>
      <c r="D529" t="e">
        <f>#REF!</f>
        <v>#REF!</v>
      </c>
      <c r="E529">
        <v>190</v>
      </c>
      <c r="F529">
        <f t="shared" si="17"/>
        <v>3</v>
      </c>
    </row>
    <row r="530" spans="1:6" x14ac:dyDescent="0.35">
      <c r="A530" s="13" t="s">
        <v>271</v>
      </c>
      <c r="B530">
        <v>2022</v>
      </c>
      <c r="C530" t="str">
        <f t="shared" si="16"/>
        <v>Paksi járás2022</v>
      </c>
      <c r="D530" t="e">
        <f>#REF!</f>
        <v>#REF!</v>
      </c>
      <c r="E530">
        <v>37</v>
      </c>
      <c r="F530">
        <f t="shared" si="17"/>
        <v>1</v>
      </c>
    </row>
    <row r="531" spans="1:6" x14ac:dyDescent="0.35">
      <c r="A531" s="13" t="s">
        <v>273</v>
      </c>
      <c r="B531">
        <v>2022</v>
      </c>
      <c r="C531" t="str">
        <f t="shared" si="16"/>
        <v>Pannonhalmi járás2022</v>
      </c>
      <c r="D531" t="e">
        <f>#REF!</f>
        <v>#REF!</v>
      </c>
      <c r="E531">
        <v>3</v>
      </c>
      <c r="F531">
        <f t="shared" si="17"/>
        <v>1</v>
      </c>
    </row>
    <row r="532" spans="1:6" x14ac:dyDescent="0.35">
      <c r="A532" s="13" t="s">
        <v>275</v>
      </c>
      <c r="B532">
        <v>2022</v>
      </c>
      <c r="C532" t="str">
        <f t="shared" si="16"/>
        <v>Pápai járás2022</v>
      </c>
      <c r="D532" t="e">
        <f>#REF!</f>
        <v>#REF!</v>
      </c>
      <c r="E532">
        <v>46</v>
      </c>
      <c r="F532">
        <f t="shared" si="17"/>
        <v>1</v>
      </c>
    </row>
    <row r="533" spans="1:6" x14ac:dyDescent="0.35">
      <c r="A533" s="13" t="s">
        <v>277</v>
      </c>
      <c r="B533">
        <v>2022</v>
      </c>
      <c r="C533" t="str">
        <f t="shared" si="16"/>
        <v>Pásztói járás2022</v>
      </c>
      <c r="D533" t="e">
        <f>#REF!</f>
        <v>#REF!</v>
      </c>
      <c r="E533">
        <v>101</v>
      </c>
      <c r="F533">
        <f t="shared" si="17"/>
        <v>2</v>
      </c>
    </row>
    <row r="534" spans="1:6" x14ac:dyDescent="0.35">
      <c r="A534" s="13" t="s">
        <v>279</v>
      </c>
      <c r="B534">
        <v>2022</v>
      </c>
      <c r="C534" t="str">
        <f t="shared" si="16"/>
        <v>Pécsi járás2022</v>
      </c>
      <c r="D534" t="e">
        <f>#REF!</f>
        <v>#REF!</v>
      </c>
      <c r="E534">
        <v>131</v>
      </c>
      <c r="F534">
        <f t="shared" si="17"/>
        <v>2</v>
      </c>
    </row>
    <row r="535" spans="1:6" x14ac:dyDescent="0.35">
      <c r="A535" s="13" t="s">
        <v>281</v>
      </c>
      <c r="B535">
        <v>2022</v>
      </c>
      <c r="C535" t="str">
        <f t="shared" si="16"/>
        <v>Pécsváradi járás2022</v>
      </c>
      <c r="D535" t="e">
        <f>#REF!</f>
        <v>#REF!</v>
      </c>
      <c r="E535">
        <v>119</v>
      </c>
      <c r="F535">
        <f t="shared" si="17"/>
        <v>2</v>
      </c>
    </row>
    <row r="536" spans="1:6" x14ac:dyDescent="0.35">
      <c r="A536" s="13" t="s">
        <v>283</v>
      </c>
      <c r="B536">
        <v>2022</v>
      </c>
      <c r="C536" t="str">
        <f t="shared" si="16"/>
        <v>Pétervásárai járás2022</v>
      </c>
      <c r="D536" t="e">
        <f>#REF!</f>
        <v>#REF!</v>
      </c>
      <c r="E536">
        <v>117</v>
      </c>
      <c r="F536">
        <f t="shared" si="17"/>
        <v>2</v>
      </c>
    </row>
    <row r="537" spans="1:6" x14ac:dyDescent="0.35">
      <c r="A537" s="13" t="s">
        <v>285</v>
      </c>
      <c r="B537">
        <v>2022</v>
      </c>
      <c r="C537" t="str">
        <f t="shared" si="16"/>
        <v>Pilisvörösvári járás2022</v>
      </c>
      <c r="D537" t="e">
        <f>#REF!</f>
        <v>#REF!</v>
      </c>
      <c r="E537">
        <v>47</v>
      </c>
      <c r="F537">
        <f t="shared" si="17"/>
        <v>1</v>
      </c>
    </row>
    <row r="538" spans="1:6" x14ac:dyDescent="0.35">
      <c r="A538" s="13" t="s">
        <v>287</v>
      </c>
      <c r="B538">
        <v>2022</v>
      </c>
      <c r="C538" t="str">
        <f t="shared" si="16"/>
        <v>Putnoki járás2022</v>
      </c>
      <c r="D538" t="e">
        <f>#REF!</f>
        <v>#REF!</v>
      </c>
      <c r="E538">
        <v>170</v>
      </c>
      <c r="F538">
        <f t="shared" si="17"/>
        <v>3</v>
      </c>
    </row>
    <row r="539" spans="1:6" x14ac:dyDescent="0.35">
      <c r="A539" s="13" t="s">
        <v>289</v>
      </c>
      <c r="B539">
        <v>2022</v>
      </c>
      <c r="C539" t="str">
        <f t="shared" si="16"/>
        <v>Püspökladányi járás2022</v>
      </c>
      <c r="D539" t="e">
        <f>#REF!</f>
        <v>#REF!</v>
      </c>
      <c r="E539">
        <v>93</v>
      </c>
      <c r="F539">
        <f t="shared" si="17"/>
        <v>2</v>
      </c>
    </row>
    <row r="540" spans="1:6" x14ac:dyDescent="0.35">
      <c r="A540" s="13" t="s">
        <v>291</v>
      </c>
      <c r="B540">
        <v>2022</v>
      </c>
      <c r="C540" t="str">
        <f t="shared" si="16"/>
        <v>Ráckevei járás2022</v>
      </c>
      <c r="D540" t="e">
        <f>#REF!</f>
        <v>#REF!</v>
      </c>
      <c r="E540">
        <v>79</v>
      </c>
      <c r="F540">
        <f t="shared" si="17"/>
        <v>2</v>
      </c>
    </row>
    <row r="541" spans="1:6" x14ac:dyDescent="0.35">
      <c r="A541" s="13" t="s">
        <v>293</v>
      </c>
      <c r="B541">
        <v>2022</v>
      </c>
      <c r="C541" t="str">
        <f t="shared" si="16"/>
        <v>Rétsági járás2022</v>
      </c>
      <c r="D541" t="e">
        <f>#REF!</f>
        <v>#REF!</v>
      </c>
      <c r="E541">
        <v>35</v>
      </c>
      <c r="F541">
        <f t="shared" si="17"/>
        <v>1</v>
      </c>
    </row>
    <row r="542" spans="1:6" x14ac:dyDescent="0.35">
      <c r="A542" s="13" t="s">
        <v>295</v>
      </c>
      <c r="B542">
        <v>2022</v>
      </c>
      <c r="C542" t="str">
        <f t="shared" si="16"/>
        <v>Salgótarjáni járás2022</v>
      </c>
      <c r="D542" t="e">
        <f>#REF!</f>
        <v>#REF!</v>
      </c>
      <c r="E542">
        <v>122</v>
      </c>
      <c r="F542">
        <f t="shared" si="17"/>
        <v>2</v>
      </c>
    </row>
    <row r="543" spans="1:6" x14ac:dyDescent="0.35">
      <c r="A543" s="13" t="s">
        <v>297</v>
      </c>
      <c r="B543">
        <v>2022</v>
      </c>
      <c r="C543" t="str">
        <f t="shared" si="16"/>
        <v>Sárbogárdi járás2022</v>
      </c>
      <c r="D543" t="e">
        <f>#REF!</f>
        <v>#REF!</v>
      </c>
      <c r="E543">
        <v>52</v>
      </c>
      <c r="F543">
        <f t="shared" si="17"/>
        <v>1</v>
      </c>
    </row>
    <row r="544" spans="1:6" x14ac:dyDescent="0.35">
      <c r="A544" s="13" t="s">
        <v>299</v>
      </c>
      <c r="B544">
        <v>2022</v>
      </c>
      <c r="C544" t="str">
        <f t="shared" si="16"/>
        <v>Sarkadi járás2022</v>
      </c>
      <c r="D544" t="e">
        <f>#REF!</f>
        <v>#REF!</v>
      </c>
      <c r="E544">
        <v>160</v>
      </c>
      <c r="F544">
        <f t="shared" si="17"/>
        <v>3</v>
      </c>
    </row>
    <row r="545" spans="1:6" x14ac:dyDescent="0.35">
      <c r="A545" s="13" t="s">
        <v>301</v>
      </c>
      <c r="B545">
        <v>2022</v>
      </c>
      <c r="C545" t="str">
        <f t="shared" si="16"/>
        <v>Sárospataki járás2022</v>
      </c>
      <c r="D545" t="e">
        <f>#REF!</f>
        <v>#REF!</v>
      </c>
      <c r="E545">
        <v>78</v>
      </c>
      <c r="F545">
        <f t="shared" si="17"/>
        <v>2</v>
      </c>
    </row>
    <row r="546" spans="1:6" x14ac:dyDescent="0.35">
      <c r="A546" s="13" t="s">
        <v>303</v>
      </c>
      <c r="B546">
        <v>2022</v>
      </c>
      <c r="C546" t="str">
        <f t="shared" si="16"/>
        <v>Sárvári járás2022</v>
      </c>
      <c r="D546" t="e">
        <f>#REF!</f>
        <v>#REF!</v>
      </c>
      <c r="E546">
        <v>22</v>
      </c>
      <c r="F546">
        <f t="shared" si="17"/>
        <v>1</v>
      </c>
    </row>
    <row r="547" spans="1:6" x14ac:dyDescent="0.35">
      <c r="A547" s="13" t="s">
        <v>305</v>
      </c>
      <c r="B547">
        <v>2022</v>
      </c>
      <c r="C547" t="str">
        <f t="shared" si="16"/>
        <v>Sátoraljaújhelyi járás2022</v>
      </c>
      <c r="D547" t="e">
        <f>#REF!</f>
        <v>#REF!</v>
      </c>
      <c r="E547">
        <v>104</v>
      </c>
      <c r="F547">
        <f t="shared" si="17"/>
        <v>2</v>
      </c>
    </row>
    <row r="548" spans="1:6" x14ac:dyDescent="0.35">
      <c r="A548" s="13" t="s">
        <v>307</v>
      </c>
      <c r="B548">
        <v>2022</v>
      </c>
      <c r="C548" t="str">
        <f t="shared" si="16"/>
        <v>Sellyei járás2022</v>
      </c>
      <c r="D548" t="e">
        <f>#REF!</f>
        <v>#REF!</v>
      </c>
      <c r="E548">
        <v>161</v>
      </c>
      <c r="F548">
        <f t="shared" si="17"/>
        <v>3</v>
      </c>
    </row>
    <row r="549" spans="1:6" x14ac:dyDescent="0.35">
      <c r="A549" s="13" t="s">
        <v>309</v>
      </c>
      <c r="B549">
        <v>2022</v>
      </c>
      <c r="C549" t="str">
        <f t="shared" si="16"/>
        <v>Siklósi járás2022</v>
      </c>
      <c r="D549" t="e">
        <f>#REF!</f>
        <v>#REF!</v>
      </c>
      <c r="E549">
        <v>154</v>
      </c>
      <c r="F549">
        <f t="shared" si="17"/>
        <v>3</v>
      </c>
    </row>
    <row r="550" spans="1:6" x14ac:dyDescent="0.35">
      <c r="A550" s="13" t="s">
        <v>311</v>
      </c>
      <c r="B550">
        <v>2022</v>
      </c>
      <c r="C550" t="str">
        <f t="shared" si="16"/>
        <v>Siófoki járás2022</v>
      </c>
      <c r="D550" t="e">
        <f>#REF!</f>
        <v>#REF!</v>
      </c>
      <c r="E550">
        <v>108</v>
      </c>
      <c r="F550">
        <f t="shared" si="17"/>
        <v>2</v>
      </c>
    </row>
    <row r="551" spans="1:6" x14ac:dyDescent="0.35">
      <c r="A551" s="13" t="s">
        <v>313</v>
      </c>
      <c r="B551">
        <v>2022</v>
      </c>
      <c r="C551" t="str">
        <f t="shared" si="16"/>
        <v>Soproni járás2022</v>
      </c>
      <c r="D551" t="e">
        <f>#REF!</f>
        <v>#REF!</v>
      </c>
      <c r="E551">
        <v>197</v>
      </c>
      <c r="F551">
        <f t="shared" si="17"/>
        <v>3</v>
      </c>
    </row>
    <row r="552" spans="1:6" x14ac:dyDescent="0.35">
      <c r="A552" s="13" t="s">
        <v>315</v>
      </c>
      <c r="B552">
        <v>2022</v>
      </c>
      <c r="C552" t="str">
        <f t="shared" si="16"/>
        <v>Sümegi járás2022</v>
      </c>
      <c r="D552" t="e">
        <f>#REF!</f>
        <v>#REF!</v>
      </c>
      <c r="E552">
        <v>94</v>
      </c>
      <c r="F552">
        <f t="shared" si="17"/>
        <v>2</v>
      </c>
    </row>
    <row r="553" spans="1:6" x14ac:dyDescent="0.35">
      <c r="A553" s="13" t="s">
        <v>317</v>
      </c>
      <c r="B553">
        <v>2022</v>
      </c>
      <c r="C553" t="str">
        <f t="shared" si="16"/>
        <v>Szarvasi járás2022</v>
      </c>
      <c r="D553" t="e">
        <f>#REF!</f>
        <v>#REF!</v>
      </c>
      <c r="E553">
        <v>17</v>
      </c>
      <c r="F553">
        <f t="shared" si="17"/>
        <v>1</v>
      </c>
    </row>
    <row r="554" spans="1:6" x14ac:dyDescent="0.35">
      <c r="A554" s="13" t="s">
        <v>319</v>
      </c>
      <c r="B554">
        <v>2022</v>
      </c>
      <c r="C554" t="str">
        <f t="shared" si="16"/>
        <v>Szécsényi járás2022</v>
      </c>
      <c r="D554" t="e">
        <f>#REF!</f>
        <v>#REF!</v>
      </c>
      <c r="E554">
        <v>169</v>
      </c>
      <c r="F554">
        <f t="shared" si="17"/>
        <v>3</v>
      </c>
    </row>
    <row r="555" spans="1:6" x14ac:dyDescent="0.35">
      <c r="A555" s="13" t="s">
        <v>321</v>
      </c>
      <c r="B555">
        <v>2022</v>
      </c>
      <c r="C555" t="str">
        <f t="shared" si="16"/>
        <v>Szegedi járás2022</v>
      </c>
      <c r="D555" t="e">
        <f>#REF!</f>
        <v>#REF!</v>
      </c>
      <c r="E555">
        <v>123</v>
      </c>
      <c r="F555">
        <f t="shared" si="17"/>
        <v>2</v>
      </c>
    </row>
    <row r="556" spans="1:6" x14ac:dyDescent="0.35">
      <c r="A556" s="13" t="s">
        <v>323</v>
      </c>
      <c r="B556">
        <v>2022</v>
      </c>
      <c r="C556" t="str">
        <f t="shared" si="16"/>
        <v>Szeghalmi járás2022</v>
      </c>
      <c r="D556" t="e">
        <f>#REF!</f>
        <v>#REF!</v>
      </c>
      <c r="E556">
        <v>33</v>
      </c>
      <c r="F556">
        <f t="shared" si="17"/>
        <v>1</v>
      </c>
    </row>
    <row r="557" spans="1:6" x14ac:dyDescent="0.35">
      <c r="A557" s="13" t="s">
        <v>325</v>
      </c>
      <c r="B557">
        <v>2022</v>
      </c>
      <c r="C557" t="str">
        <f t="shared" si="16"/>
        <v>Székesfehérvári járás2022</v>
      </c>
      <c r="D557" t="e">
        <f>#REF!</f>
        <v>#REF!</v>
      </c>
      <c r="E557">
        <v>12</v>
      </c>
      <c r="F557">
        <f t="shared" si="17"/>
        <v>1</v>
      </c>
    </row>
    <row r="558" spans="1:6" x14ac:dyDescent="0.35">
      <c r="A558" s="13" t="s">
        <v>327</v>
      </c>
      <c r="B558">
        <v>2022</v>
      </c>
      <c r="C558" t="str">
        <f t="shared" si="16"/>
        <v>Szekszárdi járás2022</v>
      </c>
      <c r="D558" t="e">
        <f>#REF!</f>
        <v>#REF!</v>
      </c>
      <c r="E558">
        <v>80</v>
      </c>
      <c r="F558">
        <f t="shared" si="17"/>
        <v>2</v>
      </c>
    </row>
    <row r="559" spans="1:6" x14ac:dyDescent="0.35">
      <c r="A559" s="13" t="s">
        <v>329</v>
      </c>
      <c r="B559">
        <v>2022</v>
      </c>
      <c r="C559" t="str">
        <f t="shared" si="16"/>
        <v>Szentendrei járás2022</v>
      </c>
      <c r="D559" t="e">
        <f>#REF!</f>
        <v>#REF!</v>
      </c>
      <c r="E559">
        <v>76</v>
      </c>
      <c r="F559">
        <f t="shared" si="17"/>
        <v>2</v>
      </c>
    </row>
    <row r="560" spans="1:6" x14ac:dyDescent="0.35">
      <c r="A560" s="13" t="s">
        <v>331</v>
      </c>
      <c r="B560">
        <v>2022</v>
      </c>
      <c r="C560" t="str">
        <f t="shared" si="16"/>
        <v>Szentesi járás2022</v>
      </c>
      <c r="D560" t="e">
        <f>#REF!</f>
        <v>#REF!</v>
      </c>
      <c r="E560">
        <v>16</v>
      </c>
      <c r="F560">
        <f t="shared" si="17"/>
        <v>1</v>
      </c>
    </row>
    <row r="561" spans="1:6" x14ac:dyDescent="0.35">
      <c r="A561" s="13" t="s">
        <v>333</v>
      </c>
      <c r="B561">
        <v>2022</v>
      </c>
      <c r="C561" t="str">
        <f t="shared" si="16"/>
        <v>Szentgotthárdi járás2022</v>
      </c>
      <c r="D561" t="e">
        <f>#REF!</f>
        <v>#REF!</v>
      </c>
      <c r="E561">
        <v>189</v>
      </c>
      <c r="F561">
        <f t="shared" si="17"/>
        <v>3</v>
      </c>
    </row>
    <row r="562" spans="1:6" x14ac:dyDescent="0.35">
      <c r="A562" s="13" t="s">
        <v>335</v>
      </c>
      <c r="B562">
        <v>2022</v>
      </c>
      <c r="C562" t="str">
        <f t="shared" si="16"/>
        <v>Szentlőrinci járás2022</v>
      </c>
      <c r="D562" t="e">
        <f>#REF!</f>
        <v>#REF!</v>
      </c>
      <c r="E562">
        <v>124</v>
      </c>
      <c r="F562">
        <f t="shared" si="17"/>
        <v>2</v>
      </c>
    </row>
    <row r="563" spans="1:6" x14ac:dyDescent="0.35">
      <c r="A563" s="13" t="s">
        <v>337</v>
      </c>
      <c r="B563">
        <v>2022</v>
      </c>
      <c r="C563" t="str">
        <f t="shared" si="16"/>
        <v>Szerencsi járás2022</v>
      </c>
      <c r="D563" t="e">
        <f>#REF!</f>
        <v>#REF!</v>
      </c>
      <c r="E563">
        <v>148</v>
      </c>
      <c r="F563">
        <f t="shared" si="17"/>
        <v>3</v>
      </c>
    </row>
    <row r="564" spans="1:6" x14ac:dyDescent="0.35">
      <c r="A564" s="13" t="s">
        <v>339</v>
      </c>
      <c r="B564">
        <v>2022</v>
      </c>
      <c r="C564" t="str">
        <f t="shared" si="16"/>
        <v>Szigetszentmiklósi járás2022</v>
      </c>
      <c r="D564" t="e">
        <f>#REF!</f>
        <v>#REF!</v>
      </c>
      <c r="E564">
        <v>39</v>
      </c>
      <c r="F564">
        <f t="shared" si="17"/>
        <v>1</v>
      </c>
    </row>
    <row r="565" spans="1:6" x14ac:dyDescent="0.35">
      <c r="A565" s="13" t="s">
        <v>341</v>
      </c>
      <c r="B565">
        <v>2022</v>
      </c>
      <c r="C565" t="str">
        <f t="shared" si="16"/>
        <v>Szigetvári járás2022</v>
      </c>
      <c r="D565" t="e">
        <f>#REF!</f>
        <v>#REF!</v>
      </c>
      <c r="E565">
        <v>152</v>
      </c>
      <c r="F565">
        <f t="shared" si="17"/>
        <v>3</v>
      </c>
    </row>
    <row r="566" spans="1:6" x14ac:dyDescent="0.35">
      <c r="A566" s="13" t="s">
        <v>343</v>
      </c>
      <c r="B566">
        <v>2022</v>
      </c>
      <c r="C566" t="str">
        <f t="shared" si="16"/>
        <v>Szikszói járás2022</v>
      </c>
      <c r="D566" t="e">
        <f>#REF!</f>
        <v>#REF!</v>
      </c>
      <c r="E566">
        <v>168</v>
      </c>
      <c r="F566">
        <f t="shared" si="17"/>
        <v>3</v>
      </c>
    </row>
    <row r="567" spans="1:6" x14ac:dyDescent="0.35">
      <c r="A567" s="13" t="s">
        <v>345</v>
      </c>
      <c r="B567">
        <v>2022</v>
      </c>
      <c r="C567" t="str">
        <f t="shared" si="16"/>
        <v>Szobi járás2022</v>
      </c>
      <c r="D567" t="e">
        <f>#REF!</f>
        <v>#REF!</v>
      </c>
      <c r="E567">
        <v>106</v>
      </c>
      <c r="F567">
        <f t="shared" si="17"/>
        <v>2</v>
      </c>
    </row>
    <row r="568" spans="1:6" x14ac:dyDescent="0.35">
      <c r="A568" s="13" t="s">
        <v>347</v>
      </c>
      <c r="B568">
        <v>2022</v>
      </c>
      <c r="C568" t="str">
        <f t="shared" si="16"/>
        <v>Szolnoki járás2022</v>
      </c>
      <c r="D568" t="e">
        <f>#REF!</f>
        <v>#REF!</v>
      </c>
      <c r="E568">
        <v>25</v>
      </c>
      <c r="F568">
        <f t="shared" si="17"/>
        <v>1</v>
      </c>
    </row>
    <row r="569" spans="1:6" x14ac:dyDescent="0.35">
      <c r="A569" s="13" t="s">
        <v>349</v>
      </c>
      <c r="B569">
        <v>2022</v>
      </c>
      <c r="C569" t="str">
        <f t="shared" si="16"/>
        <v>Szombathelyi járás2022</v>
      </c>
      <c r="D569" t="e">
        <f>#REF!</f>
        <v>#REF!</v>
      </c>
      <c r="E569">
        <v>90</v>
      </c>
      <c r="F569">
        <f t="shared" si="17"/>
        <v>2</v>
      </c>
    </row>
    <row r="570" spans="1:6" x14ac:dyDescent="0.35">
      <c r="A570" s="13" t="s">
        <v>351</v>
      </c>
      <c r="B570">
        <v>2022</v>
      </c>
      <c r="C570" t="str">
        <f t="shared" si="16"/>
        <v>Tabi járás2022</v>
      </c>
      <c r="D570" t="e">
        <f>#REF!</f>
        <v>#REF!</v>
      </c>
      <c r="E570">
        <v>111</v>
      </c>
      <c r="F570">
        <f t="shared" si="17"/>
        <v>2</v>
      </c>
    </row>
    <row r="571" spans="1:6" x14ac:dyDescent="0.35">
      <c r="A571" s="13" t="s">
        <v>353</v>
      </c>
      <c r="B571">
        <v>2022</v>
      </c>
      <c r="C571" t="str">
        <f t="shared" si="16"/>
        <v>Tamási járás2022</v>
      </c>
      <c r="D571" t="e">
        <f>#REF!</f>
        <v>#REF!</v>
      </c>
      <c r="E571">
        <v>159</v>
      </c>
      <c r="F571">
        <f t="shared" si="17"/>
        <v>3</v>
      </c>
    </row>
    <row r="572" spans="1:6" x14ac:dyDescent="0.35">
      <c r="A572" s="13" t="s">
        <v>355</v>
      </c>
      <c r="B572">
        <v>2022</v>
      </c>
      <c r="C572" t="str">
        <f t="shared" si="16"/>
        <v>Tapolcai járás2022</v>
      </c>
      <c r="D572" t="e">
        <f>#REF!</f>
        <v>#REF!</v>
      </c>
      <c r="E572">
        <v>77</v>
      </c>
      <c r="F572">
        <f t="shared" si="17"/>
        <v>2</v>
      </c>
    </row>
    <row r="573" spans="1:6" x14ac:dyDescent="0.35">
      <c r="A573" s="13" t="s">
        <v>357</v>
      </c>
      <c r="B573">
        <v>2022</v>
      </c>
      <c r="C573" t="str">
        <f t="shared" si="16"/>
        <v>Tatabányai járás2022</v>
      </c>
      <c r="D573" t="e">
        <f>#REF!</f>
        <v>#REF!</v>
      </c>
      <c r="E573">
        <v>20</v>
      </c>
      <c r="F573">
        <f t="shared" si="17"/>
        <v>1</v>
      </c>
    </row>
    <row r="574" spans="1:6" x14ac:dyDescent="0.35">
      <c r="A574" s="13" t="s">
        <v>359</v>
      </c>
      <c r="B574">
        <v>2022</v>
      </c>
      <c r="C574" t="str">
        <f t="shared" si="16"/>
        <v>Tatai járás2022</v>
      </c>
      <c r="D574" t="e">
        <f>#REF!</f>
        <v>#REF!</v>
      </c>
      <c r="E574">
        <v>15</v>
      </c>
      <c r="F574">
        <f t="shared" si="17"/>
        <v>1</v>
      </c>
    </row>
    <row r="575" spans="1:6" x14ac:dyDescent="0.35">
      <c r="A575" s="13" t="s">
        <v>361</v>
      </c>
      <c r="B575">
        <v>2022</v>
      </c>
      <c r="C575" t="str">
        <f t="shared" si="16"/>
        <v>Téti járás2022</v>
      </c>
      <c r="D575" t="e">
        <f>#REF!</f>
        <v>#REF!</v>
      </c>
      <c r="E575">
        <v>8</v>
      </c>
      <c r="F575">
        <f t="shared" si="17"/>
        <v>1</v>
      </c>
    </row>
    <row r="576" spans="1:6" x14ac:dyDescent="0.35">
      <c r="A576" s="13" t="s">
        <v>363</v>
      </c>
      <c r="B576">
        <v>2022</v>
      </c>
      <c r="C576" t="str">
        <f t="shared" si="16"/>
        <v>Tiszafüredi járás2022</v>
      </c>
      <c r="D576" t="e">
        <f>#REF!</f>
        <v>#REF!</v>
      </c>
      <c r="E576">
        <v>96</v>
      </c>
      <c r="F576">
        <f t="shared" si="17"/>
        <v>2</v>
      </c>
    </row>
    <row r="577" spans="1:6" x14ac:dyDescent="0.35">
      <c r="A577" s="13" t="s">
        <v>365</v>
      </c>
      <c r="B577">
        <v>2022</v>
      </c>
      <c r="C577" t="str">
        <f t="shared" si="16"/>
        <v>Tiszakécskei járás2022</v>
      </c>
      <c r="D577" t="e">
        <f>#REF!</f>
        <v>#REF!</v>
      </c>
      <c r="E577">
        <v>56</v>
      </c>
      <c r="F577">
        <f t="shared" si="17"/>
        <v>1</v>
      </c>
    </row>
    <row r="578" spans="1:6" x14ac:dyDescent="0.35">
      <c r="A578" s="13" t="s">
        <v>367</v>
      </c>
      <c r="B578">
        <v>2022</v>
      </c>
      <c r="C578" t="str">
        <f t="shared" si="16"/>
        <v>Tiszaújvárosi járás2022</v>
      </c>
      <c r="D578" t="e">
        <f>#REF!</f>
        <v>#REF!</v>
      </c>
      <c r="E578">
        <v>63</v>
      </c>
      <c r="F578">
        <f t="shared" si="17"/>
        <v>1</v>
      </c>
    </row>
    <row r="579" spans="1:6" x14ac:dyDescent="0.35">
      <c r="A579" s="13" t="s">
        <v>369</v>
      </c>
      <c r="B579">
        <v>2022</v>
      </c>
      <c r="C579" t="str">
        <f t="shared" ref="C579:C642" si="18">A579&amp;B579</f>
        <v>Tiszavasvári járás2022</v>
      </c>
      <c r="D579" t="e">
        <f>#REF!</f>
        <v>#REF!</v>
      </c>
      <c r="E579">
        <v>187</v>
      </c>
      <c r="F579">
        <f t="shared" ref="F579:F642" si="19">IF(E579&lt;66,1,IF(E579&lt;132,2,3))</f>
        <v>3</v>
      </c>
    </row>
    <row r="580" spans="1:6" x14ac:dyDescent="0.35">
      <c r="A580" s="13" t="s">
        <v>371</v>
      </c>
      <c r="B580">
        <v>2022</v>
      </c>
      <c r="C580" t="str">
        <f t="shared" si="18"/>
        <v>Tokaji járás2022</v>
      </c>
      <c r="D580" t="e">
        <f>#REF!</f>
        <v>#REF!</v>
      </c>
      <c r="E580">
        <v>129</v>
      </c>
      <c r="F580">
        <f t="shared" si="19"/>
        <v>2</v>
      </c>
    </row>
    <row r="581" spans="1:6" x14ac:dyDescent="0.35">
      <c r="A581" s="13" t="s">
        <v>373</v>
      </c>
      <c r="B581">
        <v>2022</v>
      </c>
      <c r="C581" t="str">
        <f t="shared" si="18"/>
        <v>Tolnai járás2022</v>
      </c>
      <c r="D581" t="e">
        <f>#REF!</f>
        <v>#REF!</v>
      </c>
      <c r="E581">
        <v>100</v>
      </c>
      <c r="F581">
        <f t="shared" si="19"/>
        <v>2</v>
      </c>
    </row>
    <row r="582" spans="1:6" x14ac:dyDescent="0.35">
      <c r="A582" s="13" t="s">
        <v>375</v>
      </c>
      <c r="B582">
        <v>2022</v>
      </c>
      <c r="C582" t="str">
        <f t="shared" si="18"/>
        <v>Törökszentmiklósi járás2022</v>
      </c>
      <c r="D582" t="e">
        <f>#REF!</f>
        <v>#REF!</v>
      </c>
      <c r="E582">
        <v>74</v>
      </c>
      <c r="F582">
        <f t="shared" si="19"/>
        <v>2</v>
      </c>
    </row>
    <row r="583" spans="1:6" x14ac:dyDescent="0.35">
      <c r="A583" s="13" t="s">
        <v>377</v>
      </c>
      <c r="B583">
        <v>2022</v>
      </c>
      <c r="C583" t="str">
        <f t="shared" si="18"/>
        <v>Váci járás2022</v>
      </c>
      <c r="D583" t="e">
        <f>#REF!</f>
        <v>#REF!</v>
      </c>
      <c r="E583">
        <v>64</v>
      </c>
      <c r="F583">
        <f t="shared" si="19"/>
        <v>1</v>
      </c>
    </row>
    <row r="584" spans="1:6" x14ac:dyDescent="0.35">
      <c r="A584" s="13" t="s">
        <v>379</v>
      </c>
      <c r="B584">
        <v>2022</v>
      </c>
      <c r="C584" t="str">
        <f t="shared" si="18"/>
        <v>Várpalotai járás2022</v>
      </c>
      <c r="D584" t="e">
        <f>#REF!</f>
        <v>#REF!</v>
      </c>
      <c r="E584">
        <v>9</v>
      </c>
      <c r="F584">
        <f t="shared" si="19"/>
        <v>1</v>
      </c>
    </row>
    <row r="585" spans="1:6" x14ac:dyDescent="0.35">
      <c r="A585" s="13" t="s">
        <v>381</v>
      </c>
      <c r="B585">
        <v>2022</v>
      </c>
      <c r="C585" t="str">
        <f t="shared" si="18"/>
        <v>Vásárosnaményi járás2022</v>
      </c>
      <c r="D585" t="e">
        <f>#REF!</f>
        <v>#REF!</v>
      </c>
      <c r="E585">
        <v>180</v>
      </c>
      <c r="F585">
        <f t="shared" si="19"/>
        <v>3</v>
      </c>
    </row>
    <row r="586" spans="1:6" x14ac:dyDescent="0.35">
      <c r="A586" s="13" t="s">
        <v>383</v>
      </c>
      <c r="B586">
        <v>2022</v>
      </c>
      <c r="C586" t="str">
        <f t="shared" si="18"/>
        <v>Vasvári járás2022</v>
      </c>
      <c r="D586" t="e">
        <f>#REF!</f>
        <v>#REF!</v>
      </c>
      <c r="E586">
        <v>55</v>
      </c>
      <c r="F586">
        <f t="shared" si="19"/>
        <v>1</v>
      </c>
    </row>
    <row r="587" spans="1:6" x14ac:dyDescent="0.35">
      <c r="A587" s="13" t="s">
        <v>385</v>
      </c>
      <c r="B587">
        <v>2022</v>
      </c>
      <c r="C587" t="str">
        <f t="shared" si="18"/>
        <v>Vecsési járás2022</v>
      </c>
      <c r="D587" t="e">
        <f>#REF!</f>
        <v>#REF!</v>
      </c>
      <c r="E587">
        <v>19</v>
      </c>
      <c r="F587">
        <f t="shared" si="19"/>
        <v>1</v>
      </c>
    </row>
    <row r="588" spans="1:6" x14ac:dyDescent="0.35">
      <c r="A588" s="13" t="s">
        <v>387</v>
      </c>
      <c r="B588">
        <v>2022</v>
      </c>
      <c r="C588" t="str">
        <f t="shared" si="18"/>
        <v>Veszprémi járás2022</v>
      </c>
      <c r="D588" t="e">
        <f>#REF!</f>
        <v>#REF!</v>
      </c>
      <c r="E588">
        <v>43</v>
      </c>
      <c r="F588">
        <f t="shared" si="19"/>
        <v>1</v>
      </c>
    </row>
    <row r="589" spans="1:6" x14ac:dyDescent="0.35">
      <c r="A589" s="13" t="s">
        <v>389</v>
      </c>
      <c r="B589">
        <v>2022</v>
      </c>
      <c r="C589" t="str">
        <f t="shared" si="18"/>
        <v>Záhonyi járás2022</v>
      </c>
      <c r="D589" t="e">
        <f>#REF!</f>
        <v>#REF!</v>
      </c>
      <c r="E589">
        <v>145</v>
      </c>
      <c r="F589">
        <f t="shared" si="19"/>
        <v>3</v>
      </c>
    </row>
    <row r="590" spans="1:6" x14ac:dyDescent="0.35">
      <c r="A590" s="13" t="s">
        <v>391</v>
      </c>
      <c r="B590">
        <v>2022</v>
      </c>
      <c r="C590" t="str">
        <f t="shared" si="18"/>
        <v>Zalaegerszegi járás2022</v>
      </c>
      <c r="D590" t="e">
        <f>#REF!</f>
        <v>#REF!</v>
      </c>
      <c r="E590">
        <v>31</v>
      </c>
      <c r="F590">
        <f t="shared" si="19"/>
        <v>1</v>
      </c>
    </row>
    <row r="591" spans="1:6" x14ac:dyDescent="0.35">
      <c r="A591" s="13" t="s">
        <v>393</v>
      </c>
      <c r="B591">
        <v>2022</v>
      </c>
      <c r="C591" t="str">
        <f t="shared" si="18"/>
        <v>Zalaszentgróti járás2022</v>
      </c>
      <c r="D591" t="e">
        <f>#REF!</f>
        <v>#REF!</v>
      </c>
      <c r="E591">
        <v>113</v>
      </c>
      <c r="F591">
        <f t="shared" si="19"/>
        <v>2</v>
      </c>
    </row>
    <row r="592" spans="1:6" x14ac:dyDescent="0.35">
      <c r="A592" s="13" t="s">
        <v>395</v>
      </c>
      <c r="B592">
        <v>2022</v>
      </c>
      <c r="C592" t="str">
        <f t="shared" si="18"/>
        <v>Zirci járás2022</v>
      </c>
      <c r="D592" t="e">
        <f>#REF!</f>
        <v>#REF!</v>
      </c>
      <c r="E592">
        <v>6</v>
      </c>
      <c r="F592">
        <f t="shared" si="19"/>
        <v>1</v>
      </c>
    </row>
    <row r="593" spans="1:6" x14ac:dyDescent="0.35">
      <c r="A593" t="s">
        <v>1</v>
      </c>
      <c r="B593">
        <v>2024</v>
      </c>
      <c r="C593" t="str">
        <f t="shared" si="18"/>
        <v>Ajkai járás2024</v>
      </c>
      <c r="D593">
        <v>0.32003129758078164</v>
      </c>
      <c r="E593">
        <v>44</v>
      </c>
      <c r="F593">
        <f t="shared" si="19"/>
        <v>1</v>
      </c>
    </row>
    <row r="594" spans="1:6" x14ac:dyDescent="0.35">
      <c r="A594" t="s">
        <v>3</v>
      </c>
      <c r="B594">
        <v>2024</v>
      </c>
      <c r="C594" t="str">
        <f t="shared" si="18"/>
        <v>Aszódi járás2024</v>
      </c>
      <c r="D594">
        <v>0.33675663044748211</v>
      </c>
      <c r="E594">
        <v>59</v>
      </c>
      <c r="F594">
        <f t="shared" si="19"/>
        <v>1</v>
      </c>
    </row>
    <row r="595" spans="1:6" x14ac:dyDescent="0.35">
      <c r="A595" t="s">
        <v>5</v>
      </c>
      <c r="B595">
        <v>2024</v>
      </c>
      <c r="C595" t="str">
        <f t="shared" si="18"/>
        <v>Bácsalmási járás2024</v>
      </c>
      <c r="D595">
        <v>0.46772635814889335</v>
      </c>
      <c r="E595">
        <v>175</v>
      </c>
      <c r="F595">
        <f t="shared" si="19"/>
        <v>3</v>
      </c>
    </row>
    <row r="596" spans="1:6" x14ac:dyDescent="0.35">
      <c r="A596" t="s">
        <v>7</v>
      </c>
      <c r="B596">
        <v>2024</v>
      </c>
      <c r="C596" t="str">
        <f t="shared" si="18"/>
        <v>Bajai járás2024</v>
      </c>
      <c r="D596">
        <v>0.42961141439205958</v>
      </c>
      <c r="E596">
        <v>146</v>
      </c>
      <c r="F596">
        <f t="shared" si="19"/>
        <v>3</v>
      </c>
    </row>
    <row r="597" spans="1:6" x14ac:dyDescent="0.35">
      <c r="A597" t="s">
        <v>9</v>
      </c>
      <c r="B597">
        <v>2024</v>
      </c>
      <c r="C597" t="str">
        <f t="shared" si="18"/>
        <v>Baktalórántházai járás2024</v>
      </c>
      <c r="D597">
        <v>0.44722116903633496</v>
      </c>
      <c r="E597">
        <v>159</v>
      </c>
      <c r="F597">
        <f t="shared" si="19"/>
        <v>3</v>
      </c>
    </row>
    <row r="598" spans="1:6" x14ac:dyDescent="0.35">
      <c r="A598" t="s">
        <v>11</v>
      </c>
      <c r="B598">
        <v>2024</v>
      </c>
      <c r="C598" t="str">
        <f t="shared" si="18"/>
        <v>Balassagyarmati járás2024</v>
      </c>
      <c r="D598">
        <v>0.34656820375110142</v>
      </c>
      <c r="E598">
        <v>68</v>
      </c>
      <c r="F598">
        <f t="shared" si="19"/>
        <v>2</v>
      </c>
    </row>
    <row r="599" spans="1:6" x14ac:dyDescent="0.35">
      <c r="A599" t="s">
        <v>13</v>
      </c>
      <c r="B599">
        <v>2024</v>
      </c>
      <c r="C599" t="str">
        <f t="shared" si="18"/>
        <v>Balatonalmádi járás2024</v>
      </c>
      <c r="D599">
        <v>0.32627283105022836</v>
      </c>
      <c r="E599">
        <v>49</v>
      </c>
      <c r="F599">
        <f t="shared" si="19"/>
        <v>1</v>
      </c>
    </row>
    <row r="600" spans="1:6" x14ac:dyDescent="0.35">
      <c r="A600" t="s">
        <v>15</v>
      </c>
      <c r="B600">
        <v>2024</v>
      </c>
      <c r="C600" t="str">
        <f t="shared" si="18"/>
        <v>Balatonfüredi járás2024</v>
      </c>
      <c r="D600">
        <v>0.34451403755581383</v>
      </c>
      <c r="E600">
        <v>67</v>
      </c>
      <c r="F600">
        <f t="shared" si="19"/>
        <v>2</v>
      </c>
    </row>
    <row r="601" spans="1:6" x14ac:dyDescent="0.35">
      <c r="A601" t="s">
        <v>17</v>
      </c>
      <c r="B601">
        <v>2024</v>
      </c>
      <c r="C601" t="str">
        <f t="shared" si="18"/>
        <v>Balmazújvárosi járás2024</v>
      </c>
      <c r="D601">
        <v>0.39864403313222208</v>
      </c>
      <c r="E601">
        <v>113</v>
      </c>
      <c r="F601">
        <f t="shared" si="19"/>
        <v>2</v>
      </c>
    </row>
    <row r="602" spans="1:6" x14ac:dyDescent="0.35">
      <c r="A602" t="s">
        <v>19</v>
      </c>
      <c r="B602">
        <v>2024</v>
      </c>
      <c r="C602" t="str">
        <f t="shared" si="18"/>
        <v>Barcsi járás2024</v>
      </c>
      <c r="D602">
        <v>0.51521264328834016</v>
      </c>
      <c r="E602">
        <v>193</v>
      </c>
      <c r="F602">
        <f t="shared" si="19"/>
        <v>3</v>
      </c>
    </row>
    <row r="603" spans="1:6" x14ac:dyDescent="0.35">
      <c r="A603" t="s">
        <v>21</v>
      </c>
      <c r="B603">
        <v>2024</v>
      </c>
      <c r="C603" t="str">
        <f t="shared" si="18"/>
        <v>Bátonyterenyei járás2024</v>
      </c>
      <c r="D603">
        <v>0.40962393853619083</v>
      </c>
      <c r="E603">
        <v>122</v>
      </c>
      <c r="F603">
        <f t="shared" si="19"/>
        <v>2</v>
      </c>
    </row>
    <row r="604" spans="1:6" x14ac:dyDescent="0.35">
      <c r="A604" t="s">
        <v>23</v>
      </c>
      <c r="B604">
        <v>2024</v>
      </c>
      <c r="C604" t="str">
        <f t="shared" si="18"/>
        <v>Békéscsabai járás2024</v>
      </c>
      <c r="D604">
        <v>0.34776834727652073</v>
      </c>
      <c r="E604">
        <v>69</v>
      </c>
      <c r="F604">
        <f t="shared" si="19"/>
        <v>2</v>
      </c>
    </row>
    <row r="605" spans="1:6" x14ac:dyDescent="0.35">
      <c r="A605" t="s">
        <v>25</v>
      </c>
      <c r="B605">
        <v>2024</v>
      </c>
      <c r="C605" t="str">
        <f t="shared" si="18"/>
        <v>Békési járás2024</v>
      </c>
      <c r="D605">
        <v>0.3907891156462584</v>
      </c>
      <c r="E605">
        <v>107</v>
      </c>
      <c r="F605">
        <f t="shared" si="19"/>
        <v>2</v>
      </c>
    </row>
    <row r="606" spans="1:6" x14ac:dyDescent="0.35">
      <c r="A606" t="s">
        <v>27</v>
      </c>
      <c r="B606">
        <v>2024</v>
      </c>
      <c r="C606" t="str">
        <f t="shared" si="18"/>
        <v>Bélapátfalvai járás2024</v>
      </c>
      <c r="D606">
        <v>0.38972047917855107</v>
      </c>
      <c r="E606">
        <v>105</v>
      </c>
      <c r="F606">
        <f t="shared" si="19"/>
        <v>2</v>
      </c>
    </row>
    <row r="607" spans="1:6" x14ac:dyDescent="0.35">
      <c r="A607" t="s">
        <v>29</v>
      </c>
      <c r="B607">
        <v>2024</v>
      </c>
      <c r="C607" t="str">
        <f t="shared" si="18"/>
        <v>Berettyóújfalui járás2024</v>
      </c>
      <c r="D607">
        <v>0.48250903319488064</v>
      </c>
      <c r="E607">
        <v>180</v>
      </c>
      <c r="F607">
        <f t="shared" si="19"/>
        <v>3</v>
      </c>
    </row>
    <row r="608" spans="1:6" x14ac:dyDescent="0.35">
      <c r="A608" t="s">
        <v>31</v>
      </c>
      <c r="B608">
        <v>2024</v>
      </c>
      <c r="C608" t="str">
        <f t="shared" si="18"/>
        <v>Bicskei járás2024</v>
      </c>
      <c r="D608">
        <v>0.3375774249331866</v>
      </c>
      <c r="E608">
        <v>60</v>
      </c>
      <c r="F608">
        <f t="shared" si="19"/>
        <v>1</v>
      </c>
    </row>
    <row r="609" spans="1:6" x14ac:dyDescent="0.35">
      <c r="A609" t="s">
        <v>33</v>
      </c>
      <c r="B609">
        <v>2024</v>
      </c>
      <c r="C609" t="str">
        <f t="shared" si="18"/>
        <v>Bólyi járás2024</v>
      </c>
      <c r="D609">
        <v>0.42358424859362431</v>
      </c>
      <c r="E609">
        <v>135</v>
      </c>
      <c r="F609">
        <f t="shared" si="19"/>
        <v>3</v>
      </c>
    </row>
    <row r="610" spans="1:6" x14ac:dyDescent="0.35">
      <c r="A610" t="s">
        <v>35</v>
      </c>
      <c r="B610">
        <v>2024</v>
      </c>
      <c r="C610" t="str">
        <f t="shared" si="18"/>
        <v>Bonyhádi járás2024</v>
      </c>
      <c r="D610">
        <v>0.42802384823848239</v>
      </c>
      <c r="E610">
        <v>143</v>
      </c>
      <c r="F610">
        <f t="shared" si="19"/>
        <v>3</v>
      </c>
    </row>
    <row r="611" spans="1:6" x14ac:dyDescent="0.35">
      <c r="A611" t="s">
        <v>37</v>
      </c>
      <c r="B611">
        <v>2024</v>
      </c>
      <c r="C611" t="str">
        <f t="shared" si="18"/>
        <v>Budakeszi járás2024</v>
      </c>
      <c r="D611">
        <v>0.31590082696306032</v>
      </c>
      <c r="E611">
        <v>36</v>
      </c>
      <c r="F611">
        <f t="shared" si="19"/>
        <v>1</v>
      </c>
    </row>
    <row r="612" spans="1:6" x14ac:dyDescent="0.35">
      <c r="A612" t="s">
        <v>41</v>
      </c>
      <c r="B612">
        <v>2024</v>
      </c>
      <c r="C612" t="str">
        <f t="shared" si="18"/>
        <v>Budapest 01. ker. járás2024</v>
      </c>
      <c r="D612">
        <v>0.32441139240506328</v>
      </c>
      <c r="E612">
        <v>48</v>
      </c>
      <c r="F612">
        <f t="shared" si="19"/>
        <v>1</v>
      </c>
    </row>
    <row r="613" spans="1:6" x14ac:dyDescent="0.35">
      <c r="A613" t="s">
        <v>43</v>
      </c>
      <c r="B613">
        <v>2024</v>
      </c>
      <c r="C613" t="str">
        <f t="shared" si="18"/>
        <v>Budapest 02. ker. járás2024</v>
      </c>
      <c r="D613">
        <v>0.3140438102893891</v>
      </c>
      <c r="E613">
        <v>35</v>
      </c>
      <c r="F613">
        <f t="shared" si="19"/>
        <v>1</v>
      </c>
    </row>
    <row r="614" spans="1:6" x14ac:dyDescent="0.35">
      <c r="A614" t="s">
        <v>45</v>
      </c>
      <c r="B614">
        <v>2024</v>
      </c>
      <c r="C614" t="str">
        <f t="shared" si="18"/>
        <v>Budapest 03. ker. járás2024</v>
      </c>
      <c r="D614">
        <v>0.28575243063177058</v>
      </c>
      <c r="E614">
        <v>7</v>
      </c>
      <c r="F614">
        <f t="shared" si="19"/>
        <v>1</v>
      </c>
    </row>
    <row r="615" spans="1:6" x14ac:dyDescent="0.35">
      <c r="A615" t="s">
        <v>47</v>
      </c>
      <c r="B615">
        <v>2024</v>
      </c>
      <c r="C615" t="str">
        <f t="shared" si="18"/>
        <v>Budapest 04. ker. járás2024</v>
      </c>
      <c r="D615">
        <v>0.29026105221044202</v>
      </c>
      <c r="E615">
        <v>9</v>
      </c>
      <c r="F615">
        <f t="shared" si="19"/>
        <v>1</v>
      </c>
    </row>
    <row r="616" spans="1:6" x14ac:dyDescent="0.35">
      <c r="A616" t="s">
        <v>49</v>
      </c>
      <c r="B616">
        <v>2024</v>
      </c>
      <c r="C616" t="str">
        <f t="shared" si="18"/>
        <v>Budapest 05. ker. járás2024</v>
      </c>
      <c r="D616">
        <v>0.39058844743643684</v>
      </c>
      <c r="E616">
        <v>106</v>
      </c>
      <c r="F616">
        <f t="shared" si="19"/>
        <v>2</v>
      </c>
    </row>
    <row r="617" spans="1:6" x14ac:dyDescent="0.35">
      <c r="A617" t="s">
        <v>51</v>
      </c>
      <c r="B617">
        <v>2024</v>
      </c>
      <c r="C617" t="str">
        <f t="shared" si="18"/>
        <v>Budapest 06. ker. járás2024</v>
      </c>
      <c r="D617">
        <v>0.42586042854334571</v>
      </c>
      <c r="E617">
        <v>141</v>
      </c>
      <c r="F617">
        <f t="shared" si="19"/>
        <v>3</v>
      </c>
    </row>
    <row r="618" spans="1:6" x14ac:dyDescent="0.35">
      <c r="A618" t="s">
        <v>53</v>
      </c>
      <c r="B618">
        <v>2024</v>
      </c>
      <c r="C618" t="str">
        <f t="shared" si="18"/>
        <v>Budapest 07. ker. járás2024</v>
      </c>
      <c r="D618">
        <v>0.4180921242983624</v>
      </c>
      <c r="E618">
        <v>128</v>
      </c>
      <c r="F618">
        <f t="shared" si="19"/>
        <v>2</v>
      </c>
    </row>
    <row r="619" spans="1:6" x14ac:dyDescent="0.35">
      <c r="A619" t="s">
        <v>55</v>
      </c>
      <c r="B619">
        <v>2024</v>
      </c>
      <c r="C619" t="str">
        <f t="shared" si="18"/>
        <v>Budapest 08. ker. járás2024</v>
      </c>
      <c r="D619">
        <v>0.41282404305005588</v>
      </c>
      <c r="E619">
        <v>124</v>
      </c>
      <c r="F619">
        <f t="shared" si="19"/>
        <v>2</v>
      </c>
    </row>
    <row r="620" spans="1:6" x14ac:dyDescent="0.35">
      <c r="A620" t="s">
        <v>57</v>
      </c>
      <c r="B620">
        <v>2024</v>
      </c>
      <c r="C620" t="str">
        <f t="shared" si="18"/>
        <v>Budapest 09. ker. járás2024</v>
      </c>
      <c r="D620">
        <v>0.34064672594987866</v>
      </c>
      <c r="E620">
        <v>64</v>
      </c>
      <c r="F620">
        <f t="shared" si="19"/>
        <v>1</v>
      </c>
    </row>
    <row r="621" spans="1:6" x14ac:dyDescent="0.35">
      <c r="A621" t="s">
        <v>59</v>
      </c>
      <c r="B621">
        <v>2024</v>
      </c>
      <c r="C621" t="str">
        <f t="shared" si="18"/>
        <v>Budapest 10. ker. járás2024</v>
      </c>
      <c r="D621">
        <v>0.29631325614674126</v>
      </c>
      <c r="E621">
        <v>17</v>
      </c>
      <c r="F621">
        <f t="shared" si="19"/>
        <v>1</v>
      </c>
    </row>
    <row r="622" spans="1:6" x14ac:dyDescent="0.35">
      <c r="A622" t="s">
        <v>61</v>
      </c>
      <c r="B622">
        <v>2024</v>
      </c>
      <c r="C622" t="str">
        <f t="shared" si="18"/>
        <v>Budapest 11. ker. járás2024</v>
      </c>
      <c r="D622">
        <v>0.2671652539751283</v>
      </c>
      <c r="E622">
        <v>2</v>
      </c>
      <c r="F622">
        <f t="shared" si="19"/>
        <v>1</v>
      </c>
    </row>
    <row r="623" spans="1:6" x14ac:dyDescent="0.35">
      <c r="A623" t="s">
        <v>63</v>
      </c>
      <c r="B623">
        <v>2024</v>
      </c>
      <c r="C623" t="str">
        <f t="shared" si="18"/>
        <v>Budapest 12. ker. járás2024</v>
      </c>
      <c r="D623">
        <v>0.3089567055795569</v>
      </c>
      <c r="E623">
        <v>28</v>
      </c>
      <c r="F623">
        <f t="shared" si="19"/>
        <v>1</v>
      </c>
    </row>
    <row r="624" spans="1:6" x14ac:dyDescent="0.35">
      <c r="A624" t="s">
        <v>65</v>
      </c>
      <c r="B624">
        <v>2024</v>
      </c>
      <c r="C624" t="str">
        <f t="shared" si="18"/>
        <v>Budapest 13. ker. járás2024</v>
      </c>
      <c r="D624">
        <v>0.28416847722508093</v>
      </c>
      <c r="E624">
        <v>6</v>
      </c>
      <c r="F624">
        <f t="shared" si="19"/>
        <v>1</v>
      </c>
    </row>
    <row r="625" spans="1:6" x14ac:dyDescent="0.35">
      <c r="A625" t="s">
        <v>67</v>
      </c>
      <c r="B625">
        <v>2024</v>
      </c>
      <c r="C625" t="str">
        <f t="shared" si="18"/>
        <v>Budapest 14. ker. járás2024</v>
      </c>
      <c r="D625">
        <v>0.29354117040689814</v>
      </c>
      <c r="E625">
        <v>15</v>
      </c>
      <c r="F625">
        <f t="shared" si="19"/>
        <v>1</v>
      </c>
    </row>
    <row r="626" spans="1:6" x14ac:dyDescent="0.35">
      <c r="A626" t="s">
        <v>69</v>
      </c>
      <c r="B626">
        <v>2024</v>
      </c>
      <c r="C626" t="str">
        <f t="shared" si="18"/>
        <v>Budapest 15. ker. járás2024</v>
      </c>
      <c r="D626">
        <v>0.31123464930355232</v>
      </c>
      <c r="E626">
        <v>31</v>
      </c>
      <c r="F626">
        <f t="shared" si="19"/>
        <v>1</v>
      </c>
    </row>
    <row r="627" spans="1:6" x14ac:dyDescent="0.35">
      <c r="A627" t="s">
        <v>71</v>
      </c>
      <c r="B627">
        <v>2024</v>
      </c>
      <c r="C627" t="str">
        <f t="shared" si="18"/>
        <v>Budapest 16. ker. járás2024</v>
      </c>
      <c r="D627">
        <v>0.29217575177510186</v>
      </c>
      <c r="E627">
        <v>11</v>
      </c>
      <c r="F627">
        <f t="shared" si="19"/>
        <v>1</v>
      </c>
    </row>
    <row r="628" spans="1:6" x14ac:dyDescent="0.35">
      <c r="A628" t="s">
        <v>73</v>
      </c>
      <c r="B628">
        <v>2024</v>
      </c>
      <c r="C628" t="str">
        <f t="shared" si="18"/>
        <v>Budapest 17. ker. járás2024</v>
      </c>
      <c r="D628">
        <v>0.29303553188384651</v>
      </c>
      <c r="E628">
        <v>13</v>
      </c>
      <c r="F628">
        <f t="shared" si="19"/>
        <v>1</v>
      </c>
    </row>
    <row r="629" spans="1:6" x14ac:dyDescent="0.35">
      <c r="A629" t="s">
        <v>75</v>
      </c>
      <c r="B629">
        <v>2024</v>
      </c>
      <c r="C629" t="str">
        <f t="shared" si="18"/>
        <v>Budapest 18. ker. járás2024</v>
      </c>
      <c r="D629">
        <v>0.30954187701859454</v>
      </c>
      <c r="E629">
        <v>29</v>
      </c>
      <c r="F629">
        <f t="shared" si="19"/>
        <v>1</v>
      </c>
    </row>
    <row r="630" spans="1:6" x14ac:dyDescent="0.35">
      <c r="A630" t="s">
        <v>77</v>
      </c>
      <c r="B630">
        <v>2024</v>
      </c>
      <c r="C630" t="str">
        <f t="shared" si="18"/>
        <v>Budapest 19. ker. járás2024</v>
      </c>
      <c r="D630">
        <v>0.28114185959991983</v>
      </c>
      <c r="E630">
        <v>4</v>
      </c>
      <c r="F630">
        <f t="shared" si="19"/>
        <v>1</v>
      </c>
    </row>
    <row r="631" spans="1:6" x14ac:dyDescent="0.35">
      <c r="A631" t="s">
        <v>79</v>
      </c>
      <c r="B631">
        <v>2024</v>
      </c>
      <c r="C631" t="str">
        <f t="shared" si="18"/>
        <v>Budapest 20. ker. járás2024</v>
      </c>
      <c r="D631">
        <v>0.32339198535394631</v>
      </c>
      <c r="E631">
        <v>47</v>
      </c>
      <c r="F631">
        <f t="shared" si="19"/>
        <v>1</v>
      </c>
    </row>
    <row r="632" spans="1:6" x14ac:dyDescent="0.35">
      <c r="A632" t="s">
        <v>81</v>
      </c>
      <c r="B632">
        <v>2024</v>
      </c>
      <c r="C632" t="str">
        <f t="shared" si="18"/>
        <v>Budapest 21. ker. járás2024</v>
      </c>
      <c r="D632">
        <v>0.31914652956298195</v>
      </c>
      <c r="E632">
        <v>42</v>
      </c>
      <c r="F632">
        <f t="shared" si="19"/>
        <v>1</v>
      </c>
    </row>
    <row r="633" spans="1:6" x14ac:dyDescent="0.35">
      <c r="A633" t="s">
        <v>83</v>
      </c>
      <c r="B633">
        <v>2024</v>
      </c>
      <c r="C633" t="str">
        <f t="shared" si="18"/>
        <v>Budapest 22. ker. járás2024</v>
      </c>
      <c r="D633">
        <v>0.29523812261087001</v>
      </c>
      <c r="E633">
        <v>16</v>
      </c>
      <c r="F633">
        <f t="shared" si="19"/>
        <v>1</v>
      </c>
    </row>
    <row r="634" spans="1:6" x14ac:dyDescent="0.35">
      <c r="A634" t="s">
        <v>85</v>
      </c>
      <c r="B634">
        <v>2024</v>
      </c>
      <c r="C634" t="str">
        <f t="shared" si="18"/>
        <v>Budapest 23. ker. járás2024</v>
      </c>
      <c r="D634">
        <v>0.30810630786651561</v>
      </c>
      <c r="E634">
        <v>26</v>
      </c>
      <c r="F634">
        <f t="shared" si="19"/>
        <v>1</v>
      </c>
    </row>
    <row r="635" spans="1:6" x14ac:dyDescent="0.35">
      <c r="A635" t="s">
        <v>87</v>
      </c>
      <c r="B635">
        <v>2024</v>
      </c>
      <c r="C635" t="str">
        <f t="shared" si="18"/>
        <v>Ceglédi járás2024</v>
      </c>
      <c r="D635">
        <v>0.34821817333177746</v>
      </c>
      <c r="E635">
        <v>70</v>
      </c>
      <c r="F635">
        <f t="shared" si="19"/>
        <v>2</v>
      </c>
    </row>
    <row r="636" spans="1:6" x14ac:dyDescent="0.35">
      <c r="A636" t="s">
        <v>89</v>
      </c>
      <c r="B636">
        <v>2024</v>
      </c>
      <c r="C636" t="str">
        <f t="shared" si="18"/>
        <v>Celldömölki járás2024</v>
      </c>
      <c r="D636">
        <v>0.35401917355371909</v>
      </c>
      <c r="E636">
        <v>74</v>
      </c>
      <c r="F636">
        <f t="shared" si="19"/>
        <v>2</v>
      </c>
    </row>
    <row r="637" spans="1:6" x14ac:dyDescent="0.35">
      <c r="A637" t="s">
        <v>91</v>
      </c>
      <c r="B637">
        <v>2024</v>
      </c>
      <c r="C637" t="str">
        <f t="shared" si="18"/>
        <v>Cigándi járás2024</v>
      </c>
      <c r="D637">
        <v>0.49530154413906968</v>
      </c>
      <c r="E637">
        <v>187</v>
      </c>
      <c r="F637">
        <f t="shared" si="19"/>
        <v>3</v>
      </c>
    </row>
    <row r="638" spans="1:6" x14ac:dyDescent="0.35">
      <c r="A638" t="s">
        <v>93</v>
      </c>
      <c r="B638">
        <v>2024</v>
      </c>
      <c r="C638" t="str">
        <f t="shared" si="18"/>
        <v>Csengeri járás2024</v>
      </c>
      <c r="D638">
        <v>0.50350998381003786</v>
      </c>
      <c r="E638">
        <v>191</v>
      </c>
      <c r="F638">
        <f t="shared" si="19"/>
        <v>3</v>
      </c>
    </row>
    <row r="639" spans="1:6" x14ac:dyDescent="0.35">
      <c r="A639" t="s">
        <v>95</v>
      </c>
      <c r="B639">
        <v>2024</v>
      </c>
      <c r="C639" t="str">
        <f t="shared" si="18"/>
        <v>Csongrádi járás2024</v>
      </c>
      <c r="D639">
        <v>0.38832911769081985</v>
      </c>
      <c r="E639">
        <v>102</v>
      </c>
      <c r="F639">
        <f t="shared" si="19"/>
        <v>2</v>
      </c>
    </row>
    <row r="640" spans="1:6" x14ac:dyDescent="0.35">
      <c r="A640" t="s">
        <v>97</v>
      </c>
      <c r="B640">
        <v>2024</v>
      </c>
      <c r="C640" t="str">
        <f t="shared" si="18"/>
        <v>Csornai járás2024</v>
      </c>
      <c r="D640">
        <v>0.36727332211628344</v>
      </c>
      <c r="E640">
        <v>88</v>
      </c>
      <c r="F640">
        <f t="shared" si="19"/>
        <v>2</v>
      </c>
    </row>
    <row r="641" spans="1:6" x14ac:dyDescent="0.35">
      <c r="A641" t="s">
        <v>99</v>
      </c>
      <c r="B641">
        <v>2024</v>
      </c>
      <c r="C641" t="str">
        <f t="shared" si="18"/>
        <v>Csurgói járás2024</v>
      </c>
      <c r="D641">
        <v>0.48972732437038446</v>
      </c>
      <c r="E641">
        <v>183</v>
      </c>
      <c r="F641">
        <f t="shared" si="19"/>
        <v>3</v>
      </c>
    </row>
    <row r="642" spans="1:6" x14ac:dyDescent="0.35">
      <c r="A642" t="s">
        <v>101</v>
      </c>
      <c r="B642">
        <v>2024</v>
      </c>
      <c r="C642" t="str">
        <f t="shared" si="18"/>
        <v>Dabasi járás2024</v>
      </c>
      <c r="D642">
        <v>0.32871802176514159</v>
      </c>
      <c r="E642">
        <v>52</v>
      </c>
      <c r="F642">
        <f t="shared" si="19"/>
        <v>1</v>
      </c>
    </row>
    <row r="643" spans="1:6" x14ac:dyDescent="0.35">
      <c r="A643" t="s">
        <v>103</v>
      </c>
      <c r="B643">
        <v>2024</v>
      </c>
      <c r="C643" t="str">
        <f t="shared" ref="C643:C706" si="20">A643&amp;B643</f>
        <v>Debreceni járás2024</v>
      </c>
      <c r="D643">
        <v>0.33992420236206583</v>
      </c>
      <c r="E643">
        <v>62</v>
      </c>
      <c r="F643">
        <f t="shared" ref="F643:F706" si="21">IF(E643&lt;66,1,IF(E643&lt;132,2,3))</f>
        <v>1</v>
      </c>
    </row>
    <row r="644" spans="1:6" x14ac:dyDescent="0.35">
      <c r="A644" t="s">
        <v>105</v>
      </c>
      <c r="B644">
        <v>2024</v>
      </c>
      <c r="C644" t="str">
        <f t="shared" si="20"/>
        <v>Derecskei járás2024</v>
      </c>
      <c r="D644">
        <v>0.43875819514076347</v>
      </c>
      <c r="E644">
        <v>149</v>
      </c>
      <c r="F644">
        <f t="shared" si="21"/>
        <v>3</v>
      </c>
    </row>
    <row r="645" spans="1:6" x14ac:dyDescent="0.35">
      <c r="A645" t="s">
        <v>107</v>
      </c>
      <c r="B645">
        <v>2024</v>
      </c>
      <c r="C645" t="str">
        <f t="shared" si="20"/>
        <v>Devecseri járás2024</v>
      </c>
      <c r="D645">
        <v>0.42086614966260449</v>
      </c>
      <c r="E645">
        <v>130</v>
      </c>
      <c r="F645">
        <f t="shared" si="21"/>
        <v>2</v>
      </c>
    </row>
    <row r="646" spans="1:6" x14ac:dyDescent="0.35">
      <c r="A646" t="s">
        <v>109</v>
      </c>
      <c r="B646">
        <v>2024</v>
      </c>
      <c r="C646" t="str">
        <f t="shared" si="20"/>
        <v>Dombóvári járás2024</v>
      </c>
      <c r="D646">
        <v>0.42534861809045227</v>
      </c>
      <c r="E646">
        <v>140</v>
      </c>
      <c r="F646">
        <f t="shared" si="21"/>
        <v>3</v>
      </c>
    </row>
    <row r="647" spans="1:6" x14ac:dyDescent="0.35">
      <c r="A647" t="s">
        <v>111</v>
      </c>
      <c r="B647">
        <v>2024</v>
      </c>
      <c r="C647" t="str">
        <f t="shared" si="20"/>
        <v>Dunakeszi járás2024</v>
      </c>
      <c r="D647">
        <v>0.30066597546224288</v>
      </c>
      <c r="E647">
        <v>18</v>
      </c>
      <c r="F647">
        <f t="shared" si="21"/>
        <v>1</v>
      </c>
    </row>
    <row r="648" spans="1:6" x14ac:dyDescent="0.35">
      <c r="A648" t="s">
        <v>113</v>
      </c>
      <c r="B648">
        <v>2024</v>
      </c>
      <c r="C648" t="str">
        <f t="shared" si="20"/>
        <v>Dunaújvárosi járás2024</v>
      </c>
      <c r="D648">
        <v>0.32338928719150695</v>
      </c>
      <c r="E648">
        <v>46</v>
      </c>
      <c r="F648">
        <f t="shared" si="21"/>
        <v>1</v>
      </c>
    </row>
    <row r="649" spans="1:6" x14ac:dyDescent="0.35">
      <c r="A649" t="s">
        <v>115</v>
      </c>
      <c r="B649">
        <v>2024</v>
      </c>
      <c r="C649" t="str">
        <f t="shared" si="20"/>
        <v>Edelényi járás2024</v>
      </c>
      <c r="D649">
        <v>0.50727298578199043</v>
      </c>
      <c r="E649">
        <v>192</v>
      </c>
      <c r="F649">
        <f t="shared" si="21"/>
        <v>3</v>
      </c>
    </row>
    <row r="650" spans="1:6" x14ac:dyDescent="0.35">
      <c r="A650" t="s">
        <v>117</v>
      </c>
      <c r="B650">
        <v>2024</v>
      </c>
      <c r="C650" t="str">
        <f t="shared" si="20"/>
        <v>Egri járás2024</v>
      </c>
      <c r="D650">
        <v>0.33618456350118797</v>
      </c>
      <c r="E650">
        <v>58</v>
      </c>
      <c r="F650">
        <f t="shared" si="21"/>
        <v>1</v>
      </c>
    </row>
    <row r="651" spans="1:6" x14ac:dyDescent="0.35">
      <c r="A651" t="s">
        <v>119</v>
      </c>
      <c r="B651">
        <v>2024</v>
      </c>
      <c r="C651" t="str">
        <f t="shared" si="20"/>
        <v>Encsi járás2024</v>
      </c>
      <c r="D651">
        <v>0.51794357725905782</v>
      </c>
      <c r="E651">
        <v>194</v>
      </c>
      <c r="F651">
        <f t="shared" si="21"/>
        <v>3</v>
      </c>
    </row>
    <row r="652" spans="1:6" x14ac:dyDescent="0.35">
      <c r="A652" t="s">
        <v>121</v>
      </c>
      <c r="B652">
        <v>2024</v>
      </c>
      <c r="C652" t="str">
        <f t="shared" si="20"/>
        <v>Enyingi járás2024</v>
      </c>
      <c r="D652">
        <v>0.35817066863686742</v>
      </c>
      <c r="E652">
        <v>80</v>
      </c>
      <c r="F652">
        <f t="shared" si="21"/>
        <v>2</v>
      </c>
    </row>
    <row r="653" spans="1:6" x14ac:dyDescent="0.35">
      <c r="A653" t="s">
        <v>123</v>
      </c>
      <c r="B653">
        <v>2024</v>
      </c>
      <c r="C653" t="str">
        <f t="shared" si="20"/>
        <v>Érdi járás2024</v>
      </c>
      <c r="D653">
        <v>0.30324149404070094</v>
      </c>
      <c r="E653">
        <v>21</v>
      </c>
      <c r="F653">
        <f t="shared" si="21"/>
        <v>1</v>
      </c>
    </row>
    <row r="654" spans="1:6" x14ac:dyDescent="0.35">
      <c r="A654" t="s">
        <v>125</v>
      </c>
      <c r="B654">
        <v>2024</v>
      </c>
      <c r="C654" t="str">
        <f t="shared" si="20"/>
        <v>Esztergomi járás2024</v>
      </c>
      <c r="D654">
        <v>0.31816867155238548</v>
      </c>
      <c r="E654">
        <v>39</v>
      </c>
      <c r="F654">
        <f t="shared" si="21"/>
        <v>1</v>
      </c>
    </row>
    <row r="655" spans="1:6" x14ac:dyDescent="0.35">
      <c r="A655" t="s">
        <v>127</v>
      </c>
      <c r="B655">
        <v>2024</v>
      </c>
      <c r="C655" t="str">
        <f t="shared" si="20"/>
        <v>Fehérgyarmati járás2024</v>
      </c>
      <c r="D655">
        <v>0.49799188485683665</v>
      </c>
      <c r="E655">
        <v>189</v>
      </c>
      <c r="F655">
        <f t="shared" si="21"/>
        <v>3</v>
      </c>
    </row>
    <row r="656" spans="1:6" x14ac:dyDescent="0.35">
      <c r="A656" t="s">
        <v>129</v>
      </c>
      <c r="B656">
        <v>2024</v>
      </c>
      <c r="C656" t="str">
        <f t="shared" si="20"/>
        <v>Fonyódi járás2024</v>
      </c>
      <c r="D656">
        <v>0.43441712999126958</v>
      </c>
      <c r="E656">
        <v>148</v>
      </c>
      <c r="F656">
        <f t="shared" si="21"/>
        <v>3</v>
      </c>
    </row>
    <row r="657" spans="1:6" x14ac:dyDescent="0.35">
      <c r="A657" t="s">
        <v>131</v>
      </c>
      <c r="B657">
        <v>2024</v>
      </c>
      <c r="C657" t="str">
        <f t="shared" si="20"/>
        <v>Füzesabonyi járás2024</v>
      </c>
      <c r="D657">
        <v>0.419536502987789</v>
      </c>
      <c r="E657">
        <v>129</v>
      </c>
      <c r="F657">
        <f t="shared" si="21"/>
        <v>2</v>
      </c>
    </row>
    <row r="658" spans="1:6" x14ac:dyDescent="0.35">
      <c r="A658" t="s">
        <v>133</v>
      </c>
      <c r="B658">
        <v>2024</v>
      </c>
      <c r="C658" t="str">
        <f t="shared" si="20"/>
        <v>Gárdonyi járás2024</v>
      </c>
      <c r="D658">
        <v>0.29141410760605813</v>
      </c>
      <c r="E658">
        <v>10</v>
      </c>
      <c r="F658">
        <f t="shared" si="21"/>
        <v>1</v>
      </c>
    </row>
    <row r="659" spans="1:6" x14ac:dyDescent="0.35">
      <c r="A659" t="s">
        <v>135</v>
      </c>
      <c r="B659">
        <v>2024</v>
      </c>
      <c r="C659" t="str">
        <f t="shared" si="20"/>
        <v>Gödöllői járás2024</v>
      </c>
      <c r="D659">
        <v>0.31613628446888026</v>
      </c>
      <c r="E659">
        <v>37</v>
      </c>
      <c r="F659">
        <f t="shared" si="21"/>
        <v>1</v>
      </c>
    </row>
    <row r="660" spans="1:6" x14ac:dyDescent="0.35">
      <c r="A660" t="s">
        <v>137</v>
      </c>
      <c r="B660">
        <v>2024</v>
      </c>
      <c r="C660" t="str">
        <f t="shared" si="20"/>
        <v>Gönci járás2024</v>
      </c>
      <c r="D660">
        <v>0.55311829847073302</v>
      </c>
      <c r="E660">
        <v>197</v>
      </c>
      <c r="F660">
        <f t="shared" si="21"/>
        <v>3</v>
      </c>
    </row>
    <row r="661" spans="1:6" x14ac:dyDescent="0.35">
      <c r="A661" t="s">
        <v>139</v>
      </c>
      <c r="B661">
        <v>2024</v>
      </c>
      <c r="C661" t="str">
        <f t="shared" si="20"/>
        <v>Gyáli járás2024</v>
      </c>
      <c r="D661">
        <v>0.3217464083300382</v>
      </c>
      <c r="E661">
        <v>45</v>
      </c>
      <c r="F661">
        <f t="shared" si="21"/>
        <v>1</v>
      </c>
    </row>
    <row r="662" spans="1:6" x14ac:dyDescent="0.35">
      <c r="A662" t="s">
        <v>141</v>
      </c>
      <c r="B662">
        <v>2024</v>
      </c>
      <c r="C662" t="str">
        <f t="shared" si="20"/>
        <v>Gyomaendrődi járás2024</v>
      </c>
      <c r="D662">
        <v>0.39201782304264793</v>
      </c>
      <c r="E662">
        <v>108</v>
      </c>
      <c r="F662">
        <f t="shared" si="21"/>
        <v>2</v>
      </c>
    </row>
    <row r="663" spans="1:6" x14ac:dyDescent="0.35">
      <c r="A663" t="s">
        <v>143</v>
      </c>
      <c r="B663">
        <v>2024</v>
      </c>
      <c r="C663" t="str">
        <f t="shared" si="20"/>
        <v>Gyöngyösi járás2024</v>
      </c>
      <c r="D663">
        <v>0.33852384398123286</v>
      </c>
      <c r="E663">
        <v>61</v>
      </c>
      <c r="F663">
        <f t="shared" si="21"/>
        <v>1</v>
      </c>
    </row>
    <row r="664" spans="1:6" x14ac:dyDescent="0.35">
      <c r="A664" t="s">
        <v>145</v>
      </c>
      <c r="B664">
        <v>2024</v>
      </c>
      <c r="C664" t="str">
        <f t="shared" si="20"/>
        <v>Győri járás2024</v>
      </c>
      <c r="D664">
        <v>0.30602092531558978</v>
      </c>
      <c r="E664">
        <v>25</v>
      </c>
      <c r="F664">
        <f t="shared" si="21"/>
        <v>1</v>
      </c>
    </row>
    <row r="665" spans="1:6" x14ac:dyDescent="0.35">
      <c r="A665" t="s">
        <v>147</v>
      </c>
      <c r="B665">
        <v>2024</v>
      </c>
      <c r="C665" t="str">
        <f t="shared" si="20"/>
        <v>Gyulai járás2024</v>
      </c>
      <c r="D665">
        <v>0.3725773112309001</v>
      </c>
      <c r="E665">
        <v>90</v>
      </c>
      <c r="F665">
        <f t="shared" si="21"/>
        <v>2</v>
      </c>
    </row>
    <row r="666" spans="1:6" x14ac:dyDescent="0.35">
      <c r="A666" t="s">
        <v>149</v>
      </c>
      <c r="B666">
        <v>2024</v>
      </c>
      <c r="C666" t="str">
        <f t="shared" si="20"/>
        <v>Hajdúböszörményi járás2024</v>
      </c>
      <c r="D666">
        <v>0.37556533460196634</v>
      </c>
      <c r="E666">
        <v>92</v>
      </c>
      <c r="F666">
        <f t="shared" si="21"/>
        <v>2</v>
      </c>
    </row>
    <row r="667" spans="1:6" x14ac:dyDescent="0.35">
      <c r="A667" t="s">
        <v>151</v>
      </c>
      <c r="B667">
        <v>2024</v>
      </c>
      <c r="C667" t="str">
        <f t="shared" si="20"/>
        <v>Hajdúhadházi járás2024</v>
      </c>
      <c r="D667">
        <v>0.44016999999999995</v>
      </c>
      <c r="E667">
        <v>151</v>
      </c>
      <c r="F667">
        <f t="shared" si="21"/>
        <v>3</v>
      </c>
    </row>
    <row r="668" spans="1:6" x14ac:dyDescent="0.35">
      <c r="A668" t="s">
        <v>153</v>
      </c>
      <c r="B668">
        <v>2024</v>
      </c>
      <c r="C668" t="str">
        <f t="shared" si="20"/>
        <v>Hajdúnánási járás2024</v>
      </c>
      <c r="D668">
        <v>0.37791121595539351</v>
      </c>
      <c r="E668">
        <v>94</v>
      </c>
      <c r="F668">
        <f t="shared" si="21"/>
        <v>2</v>
      </c>
    </row>
    <row r="669" spans="1:6" x14ac:dyDescent="0.35">
      <c r="A669" t="s">
        <v>155</v>
      </c>
      <c r="B669">
        <v>2024</v>
      </c>
      <c r="C669" t="str">
        <f t="shared" si="20"/>
        <v>Hajdúszoboszlói járás2024</v>
      </c>
      <c r="D669">
        <v>0.35685404479954341</v>
      </c>
      <c r="E669">
        <v>77</v>
      </c>
      <c r="F669">
        <f t="shared" si="21"/>
        <v>2</v>
      </c>
    </row>
    <row r="670" spans="1:6" x14ac:dyDescent="0.35">
      <c r="A670" t="s">
        <v>157</v>
      </c>
      <c r="B670">
        <v>2024</v>
      </c>
      <c r="C670" t="str">
        <f t="shared" si="20"/>
        <v>Hatvani járás2024</v>
      </c>
      <c r="D670">
        <v>0.3084520309593809</v>
      </c>
      <c r="E670">
        <v>27</v>
      </c>
      <c r="F670">
        <f t="shared" si="21"/>
        <v>1</v>
      </c>
    </row>
    <row r="671" spans="1:6" x14ac:dyDescent="0.35">
      <c r="A671" t="s">
        <v>159</v>
      </c>
      <c r="B671">
        <v>2024</v>
      </c>
      <c r="C671" t="str">
        <f t="shared" si="20"/>
        <v>Hegyháti járás2024</v>
      </c>
      <c r="D671">
        <v>0.48400925806866402</v>
      </c>
      <c r="E671">
        <v>181</v>
      </c>
      <c r="F671">
        <f t="shared" si="21"/>
        <v>3</v>
      </c>
    </row>
    <row r="672" spans="1:6" x14ac:dyDescent="0.35">
      <c r="A672" t="s">
        <v>161</v>
      </c>
      <c r="B672">
        <v>2024</v>
      </c>
      <c r="C672" t="str">
        <f t="shared" si="20"/>
        <v>Hevesi járás2024</v>
      </c>
      <c r="D672">
        <v>0.4653946642134314</v>
      </c>
      <c r="E672">
        <v>172</v>
      </c>
      <c r="F672">
        <f t="shared" si="21"/>
        <v>3</v>
      </c>
    </row>
    <row r="673" spans="1:6" x14ac:dyDescent="0.35">
      <c r="A673" t="s">
        <v>163</v>
      </c>
      <c r="B673">
        <v>2024</v>
      </c>
      <c r="C673" t="str">
        <f t="shared" si="20"/>
        <v>Hódmezővásárhelyi járás2024</v>
      </c>
      <c r="D673">
        <v>0.36491774839983249</v>
      </c>
      <c r="E673">
        <v>84</v>
      </c>
      <c r="F673">
        <f t="shared" si="21"/>
        <v>2</v>
      </c>
    </row>
    <row r="674" spans="1:6" x14ac:dyDescent="0.35">
      <c r="A674" t="s">
        <v>165</v>
      </c>
      <c r="B674">
        <v>2024</v>
      </c>
      <c r="C674" t="str">
        <f t="shared" si="20"/>
        <v>Ibrányi járás2024</v>
      </c>
      <c r="D674">
        <v>0.46752866076081279</v>
      </c>
      <c r="E674">
        <v>174</v>
      </c>
      <c r="F674">
        <f t="shared" si="21"/>
        <v>3</v>
      </c>
    </row>
    <row r="675" spans="1:6" x14ac:dyDescent="0.35">
      <c r="A675" s="16" t="s">
        <v>431</v>
      </c>
      <c r="B675">
        <v>2024</v>
      </c>
      <c r="C675" t="str">
        <f t="shared" si="20"/>
        <v>Jánoshalmai járás2024</v>
      </c>
      <c r="D675">
        <v>0.45222065859836758</v>
      </c>
      <c r="E675">
        <v>164</v>
      </c>
      <c r="F675">
        <f t="shared" si="21"/>
        <v>3</v>
      </c>
    </row>
    <row r="676" spans="1:6" x14ac:dyDescent="0.35">
      <c r="A676" t="s">
        <v>169</v>
      </c>
      <c r="B676">
        <v>2024</v>
      </c>
      <c r="C676" t="str">
        <f t="shared" si="20"/>
        <v>Jászapáti járás2024</v>
      </c>
      <c r="D676">
        <v>0.41224934612031383</v>
      </c>
      <c r="E676">
        <v>123</v>
      </c>
      <c r="F676">
        <f t="shared" si="21"/>
        <v>2</v>
      </c>
    </row>
    <row r="677" spans="1:6" x14ac:dyDescent="0.35">
      <c r="A677" t="s">
        <v>171</v>
      </c>
      <c r="B677">
        <v>2024</v>
      </c>
      <c r="C677" t="str">
        <f t="shared" si="20"/>
        <v>Jászberényi járás2024</v>
      </c>
      <c r="D677">
        <v>0.26962212276214836</v>
      </c>
      <c r="E677">
        <v>3</v>
      </c>
      <c r="F677">
        <f t="shared" si="21"/>
        <v>1</v>
      </c>
    </row>
    <row r="678" spans="1:6" x14ac:dyDescent="0.35">
      <c r="A678" t="s">
        <v>173</v>
      </c>
      <c r="B678">
        <v>2024</v>
      </c>
      <c r="C678" t="str">
        <f t="shared" si="20"/>
        <v>Kalocsai járás2024</v>
      </c>
      <c r="D678">
        <v>0.39874816050230549</v>
      </c>
      <c r="E678">
        <v>114</v>
      </c>
      <c r="F678">
        <f t="shared" si="21"/>
        <v>2</v>
      </c>
    </row>
    <row r="679" spans="1:6" x14ac:dyDescent="0.35">
      <c r="A679" t="s">
        <v>175</v>
      </c>
      <c r="B679">
        <v>2024</v>
      </c>
      <c r="C679" t="str">
        <f t="shared" si="20"/>
        <v>Kaposvári járás2024</v>
      </c>
      <c r="D679">
        <v>0.39613734635723091</v>
      </c>
      <c r="E679">
        <v>111</v>
      </c>
      <c r="F679">
        <f t="shared" si="21"/>
        <v>2</v>
      </c>
    </row>
    <row r="680" spans="1:6" x14ac:dyDescent="0.35">
      <c r="A680" t="s">
        <v>177</v>
      </c>
      <c r="B680">
        <v>2024</v>
      </c>
      <c r="C680" t="str">
        <f t="shared" si="20"/>
        <v>Kapuvári járás2024</v>
      </c>
      <c r="D680">
        <v>0.40034049607855632</v>
      </c>
      <c r="E680">
        <v>115</v>
      </c>
      <c r="F680">
        <f t="shared" si="21"/>
        <v>2</v>
      </c>
    </row>
    <row r="681" spans="1:6" x14ac:dyDescent="0.35">
      <c r="A681" t="s">
        <v>179</v>
      </c>
      <c r="B681">
        <v>2024</v>
      </c>
      <c r="C681" t="str">
        <f t="shared" si="20"/>
        <v>Karcagi járás2024</v>
      </c>
      <c r="D681">
        <v>0.41624098264768966</v>
      </c>
      <c r="E681">
        <v>127</v>
      </c>
      <c r="F681">
        <f t="shared" si="21"/>
        <v>2</v>
      </c>
    </row>
    <row r="682" spans="1:6" x14ac:dyDescent="0.35">
      <c r="A682" t="s">
        <v>181</v>
      </c>
      <c r="B682">
        <v>2024</v>
      </c>
      <c r="C682" t="str">
        <f t="shared" si="20"/>
        <v>Kazincbarcikai járás2024</v>
      </c>
      <c r="D682">
        <v>0.42925873703293388</v>
      </c>
      <c r="E682">
        <v>145</v>
      </c>
      <c r="F682">
        <f t="shared" si="21"/>
        <v>3</v>
      </c>
    </row>
    <row r="683" spans="1:6" x14ac:dyDescent="0.35">
      <c r="A683" t="s">
        <v>183</v>
      </c>
      <c r="B683">
        <v>2024</v>
      </c>
      <c r="C683" t="str">
        <f t="shared" si="20"/>
        <v>Kecskeméti járás2024</v>
      </c>
      <c r="D683">
        <v>0.33035390361017247</v>
      </c>
      <c r="E683">
        <v>53</v>
      </c>
      <c r="F683">
        <f t="shared" si="21"/>
        <v>1</v>
      </c>
    </row>
    <row r="684" spans="1:6" x14ac:dyDescent="0.35">
      <c r="A684" t="s">
        <v>185</v>
      </c>
      <c r="B684">
        <v>2024</v>
      </c>
      <c r="C684" t="str">
        <f t="shared" si="20"/>
        <v>Kemecsei járás2024</v>
      </c>
      <c r="D684">
        <v>0.44356171795738913</v>
      </c>
      <c r="E684">
        <v>156</v>
      </c>
      <c r="F684">
        <f t="shared" si="21"/>
        <v>3</v>
      </c>
    </row>
    <row r="685" spans="1:6" x14ac:dyDescent="0.35">
      <c r="A685" t="s">
        <v>187</v>
      </c>
      <c r="B685">
        <v>2024</v>
      </c>
      <c r="C685" t="str">
        <f t="shared" si="20"/>
        <v>Keszthelyi járás2024</v>
      </c>
      <c r="D685">
        <v>0.4231528384279476</v>
      </c>
      <c r="E685">
        <v>134</v>
      </c>
      <c r="F685">
        <f t="shared" si="21"/>
        <v>3</v>
      </c>
    </row>
    <row r="686" spans="1:6" x14ac:dyDescent="0.35">
      <c r="A686" t="s">
        <v>189</v>
      </c>
      <c r="B686">
        <v>2024</v>
      </c>
      <c r="C686" t="str">
        <f t="shared" si="20"/>
        <v>Kisbéri járás2024</v>
      </c>
      <c r="D686">
        <v>0.30497455851541455</v>
      </c>
      <c r="E686">
        <v>24</v>
      </c>
      <c r="F686">
        <f t="shared" si="21"/>
        <v>1</v>
      </c>
    </row>
    <row r="687" spans="1:6" x14ac:dyDescent="0.35">
      <c r="A687" t="s">
        <v>191</v>
      </c>
      <c r="B687">
        <v>2024</v>
      </c>
      <c r="C687" t="str">
        <f t="shared" si="20"/>
        <v>Kiskőrösi járás2024</v>
      </c>
      <c r="D687">
        <v>0.42359799755515459</v>
      </c>
      <c r="E687">
        <v>136</v>
      </c>
      <c r="F687">
        <f t="shared" si="21"/>
        <v>3</v>
      </c>
    </row>
    <row r="688" spans="1:6" x14ac:dyDescent="0.35">
      <c r="A688" t="s">
        <v>193</v>
      </c>
      <c r="B688">
        <v>2024</v>
      </c>
      <c r="C688" t="str">
        <f t="shared" si="20"/>
        <v>Kiskunfélegyházi járás2024</v>
      </c>
      <c r="D688">
        <v>0.35696764226246674</v>
      </c>
      <c r="E688">
        <v>78</v>
      </c>
      <c r="F688">
        <f t="shared" si="21"/>
        <v>2</v>
      </c>
    </row>
    <row r="689" spans="1:6" x14ac:dyDescent="0.35">
      <c r="A689" t="s">
        <v>195</v>
      </c>
      <c r="B689">
        <v>2024</v>
      </c>
      <c r="C689" t="str">
        <f t="shared" si="20"/>
        <v>Kiskunhalasi járás2024</v>
      </c>
      <c r="D689">
        <v>0.4060335031707048</v>
      </c>
      <c r="E689">
        <v>117</v>
      </c>
      <c r="F689">
        <f t="shared" si="21"/>
        <v>2</v>
      </c>
    </row>
    <row r="690" spans="1:6" x14ac:dyDescent="0.35">
      <c r="A690" t="s">
        <v>197</v>
      </c>
      <c r="B690">
        <v>2024</v>
      </c>
      <c r="C690" t="str">
        <f t="shared" si="20"/>
        <v>Kiskunmajsai járás2024</v>
      </c>
      <c r="D690">
        <v>0.4391111478937349</v>
      </c>
      <c r="E690">
        <v>150</v>
      </c>
      <c r="F690">
        <f t="shared" si="21"/>
        <v>3</v>
      </c>
    </row>
    <row r="691" spans="1:6" x14ac:dyDescent="0.35">
      <c r="A691" t="s">
        <v>199</v>
      </c>
      <c r="B691">
        <v>2024</v>
      </c>
      <c r="C691" t="str">
        <f t="shared" si="20"/>
        <v>Kisteleki járás2024</v>
      </c>
      <c r="D691">
        <v>0.45860037781212437</v>
      </c>
      <c r="E691">
        <v>168</v>
      </c>
      <c r="F691">
        <f t="shared" si="21"/>
        <v>3</v>
      </c>
    </row>
    <row r="692" spans="1:6" x14ac:dyDescent="0.35">
      <c r="A692" t="s">
        <v>201</v>
      </c>
      <c r="B692">
        <v>2024</v>
      </c>
      <c r="C692" t="str">
        <f t="shared" si="20"/>
        <v>Kisvárdai járás2024</v>
      </c>
      <c r="D692">
        <v>0.40859123032006339</v>
      </c>
      <c r="E692">
        <v>121</v>
      </c>
      <c r="F692">
        <f t="shared" si="21"/>
        <v>2</v>
      </c>
    </row>
    <row r="693" spans="1:6" x14ac:dyDescent="0.35">
      <c r="A693" t="s">
        <v>203</v>
      </c>
      <c r="B693">
        <v>2024</v>
      </c>
      <c r="C693" t="str">
        <f t="shared" si="20"/>
        <v>Komáromi járás2024</v>
      </c>
      <c r="D693">
        <v>0.25763349800047053</v>
      </c>
      <c r="E693">
        <v>1</v>
      </c>
      <c r="F693">
        <f t="shared" si="21"/>
        <v>1</v>
      </c>
    </row>
    <row r="694" spans="1:6" x14ac:dyDescent="0.35">
      <c r="A694" t="s">
        <v>205</v>
      </c>
      <c r="B694">
        <v>2024</v>
      </c>
      <c r="C694" t="str">
        <f t="shared" si="20"/>
        <v>Komlói járás2024</v>
      </c>
      <c r="D694">
        <v>0.44307063365886884</v>
      </c>
      <c r="E694">
        <v>154</v>
      </c>
      <c r="F694">
        <f t="shared" si="21"/>
        <v>3</v>
      </c>
    </row>
    <row r="695" spans="1:6" x14ac:dyDescent="0.35">
      <c r="A695" t="s">
        <v>207</v>
      </c>
      <c r="B695">
        <v>2024</v>
      </c>
      <c r="C695" t="str">
        <f t="shared" si="20"/>
        <v>Körmendi járás2024</v>
      </c>
      <c r="D695">
        <v>0.38149344457687717</v>
      </c>
      <c r="E695">
        <v>95</v>
      </c>
      <c r="F695">
        <f t="shared" si="21"/>
        <v>2</v>
      </c>
    </row>
    <row r="696" spans="1:6" x14ac:dyDescent="0.35">
      <c r="A696" t="s">
        <v>209</v>
      </c>
      <c r="B696">
        <v>2024</v>
      </c>
      <c r="C696" t="str">
        <f t="shared" si="20"/>
        <v>Kőszegi járás2024</v>
      </c>
      <c r="D696">
        <v>0.44853034951573123</v>
      </c>
      <c r="E696">
        <v>162</v>
      </c>
      <c r="F696">
        <f t="shared" si="21"/>
        <v>3</v>
      </c>
    </row>
    <row r="697" spans="1:6" x14ac:dyDescent="0.35">
      <c r="A697" t="s">
        <v>211</v>
      </c>
      <c r="B697">
        <v>2024</v>
      </c>
      <c r="C697" t="str">
        <f t="shared" si="20"/>
        <v>Kunhegyesi járás2024</v>
      </c>
      <c r="D697">
        <v>0.51878379413341502</v>
      </c>
      <c r="E697">
        <v>195</v>
      </c>
      <c r="F697">
        <f t="shared" si="21"/>
        <v>3</v>
      </c>
    </row>
    <row r="698" spans="1:6" x14ac:dyDescent="0.35">
      <c r="A698" t="s">
        <v>213</v>
      </c>
      <c r="B698">
        <v>2024</v>
      </c>
      <c r="C698" t="str">
        <f t="shared" si="20"/>
        <v>Kunszentmártoni járás2024</v>
      </c>
      <c r="D698">
        <v>0.4070519262981574</v>
      </c>
      <c r="E698">
        <v>119</v>
      </c>
      <c r="F698">
        <f t="shared" si="21"/>
        <v>2</v>
      </c>
    </row>
    <row r="699" spans="1:6" x14ac:dyDescent="0.35">
      <c r="A699" t="s">
        <v>215</v>
      </c>
      <c r="B699">
        <v>2024</v>
      </c>
      <c r="C699" t="str">
        <f t="shared" si="20"/>
        <v>Kunszentmiklósi járás2024</v>
      </c>
      <c r="D699">
        <v>0.36302302918397705</v>
      </c>
      <c r="E699">
        <v>83</v>
      </c>
      <c r="F699">
        <f t="shared" si="21"/>
        <v>2</v>
      </c>
    </row>
    <row r="700" spans="1:6" x14ac:dyDescent="0.35">
      <c r="A700" t="s">
        <v>217</v>
      </c>
      <c r="B700">
        <v>2024</v>
      </c>
      <c r="C700" t="str">
        <f t="shared" si="20"/>
        <v>Lenti járás2024</v>
      </c>
      <c r="D700">
        <v>0.44665736790285532</v>
      </c>
      <c r="E700">
        <v>158</v>
      </c>
      <c r="F700">
        <f t="shared" si="21"/>
        <v>3</v>
      </c>
    </row>
    <row r="701" spans="1:6" x14ac:dyDescent="0.35">
      <c r="A701" t="s">
        <v>219</v>
      </c>
      <c r="B701">
        <v>2024</v>
      </c>
      <c r="C701" t="str">
        <f t="shared" si="20"/>
        <v>Letenyei járás2024</v>
      </c>
      <c r="D701">
        <v>0.45151399234950668</v>
      </c>
      <c r="E701">
        <v>163</v>
      </c>
      <c r="F701">
        <f t="shared" si="21"/>
        <v>3</v>
      </c>
    </row>
    <row r="702" spans="1:6" x14ac:dyDescent="0.35">
      <c r="A702" t="s">
        <v>221</v>
      </c>
      <c r="B702">
        <v>2024</v>
      </c>
      <c r="C702" t="str">
        <f t="shared" si="20"/>
        <v>Makói járás2024</v>
      </c>
      <c r="D702">
        <v>0.40150673671419879</v>
      </c>
      <c r="E702">
        <v>116</v>
      </c>
      <c r="F702">
        <f t="shared" si="21"/>
        <v>2</v>
      </c>
    </row>
    <row r="703" spans="1:6" x14ac:dyDescent="0.35">
      <c r="A703" t="s">
        <v>223</v>
      </c>
      <c r="B703">
        <v>2024</v>
      </c>
      <c r="C703" t="str">
        <f t="shared" si="20"/>
        <v>Marcali járás2024</v>
      </c>
      <c r="D703">
        <v>0.50037818311555105</v>
      </c>
      <c r="E703">
        <v>190</v>
      </c>
      <c r="F703">
        <f t="shared" si="21"/>
        <v>3</v>
      </c>
    </row>
    <row r="704" spans="1:6" x14ac:dyDescent="0.35">
      <c r="A704" t="s">
        <v>225</v>
      </c>
      <c r="B704">
        <v>2024</v>
      </c>
      <c r="C704" t="str">
        <f t="shared" si="20"/>
        <v>Martonvásári járás2024</v>
      </c>
      <c r="D704">
        <v>0.31695834644843146</v>
      </c>
      <c r="E704">
        <v>38</v>
      </c>
      <c r="F704">
        <f t="shared" si="21"/>
        <v>1</v>
      </c>
    </row>
    <row r="705" spans="1:6" x14ac:dyDescent="0.35">
      <c r="A705" t="s">
        <v>227</v>
      </c>
      <c r="B705">
        <v>2024</v>
      </c>
      <c r="C705" t="str">
        <f t="shared" si="20"/>
        <v>Mátészalkai járás2024</v>
      </c>
      <c r="D705">
        <v>0.44348159509202462</v>
      </c>
      <c r="E705">
        <v>155</v>
      </c>
      <c r="F705">
        <f t="shared" si="21"/>
        <v>3</v>
      </c>
    </row>
    <row r="706" spans="1:6" x14ac:dyDescent="0.35">
      <c r="A706" t="s">
        <v>229</v>
      </c>
      <c r="B706">
        <v>2024</v>
      </c>
      <c r="C706" t="str">
        <f t="shared" si="20"/>
        <v>Mezőcsáti járás2024</v>
      </c>
      <c r="D706">
        <v>0.44621609987085664</v>
      </c>
      <c r="E706">
        <v>157</v>
      </c>
      <c r="F706">
        <f t="shared" si="21"/>
        <v>3</v>
      </c>
    </row>
    <row r="707" spans="1:6" x14ac:dyDescent="0.35">
      <c r="A707" t="s">
        <v>231</v>
      </c>
      <c r="B707">
        <v>2024</v>
      </c>
      <c r="C707" t="str">
        <f t="shared" ref="C707:C770" si="22">A707&amp;B707</f>
        <v>Mezőkovácsházai járás2024</v>
      </c>
      <c r="D707">
        <v>0.47534753604475999</v>
      </c>
      <c r="E707">
        <v>179</v>
      </c>
      <c r="F707">
        <f t="shared" ref="F707:F770" si="23">IF(E707&lt;66,1,IF(E707&lt;132,2,3))</f>
        <v>3</v>
      </c>
    </row>
    <row r="708" spans="1:6" x14ac:dyDescent="0.35">
      <c r="A708" t="s">
        <v>233</v>
      </c>
      <c r="B708">
        <v>2024</v>
      </c>
      <c r="C708" t="str">
        <f t="shared" si="22"/>
        <v>Mezőkövesdi járás2024</v>
      </c>
      <c r="D708">
        <v>0.39234834788629463</v>
      </c>
      <c r="E708">
        <v>109</v>
      </c>
      <c r="F708">
        <f t="shared" si="23"/>
        <v>2</v>
      </c>
    </row>
    <row r="709" spans="1:6" x14ac:dyDescent="0.35">
      <c r="A709" t="s">
        <v>235</v>
      </c>
      <c r="B709">
        <v>2024</v>
      </c>
      <c r="C709" t="str">
        <f t="shared" si="22"/>
        <v>Mezőtúri járás2024</v>
      </c>
      <c r="D709">
        <v>0.36521856250765272</v>
      </c>
      <c r="E709">
        <v>87</v>
      </c>
      <c r="F709">
        <f t="shared" si="23"/>
        <v>2</v>
      </c>
    </row>
    <row r="710" spans="1:6" x14ac:dyDescent="0.35">
      <c r="A710" t="s">
        <v>237</v>
      </c>
      <c r="B710">
        <v>2024</v>
      </c>
      <c r="C710" t="str">
        <f t="shared" si="22"/>
        <v>Miskolci járás2024</v>
      </c>
      <c r="D710">
        <v>0.38188911152051419</v>
      </c>
      <c r="E710">
        <v>96</v>
      </c>
      <c r="F710">
        <f t="shared" si="23"/>
        <v>2</v>
      </c>
    </row>
    <row r="711" spans="1:6" x14ac:dyDescent="0.35">
      <c r="A711" t="s">
        <v>239</v>
      </c>
      <c r="B711">
        <v>2024</v>
      </c>
      <c r="C711" t="str">
        <f t="shared" si="22"/>
        <v>Mohácsi járás2024</v>
      </c>
      <c r="D711">
        <v>0.44128493647912886</v>
      </c>
      <c r="E711">
        <v>152</v>
      </c>
      <c r="F711">
        <f t="shared" si="23"/>
        <v>3</v>
      </c>
    </row>
    <row r="712" spans="1:6" x14ac:dyDescent="0.35">
      <c r="A712" t="s">
        <v>241</v>
      </c>
      <c r="B712">
        <v>2024</v>
      </c>
      <c r="C712" t="str">
        <f t="shared" si="22"/>
        <v>Monori járás2024</v>
      </c>
      <c r="D712">
        <v>0.31335098291020447</v>
      </c>
      <c r="E712">
        <v>34</v>
      </c>
      <c r="F712">
        <f t="shared" si="23"/>
        <v>1</v>
      </c>
    </row>
    <row r="713" spans="1:6" x14ac:dyDescent="0.35">
      <c r="A713" t="s">
        <v>243</v>
      </c>
      <c r="B713">
        <v>2024</v>
      </c>
      <c r="C713" t="str">
        <f t="shared" si="22"/>
        <v>Mórahalmi járás2024</v>
      </c>
      <c r="D713">
        <v>0.42743012462177554</v>
      </c>
      <c r="E713">
        <v>142</v>
      </c>
      <c r="F713">
        <f t="shared" si="23"/>
        <v>3</v>
      </c>
    </row>
    <row r="714" spans="1:6" x14ac:dyDescent="0.35">
      <c r="A714" t="s">
        <v>245</v>
      </c>
      <c r="B714">
        <v>2024</v>
      </c>
      <c r="C714" t="str">
        <f t="shared" si="22"/>
        <v>Móri járás2024</v>
      </c>
      <c r="D714">
        <v>0.30125653982023876</v>
      </c>
      <c r="E714">
        <v>19</v>
      </c>
      <c r="F714">
        <f t="shared" si="23"/>
        <v>1</v>
      </c>
    </row>
    <row r="715" spans="1:6" x14ac:dyDescent="0.35">
      <c r="A715" t="s">
        <v>247</v>
      </c>
      <c r="B715">
        <v>2024</v>
      </c>
      <c r="C715" t="str">
        <f t="shared" si="22"/>
        <v>Mosonmagyaróvári járás2024</v>
      </c>
      <c r="D715">
        <v>0.49368986097969281</v>
      </c>
      <c r="E715">
        <v>186</v>
      </c>
      <c r="F715">
        <f t="shared" si="23"/>
        <v>3</v>
      </c>
    </row>
    <row r="716" spans="1:6" x14ac:dyDescent="0.35">
      <c r="A716" t="s">
        <v>249</v>
      </c>
      <c r="B716">
        <v>2024</v>
      </c>
      <c r="C716" t="str">
        <f t="shared" si="22"/>
        <v>Nagyatádi járás2024</v>
      </c>
      <c r="D716">
        <v>0.44806549737881046</v>
      </c>
      <c r="E716">
        <v>161</v>
      </c>
      <c r="F716">
        <f t="shared" si="23"/>
        <v>3</v>
      </c>
    </row>
    <row r="717" spans="1:6" x14ac:dyDescent="0.35">
      <c r="A717" t="s">
        <v>251</v>
      </c>
      <c r="B717">
        <v>2024</v>
      </c>
      <c r="C717" t="str">
        <f t="shared" si="22"/>
        <v>Nagykállói járás2024</v>
      </c>
      <c r="D717">
        <v>0.42447176180160201</v>
      </c>
      <c r="E717">
        <v>138</v>
      </c>
      <c r="F717">
        <f t="shared" si="23"/>
        <v>3</v>
      </c>
    </row>
    <row r="718" spans="1:6" x14ac:dyDescent="0.35">
      <c r="A718" t="s">
        <v>253</v>
      </c>
      <c r="B718">
        <v>2024</v>
      </c>
      <c r="C718" t="str">
        <f t="shared" si="22"/>
        <v>Nagykanizsai járás2024</v>
      </c>
      <c r="D718">
        <v>0.41597235219055723</v>
      </c>
      <c r="E718">
        <v>126</v>
      </c>
      <c r="F718">
        <f t="shared" si="23"/>
        <v>2</v>
      </c>
    </row>
    <row r="719" spans="1:6" x14ac:dyDescent="0.35">
      <c r="A719" t="s">
        <v>255</v>
      </c>
      <c r="B719">
        <v>2024</v>
      </c>
      <c r="C719" t="str">
        <f t="shared" si="22"/>
        <v>Nagykátai járás2024</v>
      </c>
      <c r="D719">
        <v>0.35100838021796443</v>
      </c>
      <c r="E719">
        <v>72</v>
      </c>
      <c r="F719">
        <f t="shared" si="23"/>
        <v>2</v>
      </c>
    </row>
    <row r="720" spans="1:6" x14ac:dyDescent="0.35">
      <c r="A720" t="s">
        <v>257</v>
      </c>
      <c r="B720">
        <v>2024</v>
      </c>
      <c r="C720" t="str">
        <f t="shared" si="22"/>
        <v>Nagykőrösi járás2024</v>
      </c>
      <c r="D720">
        <v>0.36798133678115696</v>
      </c>
      <c r="E720">
        <v>89</v>
      </c>
      <c r="F720">
        <f t="shared" si="23"/>
        <v>2</v>
      </c>
    </row>
    <row r="721" spans="1:6" x14ac:dyDescent="0.35">
      <c r="A721" t="s">
        <v>259</v>
      </c>
      <c r="B721">
        <v>2024</v>
      </c>
      <c r="C721" t="str">
        <f t="shared" si="22"/>
        <v>Nyíradonyi járás2024</v>
      </c>
      <c r="D721">
        <v>0.47079463882335226</v>
      </c>
      <c r="E721">
        <v>177</v>
      </c>
      <c r="F721">
        <f t="shared" si="23"/>
        <v>3</v>
      </c>
    </row>
    <row r="722" spans="1:6" x14ac:dyDescent="0.35">
      <c r="A722" t="s">
        <v>261</v>
      </c>
      <c r="B722">
        <v>2024</v>
      </c>
      <c r="C722" t="str">
        <f t="shared" si="22"/>
        <v>Nyírbátori járás2024</v>
      </c>
      <c r="D722">
        <v>0.45650766549283245</v>
      </c>
      <c r="E722">
        <v>166</v>
      </c>
      <c r="F722">
        <f t="shared" si="23"/>
        <v>3</v>
      </c>
    </row>
    <row r="723" spans="1:6" x14ac:dyDescent="0.35">
      <c r="A723" t="s">
        <v>263</v>
      </c>
      <c r="B723">
        <v>2024</v>
      </c>
      <c r="C723" t="str">
        <f t="shared" si="22"/>
        <v>Nyíregyházi járás2024</v>
      </c>
      <c r="D723">
        <v>0.36095771144278599</v>
      </c>
      <c r="E723">
        <v>81</v>
      </c>
      <c r="F723">
        <f t="shared" si="23"/>
        <v>2</v>
      </c>
    </row>
    <row r="724" spans="1:6" x14ac:dyDescent="0.35">
      <c r="A724" t="s">
        <v>265</v>
      </c>
      <c r="B724">
        <v>2024</v>
      </c>
      <c r="C724" t="str">
        <f t="shared" si="22"/>
        <v>Orosházi járás2024</v>
      </c>
      <c r="D724">
        <v>0.38200710479573713</v>
      </c>
      <c r="E724">
        <v>97</v>
      </c>
      <c r="F724">
        <f t="shared" si="23"/>
        <v>2</v>
      </c>
    </row>
    <row r="725" spans="1:6" x14ac:dyDescent="0.35">
      <c r="A725" t="s">
        <v>267</v>
      </c>
      <c r="B725">
        <v>2024</v>
      </c>
      <c r="C725" t="str">
        <f t="shared" si="22"/>
        <v>Oroszlányi járás2024</v>
      </c>
      <c r="D725">
        <v>0.30359438924605492</v>
      </c>
      <c r="E725">
        <v>23</v>
      </c>
      <c r="F725">
        <f t="shared" si="23"/>
        <v>1</v>
      </c>
    </row>
    <row r="726" spans="1:6" x14ac:dyDescent="0.35">
      <c r="A726" t="s">
        <v>269</v>
      </c>
      <c r="B726">
        <v>2024</v>
      </c>
      <c r="C726" t="str">
        <f t="shared" si="22"/>
        <v>Ózdi járás2024</v>
      </c>
      <c r="D726">
        <v>0.52661775450560155</v>
      </c>
      <c r="E726">
        <v>196</v>
      </c>
      <c r="F726">
        <f t="shared" si="23"/>
        <v>3</v>
      </c>
    </row>
    <row r="727" spans="1:6" x14ac:dyDescent="0.35">
      <c r="A727" t="s">
        <v>271</v>
      </c>
      <c r="B727">
        <v>2024</v>
      </c>
      <c r="C727" t="str">
        <f t="shared" si="22"/>
        <v>Paksi járás2024</v>
      </c>
      <c r="D727">
        <v>0.33160490517992358</v>
      </c>
      <c r="E727">
        <v>56</v>
      </c>
      <c r="F727">
        <f t="shared" si="23"/>
        <v>1</v>
      </c>
    </row>
    <row r="728" spans="1:6" x14ac:dyDescent="0.35">
      <c r="A728" t="s">
        <v>273</v>
      </c>
      <c r="B728">
        <v>2024</v>
      </c>
      <c r="C728" t="str">
        <f t="shared" si="22"/>
        <v>Pannonhalmi járás2024</v>
      </c>
      <c r="D728">
        <v>0.31155985716970491</v>
      </c>
      <c r="E728">
        <v>32</v>
      </c>
      <c r="F728">
        <f t="shared" si="23"/>
        <v>1</v>
      </c>
    </row>
    <row r="729" spans="1:6" x14ac:dyDescent="0.35">
      <c r="A729" t="s">
        <v>275</v>
      </c>
      <c r="B729">
        <v>2024</v>
      </c>
      <c r="C729" t="str">
        <f t="shared" si="22"/>
        <v>Pápai járás2024</v>
      </c>
      <c r="D729">
        <v>0.35267287123211555</v>
      </c>
      <c r="E729">
        <v>73</v>
      </c>
      <c r="F729">
        <f t="shared" si="23"/>
        <v>2</v>
      </c>
    </row>
    <row r="730" spans="1:6" x14ac:dyDescent="0.35">
      <c r="A730" t="s">
        <v>277</v>
      </c>
      <c r="B730">
        <v>2024</v>
      </c>
      <c r="C730" t="str">
        <f t="shared" si="22"/>
        <v>Pásztói járás2024</v>
      </c>
      <c r="D730">
        <v>0.38247549530761216</v>
      </c>
      <c r="E730">
        <v>98</v>
      </c>
      <c r="F730">
        <f t="shared" si="23"/>
        <v>2</v>
      </c>
    </row>
    <row r="731" spans="1:6" x14ac:dyDescent="0.35">
      <c r="A731" t="s">
        <v>279</v>
      </c>
      <c r="B731">
        <v>2024</v>
      </c>
      <c r="C731" t="str">
        <f t="shared" si="22"/>
        <v>Pécsi járás2024</v>
      </c>
      <c r="D731">
        <v>0.39456028647539199</v>
      </c>
      <c r="E731">
        <v>110</v>
      </c>
      <c r="F731">
        <f t="shared" si="23"/>
        <v>2</v>
      </c>
    </row>
    <row r="732" spans="1:6" x14ac:dyDescent="0.35">
      <c r="A732" t="s">
        <v>281</v>
      </c>
      <c r="B732">
        <v>2024</v>
      </c>
      <c r="C732" t="str">
        <f t="shared" si="22"/>
        <v>Pécsváradi járás2024</v>
      </c>
      <c r="D732">
        <v>0.42900163220892279</v>
      </c>
      <c r="E732">
        <v>144</v>
      </c>
      <c r="F732">
        <f t="shared" si="23"/>
        <v>3</v>
      </c>
    </row>
    <row r="733" spans="1:6" x14ac:dyDescent="0.35">
      <c r="A733" t="s">
        <v>283</v>
      </c>
      <c r="B733">
        <v>2024</v>
      </c>
      <c r="C733" t="str">
        <f t="shared" si="22"/>
        <v>Pétervásárai járás2024</v>
      </c>
      <c r="D733">
        <v>0.42373395565927641</v>
      </c>
      <c r="E733">
        <v>137</v>
      </c>
      <c r="F733">
        <f t="shared" si="23"/>
        <v>3</v>
      </c>
    </row>
    <row r="734" spans="1:6" x14ac:dyDescent="0.35">
      <c r="A734" t="s">
        <v>285</v>
      </c>
      <c r="B734">
        <v>2024</v>
      </c>
      <c r="C734" t="str">
        <f t="shared" si="22"/>
        <v>Pilisvörösvári járás2024</v>
      </c>
      <c r="D734">
        <v>0.31968730553827007</v>
      </c>
      <c r="E734">
        <v>43</v>
      </c>
      <c r="F734">
        <f t="shared" si="23"/>
        <v>1</v>
      </c>
    </row>
    <row r="735" spans="1:6" x14ac:dyDescent="0.35">
      <c r="A735" t="s">
        <v>287</v>
      </c>
      <c r="B735">
        <v>2024</v>
      </c>
      <c r="C735" t="str">
        <f t="shared" si="22"/>
        <v>Putnoki járás2024</v>
      </c>
      <c r="D735">
        <v>0.47312396144898639</v>
      </c>
      <c r="E735">
        <v>178</v>
      </c>
      <c r="F735">
        <f t="shared" si="23"/>
        <v>3</v>
      </c>
    </row>
    <row r="736" spans="1:6" x14ac:dyDescent="0.35">
      <c r="A736" t="s">
        <v>289</v>
      </c>
      <c r="B736">
        <v>2024</v>
      </c>
      <c r="C736" t="str">
        <f t="shared" si="22"/>
        <v>Püspökladányi járás2024</v>
      </c>
      <c r="D736">
        <v>0.39640930081827752</v>
      </c>
      <c r="E736">
        <v>112</v>
      </c>
      <c r="F736">
        <f t="shared" si="23"/>
        <v>2</v>
      </c>
    </row>
    <row r="737" spans="1:6" x14ac:dyDescent="0.35">
      <c r="A737" t="s">
        <v>291</v>
      </c>
      <c r="B737">
        <v>2024</v>
      </c>
      <c r="C737" t="str">
        <f t="shared" si="22"/>
        <v>Ráckevei járás2024</v>
      </c>
      <c r="D737">
        <v>0.35026961064714179</v>
      </c>
      <c r="E737">
        <v>71</v>
      </c>
      <c r="F737">
        <f t="shared" si="23"/>
        <v>2</v>
      </c>
    </row>
    <row r="738" spans="1:6" x14ac:dyDescent="0.35">
      <c r="A738" t="s">
        <v>293</v>
      </c>
      <c r="B738">
        <v>2024</v>
      </c>
      <c r="C738" t="str">
        <f t="shared" si="22"/>
        <v>Rétsági járás2024</v>
      </c>
      <c r="D738">
        <v>0.34406907914810514</v>
      </c>
      <c r="E738">
        <v>66</v>
      </c>
      <c r="F738">
        <f t="shared" si="23"/>
        <v>2</v>
      </c>
    </row>
    <row r="739" spans="1:6" x14ac:dyDescent="0.35">
      <c r="A739" t="s">
        <v>295</v>
      </c>
      <c r="B739">
        <v>2024</v>
      </c>
      <c r="C739" t="str">
        <f t="shared" si="22"/>
        <v>Salgótarjáni járás2024</v>
      </c>
      <c r="D739">
        <v>0.40603633989772597</v>
      </c>
      <c r="E739">
        <v>118</v>
      </c>
      <c r="F739">
        <f t="shared" si="23"/>
        <v>2</v>
      </c>
    </row>
    <row r="740" spans="1:6" x14ac:dyDescent="0.35">
      <c r="A740" t="s">
        <v>297</v>
      </c>
      <c r="B740">
        <v>2024</v>
      </c>
      <c r="C740" t="str">
        <f t="shared" si="22"/>
        <v>Sárbogárdi járás2024</v>
      </c>
      <c r="D740">
        <v>0.36492582921273398</v>
      </c>
      <c r="E740">
        <v>85</v>
      </c>
      <c r="F740">
        <f t="shared" si="23"/>
        <v>2</v>
      </c>
    </row>
    <row r="741" spans="1:6" x14ac:dyDescent="0.35">
      <c r="A741" t="s">
        <v>299</v>
      </c>
      <c r="B741">
        <v>2024</v>
      </c>
      <c r="C741" t="str">
        <f t="shared" si="22"/>
        <v>Sarkadi járás2024</v>
      </c>
      <c r="D741">
        <v>0.4685914993259066</v>
      </c>
      <c r="E741">
        <v>176</v>
      </c>
      <c r="F741">
        <f t="shared" si="23"/>
        <v>3</v>
      </c>
    </row>
    <row r="742" spans="1:6" x14ac:dyDescent="0.35">
      <c r="A742" t="s">
        <v>301</v>
      </c>
      <c r="B742">
        <v>2024</v>
      </c>
      <c r="C742" t="str">
        <f t="shared" si="22"/>
        <v>Sárospataki járás2024</v>
      </c>
      <c r="D742">
        <v>0.40757963103710365</v>
      </c>
      <c r="E742">
        <v>120</v>
      </c>
      <c r="F742">
        <f t="shared" si="23"/>
        <v>2</v>
      </c>
    </row>
    <row r="743" spans="1:6" x14ac:dyDescent="0.35">
      <c r="A743" t="s">
        <v>303</v>
      </c>
      <c r="B743">
        <v>2024</v>
      </c>
      <c r="C743" t="str">
        <f t="shared" si="22"/>
        <v>Sárvári járás2024</v>
      </c>
      <c r="D743">
        <v>0.31859736648401077</v>
      </c>
      <c r="E743">
        <v>41</v>
      </c>
      <c r="F743">
        <f t="shared" si="23"/>
        <v>1</v>
      </c>
    </row>
    <row r="744" spans="1:6" x14ac:dyDescent="0.35">
      <c r="A744" t="s">
        <v>305</v>
      </c>
      <c r="B744">
        <v>2024</v>
      </c>
      <c r="C744" t="str">
        <f t="shared" si="22"/>
        <v>Sátoraljaújhelyi járás2024</v>
      </c>
      <c r="D744">
        <v>0.42226191337045349</v>
      </c>
      <c r="E744">
        <v>132</v>
      </c>
      <c r="F744">
        <f t="shared" si="23"/>
        <v>3</v>
      </c>
    </row>
    <row r="745" spans="1:6" x14ac:dyDescent="0.35">
      <c r="A745" t="s">
        <v>307</v>
      </c>
      <c r="B745">
        <v>2024</v>
      </c>
      <c r="C745" t="str">
        <f t="shared" si="22"/>
        <v>Sellyei járás2024</v>
      </c>
      <c r="D745">
        <v>0.48670562293274533</v>
      </c>
      <c r="E745">
        <v>182</v>
      </c>
      <c r="F745">
        <f t="shared" si="23"/>
        <v>3</v>
      </c>
    </row>
    <row r="746" spans="1:6" x14ac:dyDescent="0.35">
      <c r="A746" t="s">
        <v>309</v>
      </c>
      <c r="B746">
        <v>2024</v>
      </c>
      <c r="C746" t="str">
        <f t="shared" si="22"/>
        <v>Siklósi járás2024</v>
      </c>
      <c r="D746">
        <v>0.4660590920837282</v>
      </c>
      <c r="E746">
        <v>173</v>
      </c>
      <c r="F746">
        <f t="shared" si="23"/>
        <v>3</v>
      </c>
    </row>
    <row r="747" spans="1:6" x14ac:dyDescent="0.35">
      <c r="A747" t="s">
        <v>311</v>
      </c>
      <c r="B747">
        <v>2024</v>
      </c>
      <c r="C747" t="str">
        <f t="shared" si="22"/>
        <v>Siófoki járás2024</v>
      </c>
      <c r="D747">
        <v>0.38925367746593265</v>
      </c>
      <c r="E747">
        <v>104</v>
      </c>
      <c r="F747">
        <f t="shared" si="23"/>
        <v>2</v>
      </c>
    </row>
    <row r="748" spans="1:6" x14ac:dyDescent="0.35">
      <c r="A748" t="s">
        <v>313</v>
      </c>
      <c r="B748">
        <v>2024</v>
      </c>
      <c r="C748" t="str">
        <f t="shared" si="22"/>
        <v>Soproni járás2024</v>
      </c>
      <c r="D748">
        <v>0.49053057399453337</v>
      </c>
      <c r="E748">
        <v>184</v>
      </c>
      <c r="F748">
        <f t="shared" si="23"/>
        <v>3</v>
      </c>
    </row>
    <row r="749" spans="1:6" x14ac:dyDescent="0.35">
      <c r="A749" t="s">
        <v>315</v>
      </c>
      <c r="B749">
        <v>2024</v>
      </c>
      <c r="C749" t="str">
        <f t="shared" si="22"/>
        <v>Sümegi járás2024</v>
      </c>
      <c r="D749">
        <v>0.38907975460122701</v>
      </c>
      <c r="E749">
        <v>103</v>
      </c>
      <c r="F749">
        <f t="shared" si="23"/>
        <v>2</v>
      </c>
    </row>
    <row r="750" spans="1:6" x14ac:dyDescent="0.35">
      <c r="A750" t="s">
        <v>317</v>
      </c>
      <c r="B750">
        <v>2024</v>
      </c>
      <c r="C750" t="str">
        <f t="shared" si="22"/>
        <v>Szarvasi járás2024</v>
      </c>
      <c r="D750">
        <v>0.34368362558656451</v>
      </c>
      <c r="E750">
        <v>65</v>
      </c>
      <c r="F750">
        <f t="shared" si="23"/>
        <v>1</v>
      </c>
    </row>
    <row r="751" spans="1:6" x14ac:dyDescent="0.35">
      <c r="A751" t="s">
        <v>319</v>
      </c>
      <c r="B751">
        <v>2024</v>
      </c>
      <c r="C751" t="str">
        <f t="shared" si="22"/>
        <v>Szécsényi járás2024</v>
      </c>
      <c r="D751">
        <v>0.44797003871402113</v>
      </c>
      <c r="E751">
        <v>160</v>
      </c>
      <c r="F751">
        <f t="shared" si="23"/>
        <v>3</v>
      </c>
    </row>
    <row r="752" spans="1:6" x14ac:dyDescent="0.35">
      <c r="A752" t="s">
        <v>321</v>
      </c>
      <c r="B752">
        <v>2024</v>
      </c>
      <c r="C752" t="str">
        <f t="shared" si="22"/>
        <v>Szegedi járás2024</v>
      </c>
      <c r="D752">
        <v>0.35403839194398562</v>
      </c>
      <c r="E752">
        <v>75</v>
      </c>
      <c r="F752">
        <f t="shared" si="23"/>
        <v>2</v>
      </c>
    </row>
    <row r="753" spans="1:6" x14ac:dyDescent="0.35">
      <c r="A753" t="s">
        <v>323</v>
      </c>
      <c r="B753">
        <v>2024</v>
      </c>
      <c r="C753" t="str">
        <f t="shared" si="22"/>
        <v>Szeghalmi járás2024</v>
      </c>
      <c r="D753">
        <v>0.37309888888888887</v>
      </c>
      <c r="E753">
        <v>91</v>
      </c>
      <c r="F753">
        <f t="shared" si="23"/>
        <v>2</v>
      </c>
    </row>
    <row r="754" spans="1:6" x14ac:dyDescent="0.35">
      <c r="A754" t="s">
        <v>325</v>
      </c>
      <c r="B754">
        <v>2024</v>
      </c>
      <c r="C754" t="str">
        <f t="shared" si="22"/>
        <v>Székesfehérvári járás2024</v>
      </c>
      <c r="D754">
        <v>0.28321564062321353</v>
      </c>
      <c r="E754">
        <v>5</v>
      </c>
      <c r="F754">
        <f t="shared" si="23"/>
        <v>1</v>
      </c>
    </row>
    <row r="755" spans="1:6" x14ac:dyDescent="0.35">
      <c r="A755" t="s">
        <v>327</v>
      </c>
      <c r="B755">
        <v>2024</v>
      </c>
      <c r="C755" t="str">
        <f t="shared" si="22"/>
        <v>Szekszárdi járás2024</v>
      </c>
      <c r="D755">
        <v>0.3770896891845395</v>
      </c>
      <c r="E755">
        <v>93</v>
      </c>
      <c r="F755">
        <f t="shared" si="23"/>
        <v>2</v>
      </c>
    </row>
    <row r="756" spans="1:6" x14ac:dyDescent="0.35">
      <c r="A756" t="s">
        <v>329</v>
      </c>
      <c r="B756">
        <v>2024</v>
      </c>
      <c r="C756" t="str">
        <f t="shared" si="22"/>
        <v>Szentendrei járás2024</v>
      </c>
      <c r="D756">
        <v>0.33119699631428479</v>
      </c>
      <c r="E756">
        <v>55</v>
      </c>
      <c r="F756">
        <f t="shared" si="23"/>
        <v>1</v>
      </c>
    </row>
    <row r="757" spans="1:6" x14ac:dyDescent="0.35">
      <c r="A757" t="s">
        <v>331</v>
      </c>
      <c r="B757">
        <v>2024</v>
      </c>
      <c r="C757" t="str">
        <f t="shared" si="22"/>
        <v>Szentesi járás2024</v>
      </c>
      <c r="D757">
        <v>0.33564961636828644</v>
      </c>
      <c r="E757">
        <v>57</v>
      </c>
      <c r="F757">
        <f t="shared" si="23"/>
        <v>1</v>
      </c>
    </row>
    <row r="758" spans="1:6" x14ac:dyDescent="0.35">
      <c r="A758" t="s">
        <v>333</v>
      </c>
      <c r="B758">
        <v>2024</v>
      </c>
      <c r="C758" t="str">
        <f t="shared" si="22"/>
        <v>Szentgotthárdi járás2024</v>
      </c>
      <c r="D758">
        <v>0.49262121374290918</v>
      </c>
      <c r="E758">
        <v>185</v>
      </c>
      <c r="F758">
        <f t="shared" si="23"/>
        <v>3</v>
      </c>
    </row>
    <row r="759" spans="1:6" x14ac:dyDescent="0.35">
      <c r="A759" t="s">
        <v>335</v>
      </c>
      <c r="B759">
        <v>2024</v>
      </c>
      <c r="C759" t="str">
        <f t="shared" si="22"/>
        <v>Szentlőrinci járás2024</v>
      </c>
      <c r="D759">
        <v>0.42525626364486951</v>
      </c>
      <c r="E759">
        <v>139</v>
      </c>
      <c r="F759">
        <f t="shared" si="23"/>
        <v>3</v>
      </c>
    </row>
    <row r="760" spans="1:6" x14ac:dyDescent="0.35">
      <c r="A760" t="s">
        <v>337</v>
      </c>
      <c r="B760">
        <v>2024</v>
      </c>
      <c r="C760" t="str">
        <f t="shared" si="22"/>
        <v>Szerencsi járás2024</v>
      </c>
      <c r="D760">
        <v>0.44273578460920238</v>
      </c>
      <c r="E760">
        <v>153</v>
      </c>
      <c r="F760">
        <f t="shared" si="23"/>
        <v>3</v>
      </c>
    </row>
    <row r="761" spans="1:6" x14ac:dyDescent="0.35">
      <c r="A761" t="s">
        <v>339</v>
      </c>
      <c r="B761">
        <v>2024</v>
      </c>
      <c r="C761" t="str">
        <f t="shared" si="22"/>
        <v>Szigetszentmiklósi járás2024</v>
      </c>
      <c r="D761">
        <v>0.31167868059674259</v>
      </c>
      <c r="E761">
        <v>33</v>
      </c>
      <c r="F761">
        <f t="shared" si="23"/>
        <v>1</v>
      </c>
    </row>
    <row r="762" spans="1:6" x14ac:dyDescent="0.35">
      <c r="A762" t="s">
        <v>341</v>
      </c>
      <c r="B762">
        <v>2024</v>
      </c>
      <c r="C762" t="str">
        <f t="shared" si="22"/>
        <v>Szigetvári járás2024</v>
      </c>
      <c r="D762">
        <v>0.46262645303173106</v>
      </c>
      <c r="E762">
        <v>171</v>
      </c>
      <c r="F762">
        <f t="shared" si="23"/>
        <v>3</v>
      </c>
    </row>
    <row r="763" spans="1:6" x14ac:dyDescent="0.35">
      <c r="A763" t="s">
        <v>343</v>
      </c>
      <c r="B763">
        <v>2024</v>
      </c>
      <c r="C763" t="str">
        <f t="shared" si="22"/>
        <v>Szikszói járás2024</v>
      </c>
      <c r="D763">
        <v>0.46071744028841821</v>
      </c>
      <c r="E763">
        <v>169</v>
      </c>
      <c r="F763">
        <f t="shared" si="23"/>
        <v>3</v>
      </c>
    </row>
    <row r="764" spans="1:6" x14ac:dyDescent="0.35">
      <c r="A764" t="s">
        <v>345</v>
      </c>
      <c r="B764">
        <v>2024</v>
      </c>
      <c r="C764" t="str">
        <f t="shared" si="22"/>
        <v>Szobi járás2024</v>
      </c>
      <c r="D764">
        <v>0.35513816873055565</v>
      </c>
      <c r="E764">
        <v>76</v>
      </c>
      <c r="F764">
        <f t="shared" si="23"/>
        <v>2</v>
      </c>
    </row>
    <row r="765" spans="1:6" x14ac:dyDescent="0.35">
      <c r="A765" t="s">
        <v>347</v>
      </c>
      <c r="B765">
        <v>2024</v>
      </c>
      <c r="C765" t="str">
        <f t="shared" si="22"/>
        <v>Szolnoki járás2024</v>
      </c>
      <c r="D765">
        <v>0.32753038604002654</v>
      </c>
      <c r="E765">
        <v>51</v>
      </c>
      <c r="F765">
        <f t="shared" si="23"/>
        <v>1</v>
      </c>
    </row>
    <row r="766" spans="1:6" x14ac:dyDescent="0.35">
      <c r="A766" t="s">
        <v>349</v>
      </c>
      <c r="B766">
        <v>2024</v>
      </c>
      <c r="C766" t="str">
        <f t="shared" si="22"/>
        <v>Szombathelyi járás2024</v>
      </c>
      <c r="D766">
        <v>0.3310414455757924</v>
      </c>
      <c r="E766">
        <v>54</v>
      </c>
      <c r="F766">
        <f t="shared" si="23"/>
        <v>1</v>
      </c>
    </row>
    <row r="767" spans="1:6" x14ac:dyDescent="0.35">
      <c r="A767" t="s">
        <v>351</v>
      </c>
      <c r="B767">
        <v>2024</v>
      </c>
      <c r="C767" t="str">
        <f t="shared" si="22"/>
        <v>Tabi járás2024</v>
      </c>
      <c r="D767">
        <v>0.42298511293634494</v>
      </c>
      <c r="E767">
        <v>133</v>
      </c>
      <c r="F767">
        <f t="shared" si="23"/>
        <v>3</v>
      </c>
    </row>
    <row r="768" spans="1:6" x14ac:dyDescent="0.35">
      <c r="A768" t="s">
        <v>353</v>
      </c>
      <c r="B768">
        <v>2024</v>
      </c>
      <c r="C768" t="str">
        <f t="shared" si="22"/>
        <v>Tamási járás2024</v>
      </c>
      <c r="D768">
        <v>0.45232101116786427</v>
      </c>
      <c r="E768">
        <v>165</v>
      </c>
      <c r="F768">
        <f t="shared" si="23"/>
        <v>3</v>
      </c>
    </row>
    <row r="769" spans="1:6" x14ac:dyDescent="0.35">
      <c r="A769" t="s">
        <v>355</v>
      </c>
      <c r="B769">
        <v>2024</v>
      </c>
      <c r="C769" t="str">
        <f t="shared" si="22"/>
        <v>Tapolcai járás2024</v>
      </c>
      <c r="D769">
        <v>0.38410351716768099</v>
      </c>
      <c r="E769">
        <v>99</v>
      </c>
      <c r="F769">
        <f t="shared" si="23"/>
        <v>2</v>
      </c>
    </row>
    <row r="770" spans="1:6" x14ac:dyDescent="0.35">
      <c r="A770" t="s">
        <v>357</v>
      </c>
      <c r="B770">
        <v>2024</v>
      </c>
      <c r="C770" t="str">
        <f t="shared" si="22"/>
        <v>Tatabányai járás2024</v>
      </c>
      <c r="D770">
        <v>0.29347969774379673</v>
      </c>
      <c r="E770">
        <v>14</v>
      </c>
      <c r="F770">
        <f t="shared" si="23"/>
        <v>1</v>
      </c>
    </row>
    <row r="771" spans="1:6" x14ac:dyDescent="0.35">
      <c r="A771" t="s">
        <v>359</v>
      </c>
      <c r="B771">
        <v>2024</v>
      </c>
      <c r="C771" t="str">
        <f t="shared" ref="C771:C789" si="24">A771&amp;B771</f>
        <v>Tatai járás2024</v>
      </c>
      <c r="D771">
        <v>0.28779874709428321</v>
      </c>
      <c r="E771">
        <v>8</v>
      </c>
      <c r="F771">
        <f t="shared" ref="F771:F789" si="25">IF(E771&lt;66,1,IF(E771&lt;132,2,3))</f>
        <v>1</v>
      </c>
    </row>
    <row r="772" spans="1:6" x14ac:dyDescent="0.35">
      <c r="A772" t="s">
        <v>361</v>
      </c>
      <c r="B772">
        <v>2024</v>
      </c>
      <c r="C772" t="str">
        <f t="shared" si="24"/>
        <v>Téti járás2024</v>
      </c>
      <c r="D772">
        <v>0.32745037875155808</v>
      </c>
      <c r="E772">
        <v>50</v>
      </c>
      <c r="F772">
        <f t="shared" si="25"/>
        <v>1</v>
      </c>
    </row>
    <row r="773" spans="1:6" x14ac:dyDescent="0.35">
      <c r="A773" t="s">
        <v>363</v>
      </c>
      <c r="B773">
        <v>2024</v>
      </c>
      <c r="C773" t="str">
        <f t="shared" si="24"/>
        <v>Tiszafüredi járás2024</v>
      </c>
      <c r="D773">
        <v>0.41405827882083096</v>
      </c>
      <c r="E773">
        <v>125</v>
      </c>
      <c r="F773">
        <f t="shared" si="25"/>
        <v>2</v>
      </c>
    </row>
    <row r="774" spans="1:6" x14ac:dyDescent="0.35">
      <c r="A774" t="s">
        <v>365</v>
      </c>
      <c r="B774">
        <v>2024</v>
      </c>
      <c r="C774" t="str">
        <f t="shared" si="24"/>
        <v>Tiszakécskei járás2024</v>
      </c>
      <c r="D774">
        <v>0.35767719031317352</v>
      </c>
      <c r="E774">
        <v>79</v>
      </c>
      <c r="F774">
        <f t="shared" si="25"/>
        <v>2</v>
      </c>
    </row>
    <row r="775" spans="1:6" x14ac:dyDescent="0.35">
      <c r="A775" t="s">
        <v>367</v>
      </c>
      <c r="B775">
        <v>2024</v>
      </c>
      <c r="C775" t="str">
        <f t="shared" si="24"/>
        <v>Tiszaújvárosi járás2024</v>
      </c>
      <c r="D775">
        <v>0.36504523956405516</v>
      </c>
      <c r="E775">
        <v>86</v>
      </c>
      <c r="F775">
        <f t="shared" si="25"/>
        <v>2</v>
      </c>
    </row>
    <row r="776" spans="1:6" x14ac:dyDescent="0.35">
      <c r="A776" t="s">
        <v>369</v>
      </c>
      <c r="B776">
        <v>2024</v>
      </c>
      <c r="C776" t="str">
        <f t="shared" si="24"/>
        <v>Tiszavasvári járás2024</v>
      </c>
      <c r="D776">
        <v>0.45728278227952918</v>
      </c>
      <c r="E776">
        <v>167</v>
      </c>
      <c r="F776">
        <f t="shared" si="25"/>
        <v>3</v>
      </c>
    </row>
    <row r="777" spans="1:6" x14ac:dyDescent="0.35">
      <c r="A777" t="s">
        <v>371</v>
      </c>
      <c r="B777">
        <v>2024</v>
      </c>
      <c r="C777" t="str">
        <f t="shared" si="24"/>
        <v>Tokaji járás2024</v>
      </c>
      <c r="D777">
        <v>0.43294502617801051</v>
      </c>
      <c r="E777">
        <v>147</v>
      </c>
      <c r="F777">
        <f t="shared" si="25"/>
        <v>3</v>
      </c>
    </row>
    <row r="778" spans="1:6" x14ac:dyDescent="0.35">
      <c r="A778" t="s">
        <v>373</v>
      </c>
      <c r="B778">
        <v>2024</v>
      </c>
      <c r="C778" t="str">
        <f t="shared" si="24"/>
        <v>Tolnai járás2024</v>
      </c>
      <c r="D778">
        <v>0.38712042803262875</v>
      </c>
      <c r="E778">
        <v>101</v>
      </c>
      <c r="F778">
        <f t="shared" si="25"/>
        <v>2</v>
      </c>
    </row>
    <row r="779" spans="1:6" x14ac:dyDescent="0.35">
      <c r="A779" t="s">
        <v>375</v>
      </c>
      <c r="B779">
        <v>2024</v>
      </c>
      <c r="C779" t="str">
        <f t="shared" si="24"/>
        <v>Törökszentmiklósi járás2024</v>
      </c>
      <c r="D779">
        <v>0.38686774334351814</v>
      </c>
      <c r="E779">
        <v>100</v>
      </c>
      <c r="F779">
        <f t="shared" si="25"/>
        <v>2</v>
      </c>
    </row>
    <row r="780" spans="1:6" x14ac:dyDescent="0.35">
      <c r="A780" t="s">
        <v>377</v>
      </c>
      <c r="B780">
        <v>2024</v>
      </c>
      <c r="C780" t="str">
        <f t="shared" si="24"/>
        <v>Váci járás2024</v>
      </c>
      <c r="D780">
        <v>0.31839386189258317</v>
      </c>
      <c r="E780">
        <v>40</v>
      </c>
      <c r="F780">
        <f t="shared" si="25"/>
        <v>1</v>
      </c>
    </row>
    <row r="781" spans="1:6" x14ac:dyDescent="0.35">
      <c r="A781" t="s">
        <v>379</v>
      </c>
      <c r="B781">
        <v>2024</v>
      </c>
      <c r="C781" t="str">
        <f t="shared" si="24"/>
        <v>Várpalotai járás2024</v>
      </c>
      <c r="D781">
        <v>0.31056280689973564</v>
      </c>
      <c r="E781">
        <v>30</v>
      </c>
      <c r="F781">
        <f t="shared" si="25"/>
        <v>1</v>
      </c>
    </row>
    <row r="782" spans="1:6" x14ac:dyDescent="0.35">
      <c r="A782" t="s">
        <v>381</v>
      </c>
      <c r="B782">
        <v>2024</v>
      </c>
      <c r="C782" t="str">
        <f t="shared" si="24"/>
        <v>Vásárosnaményi járás2024</v>
      </c>
      <c r="D782">
        <v>0.49783318042203517</v>
      </c>
      <c r="E782">
        <v>188</v>
      </c>
      <c r="F782">
        <f t="shared" si="25"/>
        <v>3</v>
      </c>
    </row>
    <row r="783" spans="1:6" x14ac:dyDescent="0.35">
      <c r="A783" t="s">
        <v>383</v>
      </c>
      <c r="B783">
        <v>2024</v>
      </c>
      <c r="C783" t="str">
        <f t="shared" si="24"/>
        <v>Vasvári járás2024</v>
      </c>
      <c r="D783">
        <v>0.36281285616594483</v>
      </c>
      <c r="E783">
        <v>82</v>
      </c>
      <c r="F783">
        <f t="shared" si="25"/>
        <v>2</v>
      </c>
    </row>
    <row r="784" spans="1:6" x14ac:dyDescent="0.35">
      <c r="A784" t="s">
        <v>385</v>
      </c>
      <c r="B784">
        <v>2024</v>
      </c>
      <c r="C784" t="str">
        <f t="shared" si="24"/>
        <v>Vecsési járás2024</v>
      </c>
      <c r="D784">
        <v>0.30233548237207408</v>
      </c>
      <c r="E784">
        <v>20</v>
      </c>
      <c r="F784">
        <f t="shared" si="25"/>
        <v>1</v>
      </c>
    </row>
    <row r="785" spans="1:6" x14ac:dyDescent="0.35">
      <c r="A785" t="s">
        <v>387</v>
      </c>
      <c r="B785">
        <v>2024</v>
      </c>
      <c r="C785" t="str">
        <f t="shared" si="24"/>
        <v>Veszprémi járás2024</v>
      </c>
      <c r="D785">
        <v>0.29280802817188106</v>
      </c>
      <c r="E785">
        <v>12</v>
      </c>
      <c r="F785">
        <f t="shared" si="25"/>
        <v>1</v>
      </c>
    </row>
    <row r="786" spans="1:6" x14ac:dyDescent="0.35">
      <c r="A786" t="s">
        <v>389</v>
      </c>
      <c r="B786">
        <v>2024</v>
      </c>
      <c r="C786" t="str">
        <f t="shared" si="24"/>
        <v>Záhonyi járás2024</v>
      </c>
      <c r="D786">
        <v>0.46133598093725187</v>
      </c>
      <c r="E786">
        <v>170</v>
      </c>
      <c r="F786">
        <f t="shared" si="25"/>
        <v>3</v>
      </c>
    </row>
    <row r="787" spans="1:6" x14ac:dyDescent="0.35">
      <c r="A787" t="s">
        <v>391</v>
      </c>
      <c r="B787">
        <v>2024</v>
      </c>
      <c r="C787" t="str">
        <f t="shared" si="24"/>
        <v>Zalaegerszegi járás2024</v>
      </c>
      <c r="D787">
        <v>0.34050701325440746</v>
      </c>
      <c r="E787">
        <v>63</v>
      </c>
      <c r="F787">
        <f t="shared" si="25"/>
        <v>1</v>
      </c>
    </row>
    <row r="788" spans="1:6" x14ac:dyDescent="0.35">
      <c r="A788" t="s">
        <v>393</v>
      </c>
      <c r="B788">
        <v>2024</v>
      </c>
      <c r="C788" t="str">
        <f t="shared" si="24"/>
        <v>Zalaszentgróti járás2024</v>
      </c>
      <c r="D788">
        <v>0.42116486710963447</v>
      </c>
      <c r="E788">
        <v>131</v>
      </c>
      <c r="F788">
        <f t="shared" si="25"/>
        <v>2</v>
      </c>
    </row>
    <row r="789" spans="1:6" x14ac:dyDescent="0.35">
      <c r="A789" t="s">
        <v>395</v>
      </c>
      <c r="B789">
        <v>2024</v>
      </c>
      <c r="C789" t="str">
        <f t="shared" si="24"/>
        <v>Zirci járás2024</v>
      </c>
      <c r="D789">
        <v>0.3035204332840965</v>
      </c>
      <c r="E789">
        <v>22</v>
      </c>
      <c r="F789">
        <f t="shared" si="25"/>
        <v>1</v>
      </c>
    </row>
  </sheetData>
  <autoFilter ref="A1:D789" xr:uid="{299002EC-008A-4A4F-8BF0-540769460B1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D9E8-5759-4EBA-9583-889AE069D499}">
  <dimension ref="A1:AG215"/>
  <sheetViews>
    <sheetView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defaultRowHeight="15.5" x14ac:dyDescent="0.35"/>
  <cols>
    <col min="1" max="1" width="23.83203125" customWidth="1"/>
    <col min="6" max="20" width="17.25" customWidth="1"/>
    <col min="27" max="27" width="9.83203125" customWidth="1"/>
  </cols>
  <sheetData>
    <row r="1" spans="1:33" x14ac:dyDescent="0.35">
      <c r="A1" t="s">
        <v>397</v>
      </c>
      <c r="D1" t="s">
        <v>398</v>
      </c>
      <c r="E1" s="9">
        <v>0</v>
      </c>
      <c r="F1">
        <v>0</v>
      </c>
      <c r="G1">
        <f>F2</f>
        <v>100</v>
      </c>
      <c r="H1">
        <f t="shared" ref="H1:T1" si="0">G2</f>
        <v>200</v>
      </c>
      <c r="I1">
        <v>300</v>
      </c>
      <c r="J1">
        <f t="shared" si="0"/>
        <v>400</v>
      </c>
      <c r="K1">
        <f t="shared" si="0"/>
        <v>500</v>
      </c>
      <c r="L1">
        <f t="shared" si="0"/>
        <v>600</v>
      </c>
      <c r="M1">
        <f t="shared" si="0"/>
        <v>700</v>
      </c>
      <c r="N1">
        <f t="shared" si="0"/>
        <v>800</v>
      </c>
      <c r="O1">
        <f t="shared" si="0"/>
        <v>900</v>
      </c>
      <c r="P1">
        <f t="shared" si="0"/>
        <v>1000</v>
      </c>
      <c r="Q1">
        <f t="shared" si="0"/>
        <v>1500</v>
      </c>
      <c r="R1">
        <f t="shared" si="0"/>
        <v>2000</v>
      </c>
      <c r="S1">
        <f t="shared" si="0"/>
        <v>2500</v>
      </c>
      <c r="T1">
        <f t="shared" si="0"/>
        <v>5000</v>
      </c>
      <c r="U1" s="6" t="s">
        <v>399</v>
      </c>
      <c r="V1" s="6"/>
      <c r="W1" s="6"/>
      <c r="X1" s="6"/>
      <c r="Y1" s="6"/>
      <c r="Z1" s="6"/>
      <c r="AA1" s="6"/>
      <c r="AB1" t="s">
        <v>530</v>
      </c>
    </row>
    <row r="2" spans="1:33" x14ac:dyDescent="0.35">
      <c r="A2" s="22">
        <v>700</v>
      </c>
      <c r="D2" t="s">
        <v>400</v>
      </c>
      <c r="E2" s="9">
        <v>0</v>
      </c>
      <c r="F2">
        <v>100</v>
      </c>
      <c r="G2">
        <v>200</v>
      </c>
      <c r="H2">
        <v>300</v>
      </c>
      <c r="I2">
        <v>400</v>
      </c>
      <c r="J2">
        <v>500</v>
      </c>
      <c r="K2">
        <v>600</v>
      </c>
      <c r="L2">
        <v>700</v>
      </c>
      <c r="M2">
        <v>800</v>
      </c>
      <c r="N2">
        <v>900</v>
      </c>
      <c r="O2">
        <v>1000</v>
      </c>
      <c r="P2">
        <v>1500</v>
      </c>
      <c r="Q2">
        <v>2000</v>
      </c>
      <c r="R2">
        <v>2500</v>
      </c>
      <c r="S2">
        <v>5000</v>
      </c>
      <c r="T2">
        <f>T1*1.5</f>
        <v>7500</v>
      </c>
      <c r="U2" t="s">
        <v>401</v>
      </c>
    </row>
    <row r="3" spans="1:33" x14ac:dyDescent="0.35">
      <c r="A3" s="40">
        <v>500</v>
      </c>
      <c r="D3" t="s">
        <v>402</v>
      </c>
      <c r="E3" s="9">
        <v>0</v>
      </c>
      <c r="F3">
        <f>AVERAGE(F1:F2)</f>
        <v>50</v>
      </c>
      <c r="G3">
        <f t="shared" ref="G3:T3" si="1">AVERAGE(G1:G2)</f>
        <v>150</v>
      </c>
      <c r="H3">
        <f t="shared" si="1"/>
        <v>250</v>
      </c>
      <c r="I3">
        <f t="shared" si="1"/>
        <v>350</v>
      </c>
      <c r="J3">
        <f t="shared" si="1"/>
        <v>450</v>
      </c>
      <c r="K3">
        <f t="shared" si="1"/>
        <v>550</v>
      </c>
      <c r="L3">
        <f t="shared" si="1"/>
        <v>650</v>
      </c>
      <c r="M3">
        <f t="shared" si="1"/>
        <v>750</v>
      </c>
      <c r="N3">
        <f t="shared" si="1"/>
        <v>850</v>
      </c>
      <c r="O3">
        <f t="shared" si="1"/>
        <v>950</v>
      </c>
      <c r="P3">
        <f t="shared" si="1"/>
        <v>1250</v>
      </c>
      <c r="Q3">
        <f t="shared" si="1"/>
        <v>1750</v>
      </c>
      <c r="R3">
        <f t="shared" si="1"/>
        <v>2250</v>
      </c>
      <c r="S3">
        <f t="shared" si="1"/>
        <v>3750</v>
      </c>
      <c r="T3">
        <f t="shared" si="1"/>
        <v>6250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33" x14ac:dyDescent="0.35">
      <c r="A4" s="2">
        <v>400</v>
      </c>
      <c r="D4" s="22" t="s">
        <v>403</v>
      </c>
      <c r="E4" s="23">
        <f>($A$2-E3)/$A$2</f>
        <v>1</v>
      </c>
      <c r="F4" s="24">
        <f>($A$2-F3)/$A$2</f>
        <v>0.9285714285714286</v>
      </c>
      <c r="G4" s="22">
        <f t="shared" ref="G4:L4" si="2">($A$2-G3)/$A$2</f>
        <v>0.7857142857142857</v>
      </c>
      <c r="H4" s="22">
        <f t="shared" si="2"/>
        <v>0.6428571428571429</v>
      </c>
      <c r="I4" s="22">
        <f t="shared" si="2"/>
        <v>0.5</v>
      </c>
      <c r="J4" s="22">
        <f t="shared" si="2"/>
        <v>0.35714285714285715</v>
      </c>
      <c r="K4" s="22">
        <f t="shared" si="2"/>
        <v>0.21428571428571427</v>
      </c>
      <c r="L4" s="22">
        <f t="shared" si="2"/>
        <v>7.1428571428571425E-2</v>
      </c>
      <c r="U4" t="s">
        <v>404</v>
      </c>
    </row>
    <row r="5" spans="1:33" x14ac:dyDescent="0.35">
      <c r="A5" t="s">
        <v>542</v>
      </c>
      <c r="D5" s="22" t="s">
        <v>405</v>
      </c>
      <c r="E5" s="23">
        <f t="shared" ref="E5:J5" si="3">($A$3-E3)/$A$3</f>
        <v>1</v>
      </c>
      <c r="F5" s="22">
        <f t="shared" si="3"/>
        <v>0.9</v>
      </c>
      <c r="G5" s="22">
        <f t="shared" si="3"/>
        <v>0.7</v>
      </c>
      <c r="H5" s="22">
        <f t="shared" si="3"/>
        <v>0.5</v>
      </c>
      <c r="I5" s="22">
        <f t="shared" si="3"/>
        <v>0.3</v>
      </c>
      <c r="J5" s="22">
        <f t="shared" si="3"/>
        <v>0.1</v>
      </c>
    </row>
    <row r="6" spans="1:33" x14ac:dyDescent="0.35">
      <c r="D6" t="s">
        <v>528</v>
      </c>
      <c r="E6" s="9">
        <v>1</v>
      </c>
      <c r="F6">
        <f>($A$4-F3)/$A$4</f>
        <v>0.875</v>
      </c>
      <c r="G6">
        <f t="shared" ref="G6:I6" si="4">($A$4-G3)/$A$4</f>
        <v>0.625</v>
      </c>
      <c r="H6">
        <f t="shared" si="4"/>
        <v>0.375</v>
      </c>
      <c r="I6">
        <f t="shared" si="4"/>
        <v>0.125</v>
      </c>
    </row>
    <row r="7" spans="1:33" s="1" customFormat="1" ht="108.5" x14ac:dyDescent="0.35">
      <c r="B7" s="1" t="s">
        <v>0</v>
      </c>
      <c r="C7" s="1" t="s">
        <v>406</v>
      </c>
      <c r="D7" s="1" t="s">
        <v>407</v>
      </c>
      <c r="E7" s="8" t="s">
        <v>408</v>
      </c>
      <c r="F7" s="1" t="s">
        <v>409</v>
      </c>
      <c r="G7" s="1" t="s">
        <v>410</v>
      </c>
      <c r="H7" s="1" t="s">
        <v>411</v>
      </c>
      <c r="I7" s="1" t="s">
        <v>412</v>
      </c>
      <c r="J7" s="1" t="s">
        <v>413</v>
      </c>
      <c r="K7" s="1" t="s">
        <v>414</v>
      </c>
      <c r="L7" s="1" t="s">
        <v>415</v>
      </c>
      <c r="M7" s="1" t="s">
        <v>416</v>
      </c>
      <c r="N7" s="1" t="s">
        <v>417</v>
      </c>
      <c r="O7" s="1" t="s">
        <v>418</v>
      </c>
      <c r="P7" s="1" t="s">
        <v>419</v>
      </c>
      <c r="Q7" s="1" t="s">
        <v>420</v>
      </c>
      <c r="R7" s="1" t="s">
        <v>421</v>
      </c>
      <c r="S7" s="1" t="s">
        <v>422</v>
      </c>
      <c r="T7" s="1" t="s">
        <v>423</v>
      </c>
      <c r="U7" s="7" t="s">
        <v>429</v>
      </c>
      <c r="V7" s="1" t="s">
        <v>424</v>
      </c>
      <c r="W7" s="1" t="s">
        <v>425</v>
      </c>
      <c r="X7" s="1" t="s">
        <v>426</v>
      </c>
      <c r="Y7" s="1" t="s">
        <v>427</v>
      </c>
      <c r="Z7" s="1" t="s">
        <v>428</v>
      </c>
      <c r="AA7" s="10" t="s">
        <v>430</v>
      </c>
      <c r="AB7" s="7" t="s">
        <v>429</v>
      </c>
      <c r="AC7" s="1" t="s">
        <v>424</v>
      </c>
      <c r="AD7" s="1" t="s">
        <v>425</v>
      </c>
      <c r="AE7" s="1" t="s">
        <v>426</v>
      </c>
      <c r="AF7" s="1" t="s">
        <v>427</v>
      </c>
      <c r="AG7" s="10" t="s">
        <v>430</v>
      </c>
    </row>
    <row r="8" spans="1:33" x14ac:dyDescent="0.35">
      <c r="A8" t="s">
        <v>1</v>
      </c>
      <c r="B8" t="s">
        <v>2</v>
      </c>
      <c r="C8">
        <f>VLOOKUP(CONCATENATE("2001",'2001_60'!A8),aktivnepesseg!$C$2:$D$2226,2,FALSE)</f>
        <v>24835</v>
      </c>
      <c r="D8">
        <f>SUM(F8:T8)</f>
        <v>20670</v>
      </c>
      <c r="E8">
        <f>C8-D8</f>
        <v>4165</v>
      </c>
      <c r="F8">
        <v>1274</v>
      </c>
      <c r="G8">
        <v>573</v>
      </c>
      <c r="H8">
        <v>904</v>
      </c>
      <c r="I8">
        <v>947</v>
      </c>
      <c r="J8">
        <v>2593</v>
      </c>
      <c r="K8">
        <v>1950</v>
      </c>
      <c r="L8">
        <v>1668</v>
      </c>
      <c r="M8">
        <v>1484</v>
      </c>
      <c r="N8">
        <v>1289</v>
      </c>
      <c r="O8">
        <v>1187</v>
      </c>
      <c r="P8">
        <v>3831</v>
      </c>
      <c r="Q8">
        <v>1554</v>
      </c>
      <c r="R8">
        <v>633</v>
      </c>
      <c r="S8">
        <v>669</v>
      </c>
      <c r="T8">
        <v>114</v>
      </c>
      <c r="U8">
        <f t="shared" ref="U8:Z39" si="5">E8*E$5</f>
        <v>4165</v>
      </c>
      <c r="V8">
        <f t="shared" si="5"/>
        <v>1146.6000000000001</v>
      </c>
      <c r="W8">
        <f t="shared" si="5"/>
        <v>401.09999999999997</v>
      </c>
      <c r="X8">
        <f t="shared" si="5"/>
        <v>452</v>
      </c>
      <c r="Y8">
        <f t="shared" si="5"/>
        <v>284.09999999999997</v>
      </c>
      <c r="Z8">
        <f t="shared" si="5"/>
        <v>259.3</v>
      </c>
      <c r="AA8" s="3">
        <f>SUM(U8:Z8)/$C8</f>
        <v>0.27010670424803712</v>
      </c>
      <c r="AB8">
        <f>E8*E$6</f>
        <v>4165</v>
      </c>
      <c r="AC8">
        <f t="shared" ref="AC8:AF8" si="6">F8*F$6</f>
        <v>1114.75</v>
      </c>
      <c r="AD8">
        <f t="shared" si="6"/>
        <v>358.125</v>
      </c>
      <c r="AE8">
        <f t="shared" si="6"/>
        <v>339</v>
      </c>
      <c r="AF8">
        <f t="shared" si="6"/>
        <v>118.375</v>
      </c>
      <c r="AG8">
        <f>SUM(AB8:AF8)/$C8</f>
        <v>0.24542983692369641</v>
      </c>
    </row>
    <row r="9" spans="1:33" x14ac:dyDescent="0.35">
      <c r="A9" t="s">
        <v>3</v>
      </c>
      <c r="B9" t="s">
        <v>4</v>
      </c>
      <c r="C9">
        <f>VLOOKUP(CONCATENATE("2001",'2001_60'!A9),aktivnepesseg!$C$2:$D$2226,2,FALSE)</f>
        <v>21786</v>
      </c>
      <c r="D9">
        <f t="shared" ref="D9:D72" si="7">SUM(F9:T9)</f>
        <v>14643</v>
      </c>
      <c r="E9">
        <f t="shared" ref="E9:E72" si="8">C9-D9</f>
        <v>7143</v>
      </c>
      <c r="F9">
        <v>759</v>
      </c>
      <c r="G9">
        <v>438</v>
      </c>
      <c r="H9">
        <v>734</v>
      </c>
      <c r="I9">
        <v>924</v>
      </c>
      <c r="J9">
        <v>2462</v>
      </c>
      <c r="K9">
        <v>1229</v>
      </c>
      <c r="L9">
        <v>898</v>
      </c>
      <c r="M9">
        <v>813</v>
      </c>
      <c r="N9">
        <v>807</v>
      </c>
      <c r="O9">
        <v>788</v>
      </c>
      <c r="P9">
        <v>2765</v>
      </c>
      <c r="Q9">
        <v>1089</v>
      </c>
      <c r="R9">
        <v>429</v>
      </c>
      <c r="S9">
        <v>441</v>
      </c>
      <c r="T9">
        <v>67</v>
      </c>
      <c r="U9">
        <f t="shared" si="5"/>
        <v>7143</v>
      </c>
      <c r="V9">
        <f t="shared" si="5"/>
        <v>683.1</v>
      </c>
      <c r="W9">
        <f t="shared" si="5"/>
        <v>306.59999999999997</v>
      </c>
      <c r="X9">
        <f t="shared" si="5"/>
        <v>367</v>
      </c>
      <c r="Y9">
        <f t="shared" si="5"/>
        <v>277.2</v>
      </c>
      <c r="Z9">
        <f t="shared" si="5"/>
        <v>246.20000000000002</v>
      </c>
      <c r="AA9" s="3">
        <f t="shared" ref="AA9:AA72" si="9">SUM(U9:Z9)/$C9</f>
        <v>0.41416965023409541</v>
      </c>
      <c r="AB9">
        <f t="shared" ref="AB9:AB72" si="10">E9*E$6</f>
        <v>7143</v>
      </c>
      <c r="AC9">
        <f t="shared" ref="AC9:AC72" si="11">F9*F$6</f>
        <v>664.125</v>
      </c>
      <c r="AD9">
        <f t="shared" ref="AD9:AD72" si="12">G9*G$6</f>
        <v>273.75</v>
      </c>
      <c r="AE9">
        <f t="shared" ref="AE9:AE72" si="13">H9*H$6</f>
        <v>275.25</v>
      </c>
      <c r="AF9">
        <f t="shared" ref="AF9:AF72" si="14">I9*I$6</f>
        <v>115.5</v>
      </c>
      <c r="AG9">
        <f t="shared" ref="AG9:AG72" si="15">SUM(AB9:AF9)/$C9</f>
        <v>0.38885637565408976</v>
      </c>
    </row>
    <row r="10" spans="1:33" x14ac:dyDescent="0.35">
      <c r="A10" t="s">
        <v>5</v>
      </c>
      <c r="B10" t="s">
        <v>6</v>
      </c>
      <c r="C10">
        <f>VLOOKUP(CONCATENATE("2001",'2001_60'!A10),aktivnepesseg!$C$2:$D$2226,2,FALSE)</f>
        <v>12459</v>
      </c>
      <c r="D10">
        <f t="shared" si="7"/>
        <v>8699</v>
      </c>
      <c r="E10">
        <f t="shared" si="8"/>
        <v>3760</v>
      </c>
      <c r="F10">
        <v>858</v>
      </c>
      <c r="G10">
        <v>470</v>
      </c>
      <c r="H10">
        <v>631</v>
      </c>
      <c r="I10">
        <v>734</v>
      </c>
      <c r="J10">
        <v>1249</v>
      </c>
      <c r="K10">
        <v>1000</v>
      </c>
      <c r="L10">
        <v>696</v>
      </c>
      <c r="M10">
        <v>630</v>
      </c>
      <c r="N10">
        <v>538</v>
      </c>
      <c r="O10">
        <v>407</v>
      </c>
      <c r="P10">
        <v>1009</v>
      </c>
      <c r="Q10">
        <v>255</v>
      </c>
      <c r="R10">
        <v>100</v>
      </c>
      <c r="S10">
        <v>107</v>
      </c>
      <c r="T10">
        <v>15</v>
      </c>
      <c r="U10">
        <f t="shared" si="5"/>
        <v>3760</v>
      </c>
      <c r="V10">
        <f t="shared" si="5"/>
        <v>772.2</v>
      </c>
      <c r="W10">
        <f t="shared" si="5"/>
        <v>329</v>
      </c>
      <c r="X10">
        <f t="shared" si="5"/>
        <v>315.5</v>
      </c>
      <c r="Y10">
        <f t="shared" si="5"/>
        <v>220.2</v>
      </c>
      <c r="Z10">
        <f t="shared" si="5"/>
        <v>124.9</v>
      </c>
      <c r="AA10" s="3">
        <f t="shared" si="9"/>
        <v>0.44319768841801099</v>
      </c>
      <c r="AB10">
        <f t="shared" si="10"/>
        <v>3760</v>
      </c>
      <c r="AC10">
        <f t="shared" si="11"/>
        <v>750.75</v>
      </c>
      <c r="AD10">
        <f t="shared" si="12"/>
        <v>293.75</v>
      </c>
      <c r="AE10">
        <f t="shared" si="13"/>
        <v>236.625</v>
      </c>
      <c r="AF10">
        <f t="shared" si="14"/>
        <v>91.75</v>
      </c>
      <c r="AG10">
        <f t="shared" si="15"/>
        <v>0.41198129865960348</v>
      </c>
    </row>
    <row r="11" spans="1:33" x14ac:dyDescent="0.35">
      <c r="A11" t="s">
        <v>7</v>
      </c>
      <c r="B11" t="s">
        <v>8</v>
      </c>
      <c r="C11">
        <f>VLOOKUP(CONCATENATE("2001",'2001_60'!A11),aktivnepesseg!$C$2:$D$2226,2,FALSE)</f>
        <v>39926</v>
      </c>
      <c r="D11">
        <f t="shared" si="7"/>
        <v>29079</v>
      </c>
      <c r="E11">
        <f t="shared" si="8"/>
        <v>10847</v>
      </c>
      <c r="F11">
        <v>2614</v>
      </c>
      <c r="G11">
        <v>1190</v>
      </c>
      <c r="H11">
        <v>2038</v>
      </c>
      <c r="I11">
        <v>2186</v>
      </c>
      <c r="J11">
        <v>4997</v>
      </c>
      <c r="K11">
        <v>2796</v>
      </c>
      <c r="L11">
        <v>2013</v>
      </c>
      <c r="M11">
        <v>1747</v>
      </c>
      <c r="N11">
        <v>1565</v>
      </c>
      <c r="O11">
        <v>1449</v>
      </c>
      <c r="P11">
        <v>3724</v>
      </c>
      <c r="Q11">
        <v>1264</v>
      </c>
      <c r="R11">
        <v>634</v>
      </c>
      <c r="S11">
        <v>747</v>
      </c>
      <c r="T11">
        <v>115</v>
      </c>
      <c r="U11">
        <f t="shared" si="5"/>
        <v>10847</v>
      </c>
      <c r="V11">
        <f t="shared" si="5"/>
        <v>2352.6</v>
      </c>
      <c r="W11">
        <f t="shared" si="5"/>
        <v>833</v>
      </c>
      <c r="X11">
        <f t="shared" si="5"/>
        <v>1019</v>
      </c>
      <c r="Y11">
        <f t="shared" si="5"/>
        <v>655.8</v>
      </c>
      <c r="Z11">
        <f t="shared" si="5"/>
        <v>499.70000000000005</v>
      </c>
      <c r="AA11" s="3">
        <f t="shared" si="9"/>
        <v>0.40592846766518059</v>
      </c>
      <c r="AB11">
        <f t="shared" si="10"/>
        <v>10847</v>
      </c>
      <c r="AC11">
        <f t="shared" si="11"/>
        <v>2287.25</v>
      </c>
      <c r="AD11">
        <f t="shared" si="12"/>
        <v>743.75</v>
      </c>
      <c r="AE11">
        <f t="shared" si="13"/>
        <v>764.25</v>
      </c>
      <c r="AF11">
        <f t="shared" si="14"/>
        <v>273.25</v>
      </c>
      <c r="AG11">
        <f t="shared" si="15"/>
        <v>0.37357862044782847</v>
      </c>
    </row>
    <row r="12" spans="1:33" x14ac:dyDescent="0.35">
      <c r="A12" t="s">
        <v>9</v>
      </c>
      <c r="B12" t="s">
        <v>10</v>
      </c>
      <c r="C12">
        <f>VLOOKUP(CONCATENATE("2001",'2001_60'!A12),aktivnepesseg!$C$2:$D$2226,2,FALSE)</f>
        <v>11177</v>
      </c>
      <c r="D12">
        <f t="shared" si="7"/>
        <v>6405</v>
      </c>
      <c r="E12">
        <f t="shared" si="8"/>
        <v>4772</v>
      </c>
      <c r="F12">
        <v>593</v>
      </c>
      <c r="G12">
        <v>414</v>
      </c>
      <c r="H12">
        <v>574</v>
      </c>
      <c r="I12">
        <v>699</v>
      </c>
      <c r="J12">
        <v>1135</v>
      </c>
      <c r="K12">
        <v>657</v>
      </c>
      <c r="L12">
        <v>495</v>
      </c>
      <c r="M12">
        <v>338</v>
      </c>
      <c r="N12">
        <v>246</v>
      </c>
      <c r="O12">
        <v>244</v>
      </c>
      <c r="P12">
        <v>624</v>
      </c>
      <c r="Q12">
        <v>232</v>
      </c>
      <c r="R12">
        <v>85</v>
      </c>
      <c r="S12">
        <v>69</v>
      </c>
      <c r="T12">
        <v>0</v>
      </c>
      <c r="U12">
        <f t="shared" si="5"/>
        <v>4772</v>
      </c>
      <c r="V12">
        <f t="shared" si="5"/>
        <v>533.70000000000005</v>
      </c>
      <c r="W12">
        <f t="shared" si="5"/>
        <v>289.79999999999995</v>
      </c>
      <c r="X12">
        <f t="shared" si="5"/>
        <v>287</v>
      </c>
      <c r="Y12">
        <f t="shared" si="5"/>
        <v>209.7</v>
      </c>
      <c r="Z12">
        <f t="shared" si="5"/>
        <v>113.5</v>
      </c>
      <c r="AA12" s="3">
        <f t="shared" si="9"/>
        <v>0.55522054218484385</v>
      </c>
      <c r="AB12">
        <f t="shared" si="10"/>
        <v>4772</v>
      </c>
      <c r="AC12">
        <f t="shared" si="11"/>
        <v>518.875</v>
      </c>
      <c r="AD12">
        <f t="shared" si="12"/>
        <v>258.75</v>
      </c>
      <c r="AE12">
        <f t="shared" si="13"/>
        <v>215.25</v>
      </c>
      <c r="AF12">
        <f t="shared" si="14"/>
        <v>87.375</v>
      </c>
      <c r="AG12">
        <f t="shared" si="15"/>
        <v>0.52359756643106381</v>
      </c>
    </row>
    <row r="13" spans="1:33" x14ac:dyDescent="0.35">
      <c r="A13" t="s">
        <v>11</v>
      </c>
      <c r="B13" t="s">
        <v>12</v>
      </c>
      <c r="C13">
        <f>VLOOKUP(CONCATENATE("2001",'2001_60'!A13),aktivnepesseg!$C$2:$D$2226,2,FALSE)</f>
        <v>24873</v>
      </c>
      <c r="D13">
        <f t="shared" si="7"/>
        <v>16054</v>
      </c>
      <c r="E13">
        <f t="shared" si="8"/>
        <v>8819</v>
      </c>
      <c r="F13">
        <v>1179</v>
      </c>
      <c r="G13">
        <v>587</v>
      </c>
      <c r="H13">
        <v>895</v>
      </c>
      <c r="I13">
        <v>1095</v>
      </c>
      <c r="J13">
        <v>2528</v>
      </c>
      <c r="K13">
        <v>1342</v>
      </c>
      <c r="L13">
        <v>1070</v>
      </c>
      <c r="M13">
        <v>1005</v>
      </c>
      <c r="N13">
        <v>878</v>
      </c>
      <c r="O13">
        <v>797</v>
      </c>
      <c r="P13">
        <v>2638</v>
      </c>
      <c r="Q13">
        <v>955</v>
      </c>
      <c r="R13">
        <v>420</v>
      </c>
      <c r="S13">
        <v>576</v>
      </c>
      <c r="T13">
        <v>89</v>
      </c>
      <c r="U13">
        <f t="shared" si="5"/>
        <v>8819</v>
      </c>
      <c r="V13">
        <f t="shared" si="5"/>
        <v>1061.1000000000001</v>
      </c>
      <c r="W13">
        <f t="shared" si="5"/>
        <v>410.9</v>
      </c>
      <c r="X13">
        <f t="shared" si="5"/>
        <v>447.5</v>
      </c>
      <c r="Y13">
        <f t="shared" si="5"/>
        <v>328.5</v>
      </c>
      <c r="Z13">
        <f t="shared" si="5"/>
        <v>252.8</v>
      </c>
      <c r="AA13" s="3">
        <f t="shared" si="9"/>
        <v>0.45510392795400634</v>
      </c>
      <c r="AB13">
        <f t="shared" si="10"/>
        <v>8819</v>
      </c>
      <c r="AC13">
        <f t="shared" si="11"/>
        <v>1031.625</v>
      </c>
      <c r="AD13">
        <f t="shared" si="12"/>
        <v>366.875</v>
      </c>
      <c r="AE13">
        <f t="shared" si="13"/>
        <v>335.625</v>
      </c>
      <c r="AF13">
        <f t="shared" si="14"/>
        <v>136.875</v>
      </c>
      <c r="AG13">
        <f t="shared" si="15"/>
        <v>0.42978329915973146</v>
      </c>
    </row>
    <row r="14" spans="1:33" x14ac:dyDescent="0.35">
      <c r="A14" t="s">
        <v>13</v>
      </c>
      <c r="B14" t="s">
        <v>14</v>
      </c>
      <c r="C14">
        <f>VLOOKUP(CONCATENATE("2001",'2001_60'!A14),aktivnepesseg!$C$2:$D$2226,2,FALSE)</f>
        <v>13478</v>
      </c>
      <c r="D14">
        <f t="shared" si="7"/>
        <v>11498</v>
      </c>
      <c r="E14">
        <f t="shared" si="8"/>
        <v>1980</v>
      </c>
      <c r="F14">
        <v>870</v>
      </c>
      <c r="G14">
        <v>392</v>
      </c>
      <c r="H14">
        <v>637</v>
      </c>
      <c r="I14">
        <v>685</v>
      </c>
      <c r="J14">
        <v>1749</v>
      </c>
      <c r="K14">
        <v>1049</v>
      </c>
      <c r="L14">
        <v>847</v>
      </c>
      <c r="M14">
        <v>807</v>
      </c>
      <c r="N14">
        <v>742</v>
      </c>
      <c r="O14">
        <v>595</v>
      </c>
      <c r="P14">
        <v>1630</v>
      </c>
      <c r="Q14">
        <v>695</v>
      </c>
      <c r="R14">
        <v>320</v>
      </c>
      <c r="S14">
        <v>393</v>
      </c>
      <c r="T14">
        <v>87</v>
      </c>
      <c r="U14">
        <f t="shared" si="5"/>
        <v>1980</v>
      </c>
      <c r="V14">
        <f t="shared" si="5"/>
        <v>783</v>
      </c>
      <c r="W14">
        <f t="shared" si="5"/>
        <v>274.39999999999998</v>
      </c>
      <c r="X14">
        <f t="shared" si="5"/>
        <v>318.5</v>
      </c>
      <c r="Y14">
        <f t="shared" si="5"/>
        <v>205.5</v>
      </c>
      <c r="Z14">
        <f t="shared" si="5"/>
        <v>174.9</v>
      </c>
      <c r="AA14" s="3">
        <f t="shared" si="9"/>
        <v>0.27721472028490873</v>
      </c>
      <c r="AB14">
        <f t="shared" si="10"/>
        <v>1980</v>
      </c>
      <c r="AC14">
        <f t="shared" si="11"/>
        <v>761.25</v>
      </c>
      <c r="AD14">
        <f t="shared" si="12"/>
        <v>245</v>
      </c>
      <c r="AE14">
        <f t="shared" si="13"/>
        <v>238.875</v>
      </c>
      <c r="AF14">
        <f t="shared" si="14"/>
        <v>85.625</v>
      </c>
      <c r="AG14">
        <f t="shared" si="15"/>
        <v>0.24564104466538061</v>
      </c>
    </row>
    <row r="15" spans="1:33" x14ac:dyDescent="0.35">
      <c r="A15" t="s">
        <v>15</v>
      </c>
      <c r="B15" t="s">
        <v>16</v>
      </c>
      <c r="C15">
        <f>VLOOKUP(CONCATENATE("2001",'2001_60'!A15),aktivnepesseg!$C$2:$D$2226,2,FALSE)</f>
        <v>13625</v>
      </c>
      <c r="D15">
        <f t="shared" si="7"/>
        <v>12341</v>
      </c>
      <c r="E15">
        <f t="shared" si="8"/>
        <v>1284</v>
      </c>
      <c r="F15">
        <v>1223</v>
      </c>
      <c r="G15">
        <v>448</v>
      </c>
      <c r="H15">
        <v>743</v>
      </c>
      <c r="I15">
        <v>903</v>
      </c>
      <c r="J15">
        <v>2219</v>
      </c>
      <c r="K15">
        <v>1132</v>
      </c>
      <c r="L15">
        <v>858</v>
      </c>
      <c r="M15">
        <v>706</v>
      </c>
      <c r="N15">
        <v>604</v>
      </c>
      <c r="O15">
        <v>532</v>
      </c>
      <c r="P15">
        <v>1444</v>
      </c>
      <c r="Q15">
        <v>660</v>
      </c>
      <c r="R15">
        <v>304</v>
      </c>
      <c r="S15">
        <v>468</v>
      </c>
      <c r="T15">
        <v>97</v>
      </c>
      <c r="U15">
        <f t="shared" si="5"/>
        <v>1284</v>
      </c>
      <c r="V15">
        <f t="shared" si="5"/>
        <v>1100.7</v>
      </c>
      <c r="W15">
        <f t="shared" si="5"/>
        <v>313.59999999999997</v>
      </c>
      <c r="X15">
        <f t="shared" si="5"/>
        <v>371.5</v>
      </c>
      <c r="Y15">
        <f t="shared" si="5"/>
        <v>270.89999999999998</v>
      </c>
      <c r="Z15">
        <f t="shared" si="5"/>
        <v>221.9</v>
      </c>
      <c r="AA15" s="3">
        <f t="shared" si="9"/>
        <v>0.26147522935779816</v>
      </c>
      <c r="AB15">
        <f t="shared" si="10"/>
        <v>1284</v>
      </c>
      <c r="AC15">
        <f t="shared" si="11"/>
        <v>1070.125</v>
      </c>
      <c r="AD15">
        <f t="shared" si="12"/>
        <v>280</v>
      </c>
      <c r="AE15">
        <f t="shared" si="13"/>
        <v>278.625</v>
      </c>
      <c r="AF15">
        <f t="shared" si="14"/>
        <v>112.875</v>
      </c>
      <c r="AG15">
        <f t="shared" si="15"/>
        <v>0.22206422018348623</v>
      </c>
    </row>
    <row r="16" spans="1:33" x14ac:dyDescent="0.35">
      <c r="A16" t="s">
        <v>17</v>
      </c>
      <c r="B16" t="s">
        <v>18</v>
      </c>
      <c r="C16">
        <f>VLOOKUP(CONCATENATE("2001",'2001_60'!A16),aktivnepesseg!$C$2:$D$2226,2,FALSE)</f>
        <v>17506</v>
      </c>
      <c r="D16">
        <f t="shared" si="7"/>
        <v>12882</v>
      </c>
      <c r="E16">
        <f t="shared" si="8"/>
        <v>4624</v>
      </c>
      <c r="F16">
        <v>1159</v>
      </c>
      <c r="G16">
        <v>565</v>
      </c>
      <c r="H16">
        <v>901</v>
      </c>
      <c r="I16">
        <v>1123</v>
      </c>
      <c r="J16">
        <v>2409</v>
      </c>
      <c r="K16">
        <v>1488</v>
      </c>
      <c r="L16">
        <v>1000</v>
      </c>
      <c r="M16">
        <v>883</v>
      </c>
      <c r="N16">
        <v>709</v>
      </c>
      <c r="O16">
        <v>556</v>
      </c>
      <c r="P16">
        <v>1338</v>
      </c>
      <c r="Q16">
        <v>398</v>
      </c>
      <c r="R16">
        <v>162</v>
      </c>
      <c r="S16">
        <v>174</v>
      </c>
      <c r="T16">
        <v>17</v>
      </c>
      <c r="U16">
        <f t="shared" si="5"/>
        <v>4624</v>
      </c>
      <c r="V16">
        <f t="shared" si="5"/>
        <v>1043.1000000000001</v>
      </c>
      <c r="W16">
        <f t="shared" si="5"/>
        <v>395.5</v>
      </c>
      <c r="X16">
        <f t="shared" si="5"/>
        <v>450.5</v>
      </c>
      <c r="Y16">
        <f t="shared" si="5"/>
        <v>336.9</v>
      </c>
      <c r="Z16">
        <f t="shared" si="5"/>
        <v>240.9</v>
      </c>
      <c r="AA16" s="3">
        <f t="shared" si="9"/>
        <v>0.40505540957386038</v>
      </c>
      <c r="AB16">
        <f t="shared" si="10"/>
        <v>4624</v>
      </c>
      <c r="AC16">
        <f t="shared" si="11"/>
        <v>1014.125</v>
      </c>
      <c r="AD16">
        <f t="shared" si="12"/>
        <v>353.125</v>
      </c>
      <c r="AE16">
        <f t="shared" si="13"/>
        <v>337.875</v>
      </c>
      <c r="AF16">
        <f t="shared" si="14"/>
        <v>140.375</v>
      </c>
      <c r="AG16">
        <f t="shared" si="15"/>
        <v>0.36955900833999772</v>
      </c>
    </row>
    <row r="17" spans="1:33" x14ac:dyDescent="0.35">
      <c r="A17" t="s">
        <v>19</v>
      </c>
      <c r="B17" t="s">
        <v>20</v>
      </c>
      <c r="C17">
        <f>VLOOKUP(CONCATENATE("2001",'2001_60'!A17),aktivnepesseg!$C$2:$D$2226,2,FALSE)</f>
        <v>15291</v>
      </c>
      <c r="D17">
        <f t="shared" si="7"/>
        <v>9960</v>
      </c>
      <c r="E17">
        <f t="shared" si="8"/>
        <v>5331</v>
      </c>
      <c r="F17">
        <v>731</v>
      </c>
      <c r="G17">
        <v>477</v>
      </c>
      <c r="H17">
        <v>709</v>
      </c>
      <c r="I17">
        <v>774</v>
      </c>
      <c r="J17">
        <v>1432</v>
      </c>
      <c r="K17">
        <v>1182</v>
      </c>
      <c r="L17">
        <v>857</v>
      </c>
      <c r="M17">
        <v>795</v>
      </c>
      <c r="N17">
        <v>598</v>
      </c>
      <c r="O17">
        <v>401</v>
      </c>
      <c r="P17">
        <v>1268</v>
      </c>
      <c r="Q17">
        <v>415</v>
      </c>
      <c r="R17">
        <v>153</v>
      </c>
      <c r="S17">
        <v>152</v>
      </c>
      <c r="T17">
        <v>16</v>
      </c>
      <c r="U17">
        <f t="shared" si="5"/>
        <v>5331</v>
      </c>
      <c r="V17">
        <f t="shared" si="5"/>
        <v>657.9</v>
      </c>
      <c r="W17">
        <f t="shared" si="5"/>
        <v>333.9</v>
      </c>
      <c r="X17">
        <f t="shared" si="5"/>
        <v>354.5</v>
      </c>
      <c r="Y17">
        <f t="shared" si="5"/>
        <v>232.2</v>
      </c>
      <c r="Z17">
        <f t="shared" si="5"/>
        <v>143.20000000000002</v>
      </c>
      <c r="AA17" s="3">
        <f t="shared" si="9"/>
        <v>0.46123209731214432</v>
      </c>
      <c r="AB17">
        <f t="shared" si="10"/>
        <v>5331</v>
      </c>
      <c r="AC17">
        <f t="shared" si="11"/>
        <v>639.625</v>
      </c>
      <c r="AD17">
        <f t="shared" si="12"/>
        <v>298.125</v>
      </c>
      <c r="AE17">
        <f t="shared" si="13"/>
        <v>265.875</v>
      </c>
      <c r="AF17">
        <f t="shared" si="14"/>
        <v>96.75</v>
      </c>
      <c r="AG17">
        <f t="shared" si="15"/>
        <v>0.43367830750114444</v>
      </c>
    </row>
    <row r="18" spans="1:33" x14ac:dyDescent="0.35">
      <c r="A18" t="s">
        <v>21</v>
      </c>
      <c r="B18" t="s">
        <v>22</v>
      </c>
      <c r="C18">
        <f>VLOOKUP(CONCATENATE("2001",'2001_60'!A18),aktivnepesseg!$C$2:$D$2226,2,FALSE)</f>
        <v>13773</v>
      </c>
      <c r="D18">
        <f t="shared" si="7"/>
        <v>8923</v>
      </c>
      <c r="E18">
        <f t="shared" si="8"/>
        <v>4850</v>
      </c>
      <c r="F18">
        <v>667</v>
      </c>
      <c r="G18">
        <v>425</v>
      </c>
      <c r="H18">
        <v>631</v>
      </c>
      <c r="I18">
        <v>754</v>
      </c>
      <c r="J18">
        <v>1268</v>
      </c>
      <c r="K18">
        <v>852</v>
      </c>
      <c r="L18">
        <v>739</v>
      </c>
      <c r="M18">
        <v>554</v>
      </c>
      <c r="N18">
        <v>522</v>
      </c>
      <c r="O18">
        <v>489</v>
      </c>
      <c r="P18">
        <v>1230</v>
      </c>
      <c r="Q18">
        <v>405</v>
      </c>
      <c r="R18">
        <v>166</v>
      </c>
      <c r="S18">
        <v>206</v>
      </c>
      <c r="T18">
        <v>15</v>
      </c>
      <c r="U18">
        <f t="shared" si="5"/>
        <v>4850</v>
      </c>
      <c r="V18">
        <f t="shared" si="5"/>
        <v>600.30000000000007</v>
      </c>
      <c r="W18">
        <f t="shared" si="5"/>
        <v>297.5</v>
      </c>
      <c r="X18">
        <f t="shared" si="5"/>
        <v>315.5</v>
      </c>
      <c r="Y18">
        <f t="shared" si="5"/>
        <v>226.2</v>
      </c>
      <c r="Z18">
        <f t="shared" si="5"/>
        <v>126.80000000000001</v>
      </c>
      <c r="AA18" s="3">
        <f t="shared" si="9"/>
        <v>0.46586074203151095</v>
      </c>
      <c r="AB18">
        <f t="shared" si="10"/>
        <v>4850</v>
      </c>
      <c r="AC18">
        <f t="shared" si="11"/>
        <v>583.625</v>
      </c>
      <c r="AD18">
        <f t="shared" si="12"/>
        <v>265.625</v>
      </c>
      <c r="AE18">
        <f t="shared" si="13"/>
        <v>236.625</v>
      </c>
      <c r="AF18">
        <f t="shared" si="14"/>
        <v>94.25</v>
      </c>
      <c r="AG18">
        <f t="shared" si="15"/>
        <v>0.43782218833950481</v>
      </c>
    </row>
    <row r="19" spans="1:33" x14ac:dyDescent="0.35">
      <c r="A19" t="s">
        <v>23</v>
      </c>
      <c r="B19" t="s">
        <v>24</v>
      </c>
      <c r="C19">
        <f>VLOOKUP(CONCATENATE("2001",'2001_60'!A19),aktivnepesseg!$C$2:$D$2226,2,FALSE)</f>
        <v>53185</v>
      </c>
      <c r="D19">
        <f t="shared" si="7"/>
        <v>41648</v>
      </c>
      <c r="E19">
        <f t="shared" si="8"/>
        <v>11537</v>
      </c>
      <c r="F19">
        <v>3525</v>
      </c>
      <c r="G19">
        <v>1452</v>
      </c>
      <c r="H19">
        <v>2491</v>
      </c>
      <c r="I19">
        <v>2757</v>
      </c>
      <c r="J19">
        <v>6159</v>
      </c>
      <c r="K19">
        <v>4008</v>
      </c>
      <c r="L19">
        <v>3324</v>
      </c>
      <c r="M19">
        <v>2734</v>
      </c>
      <c r="N19">
        <v>2195</v>
      </c>
      <c r="O19">
        <v>1936</v>
      </c>
      <c r="P19">
        <v>5685</v>
      </c>
      <c r="Q19">
        <v>2409</v>
      </c>
      <c r="R19">
        <v>1096</v>
      </c>
      <c r="S19">
        <v>1546</v>
      </c>
      <c r="T19">
        <v>331</v>
      </c>
      <c r="U19">
        <f t="shared" si="5"/>
        <v>11537</v>
      </c>
      <c r="V19">
        <f t="shared" si="5"/>
        <v>3172.5</v>
      </c>
      <c r="W19">
        <f t="shared" si="5"/>
        <v>1016.4</v>
      </c>
      <c r="X19">
        <f t="shared" si="5"/>
        <v>1245.5</v>
      </c>
      <c r="Y19">
        <f t="shared" si="5"/>
        <v>827.1</v>
      </c>
      <c r="Z19">
        <f t="shared" si="5"/>
        <v>615.90000000000009</v>
      </c>
      <c r="AA19" s="3">
        <f t="shared" si="9"/>
        <v>0.34623296042117141</v>
      </c>
      <c r="AB19">
        <f t="shared" si="10"/>
        <v>11537</v>
      </c>
      <c r="AC19">
        <f t="shared" si="11"/>
        <v>3084.375</v>
      </c>
      <c r="AD19">
        <f t="shared" si="12"/>
        <v>907.5</v>
      </c>
      <c r="AE19">
        <f t="shared" si="13"/>
        <v>934.125</v>
      </c>
      <c r="AF19">
        <f t="shared" si="14"/>
        <v>344.625</v>
      </c>
      <c r="AG19">
        <f t="shared" si="15"/>
        <v>0.31602190467237001</v>
      </c>
    </row>
    <row r="20" spans="1:33" x14ac:dyDescent="0.35">
      <c r="A20" t="s">
        <v>25</v>
      </c>
      <c r="B20" t="s">
        <v>26</v>
      </c>
      <c r="C20">
        <f>VLOOKUP(CONCATENATE("2001",'2001_60'!A20),aktivnepesseg!$C$2:$D$2226,2,FALSE)</f>
        <v>22203</v>
      </c>
      <c r="D20">
        <f t="shared" si="7"/>
        <v>16739</v>
      </c>
      <c r="E20">
        <f t="shared" si="8"/>
        <v>5464</v>
      </c>
      <c r="F20">
        <v>1475</v>
      </c>
      <c r="G20">
        <v>725</v>
      </c>
      <c r="H20">
        <v>1251</v>
      </c>
      <c r="I20">
        <v>1470</v>
      </c>
      <c r="J20">
        <v>2801</v>
      </c>
      <c r="K20">
        <v>1941</v>
      </c>
      <c r="L20">
        <v>1328</v>
      </c>
      <c r="M20">
        <v>1101</v>
      </c>
      <c r="N20">
        <v>925</v>
      </c>
      <c r="O20">
        <v>732</v>
      </c>
      <c r="P20">
        <v>1840</v>
      </c>
      <c r="Q20">
        <v>572</v>
      </c>
      <c r="R20">
        <v>252</v>
      </c>
      <c r="S20">
        <v>301</v>
      </c>
      <c r="T20">
        <v>25</v>
      </c>
      <c r="U20">
        <f t="shared" si="5"/>
        <v>5464</v>
      </c>
      <c r="V20">
        <f t="shared" si="5"/>
        <v>1327.5</v>
      </c>
      <c r="W20">
        <f t="shared" si="5"/>
        <v>507.49999999999994</v>
      </c>
      <c r="X20">
        <f t="shared" si="5"/>
        <v>625.5</v>
      </c>
      <c r="Y20">
        <f t="shared" si="5"/>
        <v>441</v>
      </c>
      <c r="Z20">
        <f t="shared" si="5"/>
        <v>280.10000000000002</v>
      </c>
      <c r="AA20" s="3">
        <f t="shared" si="9"/>
        <v>0.38938882133045083</v>
      </c>
      <c r="AB20">
        <f t="shared" si="10"/>
        <v>5464</v>
      </c>
      <c r="AC20">
        <f t="shared" si="11"/>
        <v>1290.625</v>
      </c>
      <c r="AD20">
        <f t="shared" si="12"/>
        <v>453.125</v>
      </c>
      <c r="AE20">
        <f t="shared" si="13"/>
        <v>469.125</v>
      </c>
      <c r="AF20">
        <f t="shared" si="14"/>
        <v>183.75</v>
      </c>
      <c r="AG20">
        <f t="shared" si="15"/>
        <v>0.35403436472548755</v>
      </c>
    </row>
    <row r="21" spans="1:33" x14ac:dyDescent="0.35">
      <c r="A21" t="s">
        <v>27</v>
      </c>
      <c r="B21" t="s">
        <v>28</v>
      </c>
      <c r="C21">
        <f>VLOOKUP(CONCATENATE("2001",'2001_60'!A21),aktivnepesseg!$C$2:$D$2226,2,FALSE)</f>
        <v>5535</v>
      </c>
      <c r="D21">
        <f t="shared" si="7"/>
        <v>3767</v>
      </c>
      <c r="E21">
        <f t="shared" si="8"/>
        <v>1768</v>
      </c>
      <c r="F21">
        <v>220</v>
      </c>
      <c r="G21">
        <v>126</v>
      </c>
      <c r="H21">
        <v>238</v>
      </c>
      <c r="I21">
        <v>262</v>
      </c>
      <c r="J21">
        <v>569</v>
      </c>
      <c r="K21">
        <v>424</v>
      </c>
      <c r="L21">
        <v>356</v>
      </c>
      <c r="M21">
        <v>296</v>
      </c>
      <c r="N21">
        <v>244</v>
      </c>
      <c r="O21">
        <v>170</v>
      </c>
      <c r="P21">
        <v>498</v>
      </c>
      <c r="Q21">
        <v>172</v>
      </c>
      <c r="R21">
        <v>89</v>
      </c>
      <c r="S21">
        <v>86</v>
      </c>
      <c r="T21">
        <v>17</v>
      </c>
      <c r="U21">
        <f t="shared" si="5"/>
        <v>1768</v>
      </c>
      <c r="V21">
        <f t="shared" si="5"/>
        <v>198</v>
      </c>
      <c r="W21">
        <f t="shared" si="5"/>
        <v>88.199999999999989</v>
      </c>
      <c r="X21">
        <f t="shared" si="5"/>
        <v>119</v>
      </c>
      <c r="Y21">
        <f t="shared" si="5"/>
        <v>78.599999999999994</v>
      </c>
      <c r="Z21">
        <f t="shared" si="5"/>
        <v>56.900000000000006</v>
      </c>
      <c r="AA21" s="3">
        <f t="shared" si="9"/>
        <v>0.41710930442637756</v>
      </c>
      <c r="AB21">
        <f t="shared" si="10"/>
        <v>1768</v>
      </c>
      <c r="AC21">
        <f t="shared" si="11"/>
        <v>192.5</v>
      </c>
      <c r="AD21">
        <f t="shared" si="12"/>
        <v>78.75</v>
      </c>
      <c r="AE21">
        <f t="shared" si="13"/>
        <v>89.25</v>
      </c>
      <c r="AF21">
        <f t="shared" si="14"/>
        <v>32.75</v>
      </c>
      <c r="AG21">
        <f t="shared" si="15"/>
        <v>0.39046973803071366</v>
      </c>
    </row>
    <row r="22" spans="1:33" x14ac:dyDescent="0.35">
      <c r="A22" t="s">
        <v>29</v>
      </c>
      <c r="B22" t="s">
        <v>30</v>
      </c>
      <c r="C22">
        <f>VLOOKUP(CONCATENATE("2001",'2001_60'!A22),aktivnepesseg!$C$2:$D$2226,2,FALSE)</f>
        <v>26098</v>
      </c>
      <c r="D22">
        <f t="shared" si="7"/>
        <v>18153</v>
      </c>
      <c r="E22">
        <f t="shared" si="8"/>
        <v>7945</v>
      </c>
      <c r="F22">
        <v>1822</v>
      </c>
      <c r="G22">
        <v>874</v>
      </c>
      <c r="H22">
        <v>1384</v>
      </c>
      <c r="I22">
        <v>1410</v>
      </c>
      <c r="J22">
        <v>2634</v>
      </c>
      <c r="K22">
        <v>2029</v>
      </c>
      <c r="L22">
        <v>1429</v>
      </c>
      <c r="M22">
        <v>1144</v>
      </c>
      <c r="N22">
        <v>969</v>
      </c>
      <c r="O22">
        <v>735</v>
      </c>
      <c r="P22">
        <v>2323</v>
      </c>
      <c r="Q22">
        <v>790</v>
      </c>
      <c r="R22">
        <v>278</v>
      </c>
      <c r="S22">
        <v>303</v>
      </c>
      <c r="T22">
        <v>29</v>
      </c>
      <c r="U22">
        <f t="shared" si="5"/>
        <v>7945</v>
      </c>
      <c r="V22">
        <f t="shared" si="5"/>
        <v>1639.8</v>
      </c>
      <c r="W22">
        <f t="shared" si="5"/>
        <v>611.79999999999995</v>
      </c>
      <c r="X22">
        <f t="shared" si="5"/>
        <v>692</v>
      </c>
      <c r="Y22">
        <f t="shared" si="5"/>
        <v>423</v>
      </c>
      <c r="Z22">
        <f t="shared" si="5"/>
        <v>263.40000000000003</v>
      </c>
      <c r="AA22" s="3">
        <f t="shared" si="9"/>
        <v>0.44352057628937075</v>
      </c>
      <c r="AB22">
        <f t="shared" si="10"/>
        <v>7945</v>
      </c>
      <c r="AC22">
        <f t="shared" si="11"/>
        <v>1594.25</v>
      </c>
      <c r="AD22">
        <f t="shared" si="12"/>
        <v>546.25</v>
      </c>
      <c r="AE22">
        <f t="shared" si="13"/>
        <v>519</v>
      </c>
      <c r="AF22">
        <f t="shared" si="14"/>
        <v>176.25</v>
      </c>
      <c r="AG22">
        <f t="shared" si="15"/>
        <v>0.41308720974787339</v>
      </c>
    </row>
    <row r="23" spans="1:33" x14ac:dyDescent="0.35">
      <c r="A23" t="s">
        <v>31</v>
      </c>
      <c r="B23" t="s">
        <v>32</v>
      </c>
      <c r="C23">
        <f>VLOOKUP(CONCATENATE("2001",'2001_60'!A23),aktivnepesseg!$C$2:$D$2226,2,FALSE)</f>
        <v>20067</v>
      </c>
      <c r="D23">
        <f t="shared" si="7"/>
        <v>14302</v>
      </c>
      <c r="E23">
        <f t="shared" si="8"/>
        <v>5765</v>
      </c>
      <c r="F23">
        <v>735</v>
      </c>
      <c r="G23">
        <v>420</v>
      </c>
      <c r="H23">
        <v>642</v>
      </c>
      <c r="I23">
        <v>809</v>
      </c>
      <c r="J23">
        <v>2167</v>
      </c>
      <c r="K23">
        <v>1278</v>
      </c>
      <c r="L23">
        <v>1004</v>
      </c>
      <c r="M23">
        <v>907</v>
      </c>
      <c r="N23">
        <v>875</v>
      </c>
      <c r="O23">
        <v>793</v>
      </c>
      <c r="P23">
        <v>2715</v>
      </c>
      <c r="Q23">
        <v>1054</v>
      </c>
      <c r="R23">
        <v>384</v>
      </c>
      <c r="S23">
        <v>437</v>
      </c>
      <c r="T23">
        <v>82</v>
      </c>
      <c r="U23">
        <f t="shared" si="5"/>
        <v>5765</v>
      </c>
      <c r="V23">
        <f t="shared" si="5"/>
        <v>661.5</v>
      </c>
      <c r="W23">
        <f t="shared" si="5"/>
        <v>294</v>
      </c>
      <c r="X23">
        <f t="shared" si="5"/>
        <v>321</v>
      </c>
      <c r="Y23">
        <f t="shared" si="5"/>
        <v>242.7</v>
      </c>
      <c r="Z23">
        <f t="shared" si="5"/>
        <v>216.70000000000002</v>
      </c>
      <c r="AA23" s="3">
        <f t="shared" si="9"/>
        <v>0.37379279413963223</v>
      </c>
      <c r="AB23">
        <f t="shared" si="10"/>
        <v>5765</v>
      </c>
      <c r="AC23">
        <f t="shared" si="11"/>
        <v>643.125</v>
      </c>
      <c r="AD23">
        <f t="shared" si="12"/>
        <v>262.5</v>
      </c>
      <c r="AE23">
        <f t="shared" si="13"/>
        <v>240.75</v>
      </c>
      <c r="AF23">
        <f t="shared" si="14"/>
        <v>101.125</v>
      </c>
      <c r="AG23">
        <f t="shared" si="15"/>
        <v>0.34945432800119597</v>
      </c>
    </row>
    <row r="24" spans="1:33" x14ac:dyDescent="0.35">
      <c r="A24" t="s">
        <v>33</v>
      </c>
      <c r="B24" t="s">
        <v>34</v>
      </c>
      <c r="C24">
        <f>VLOOKUP(CONCATENATE("2001",'2001_60'!A24),aktivnepesseg!$C$2:$D$2226,2,FALSE)</f>
        <v>6948</v>
      </c>
      <c r="D24">
        <f t="shared" si="7"/>
        <v>4977</v>
      </c>
      <c r="E24">
        <f t="shared" si="8"/>
        <v>1971</v>
      </c>
      <c r="F24">
        <v>372</v>
      </c>
      <c r="G24">
        <v>220</v>
      </c>
      <c r="H24">
        <v>289</v>
      </c>
      <c r="I24">
        <v>325</v>
      </c>
      <c r="J24">
        <v>861</v>
      </c>
      <c r="K24">
        <v>473</v>
      </c>
      <c r="L24">
        <v>363</v>
      </c>
      <c r="M24">
        <v>389</v>
      </c>
      <c r="N24">
        <v>333</v>
      </c>
      <c r="O24">
        <v>283</v>
      </c>
      <c r="P24">
        <v>708</v>
      </c>
      <c r="Q24">
        <v>175</v>
      </c>
      <c r="R24">
        <v>72</v>
      </c>
      <c r="S24">
        <v>102</v>
      </c>
      <c r="T24">
        <v>12</v>
      </c>
      <c r="U24">
        <f t="shared" si="5"/>
        <v>1971</v>
      </c>
      <c r="V24">
        <f t="shared" si="5"/>
        <v>334.8</v>
      </c>
      <c r="W24">
        <f t="shared" si="5"/>
        <v>154</v>
      </c>
      <c r="X24">
        <f t="shared" si="5"/>
        <v>144.5</v>
      </c>
      <c r="Y24">
        <f t="shared" si="5"/>
        <v>97.5</v>
      </c>
      <c r="Z24">
        <f t="shared" si="5"/>
        <v>86.100000000000009</v>
      </c>
      <c r="AA24" s="3">
        <f t="shared" si="9"/>
        <v>0.40125215889464594</v>
      </c>
      <c r="AB24">
        <f t="shared" si="10"/>
        <v>1971</v>
      </c>
      <c r="AC24">
        <f t="shared" si="11"/>
        <v>325.5</v>
      </c>
      <c r="AD24">
        <f t="shared" si="12"/>
        <v>137.5</v>
      </c>
      <c r="AE24">
        <f t="shared" si="13"/>
        <v>108.375</v>
      </c>
      <c r="AF24">
        <f t="shared" si="14"/>
        <v>40.625</v>
      </c>
      <c r="AG24">
        <f t="shared" si="15"/>
        <v>0.37176165803108807</v>
      </c>
    </row>
    <row r="25" spans="1:33" x14ac:dyDescent="0.35">
      <c r="A25" t="s">
        <v>35</v>
      </c>
      <c r="B25" t="s">
        <v>36</v>
      </c>
      <c r="C25">
        <f>VLOOKUP(CONCATENATE("2001",'2001_60'!A25),aktivnepesseg!$C$2:$D$2226,2,FALSE)</f>
        <v>20057</v>
      </c>
      <c r="D25">
        <f t="shared" si="7"/>
        <v>15499</v>
      </c>
      <c r="E25">
        <f t="shared" si="8"/>
        <v>4558</v>
      </c>
      <c r="F25">
        <v>1078</v>
      </c>
      <c r="G25">
        <v>533</v>
      </c>
      <c r="H25">
        <v>941</v>
      </c>
      <c r="I25">
        <v>1146</v>
      </c>
      <c r="J25">
        <v>2553</v>
      </c>
      <c r="K25">
        <v>1559</v>
      </c>
      <c r="L25">
        <v>1425</v>
      </c>
      <c r="M25">
        <v>1238</v>
      </c>
      <c r="N25">
        <v>970</v>
      </c>
      <c r="O25">
        <v>817</v>
      </c>
      <c r="P25">
        <v>2016</v>
      </c>
      <c r="Q25">
        <v>594</v>
      </c>
      <c r="R25">
        <v>240</v>
      </c>
      <c r="S25">
        <v>337</v>
      </c>
      <c r="T25">
        <v>52</v>
      </c>
      <c r="U25">
        <f t="shared" si="5"/>
        <v>4558</v>
      </c>
      <c r="V25">
        <f t="shared" si="5"/>
        <v>970.2</v>
      </c>
      <c r="W25">
        <f t="shared" si="5"/>
        <v>373.09999999999997</v>
      </c>
      <c r="X25">
        <f t="shared" si="5"/>
        <v>470.5</v>
      </c>
      <c r="Y25">
        <f t="shared" si="5"/>
        <v>343.8</v>
      </c>
      <c r="Z25">
        <f t="shared" si="5"/>
        <v>255.3</v>
      </c>
      <c r="AA25" s="3">
        <f t="shared" si="9"/>
        <v>0.34755446976118065</v>
      </c>
      <c r="AB25">
        <f t="shared" si="10"/>
        <v>4558</v>
      </c>
      <c r="AC25">
        <f t="shared" si="11"/>
        <v>943.25</v>
      </c>
      <c r="AD25">
        <f t="shared" si="12"/>
        <v>333.125</v>
      </c>
      <c r="AE25">
        <f t="shared" si="13"/>
        <v>352.875</v>
      </c>
      <c r="AF25">
        <f t="shared" si="14"/>
        <v>143.25</v>
      </c>
      <c r="AG25">
        <f t="shared" si="15"/>
        <v>0.31562546741785913</v>
      </c>
    </row>
    <row r="26" spans="1:33" x14ac:dyDescent="0.35">
      <c r="A26" t="s">
        <v>37</v>
      </c>
      <c r="B26" t="s">
        <v>38</v>
      </c>
      <c r="C26">
        <f>VLOOKUP(CONCATENATE("2001",'2001_60'!A26),aktivnepesseg!$C$2:$D$2226,2,FALSE)</f>
        <v>41241</v>
      </c>
      <c r="D26">
        <f t="shared" si="7"/>
        <v>30883</v>
      </c>
      <c r="E26">
        <f t="shared" si="8"/>
        <v>10358</v>
      </c>
      <c r="F26">
        <v>1874</v>
      </c>
      <c r="G26">
        <v>825</v>
      </c>
      <c r="H26">
        <v>1295</v>
      </c>
      <c r="I26">
        <v>1419</v>
      </c>
      <c r="J26">
        <v>5064</v>
      </c>
      <c r="K26">
        <v>2088</v>
      </c>
      <c r="L26">
        <v>1638</v>
      </c>
      <c r="M26">
        <v>1611</v>
      </c>
      <c r="N26">
        <v>1385</v>
      </c>
      <c r="O26">
        <v>1372</v>
      </c>
      <c r="P26">
        <v>4909</v>
      </c>
      <c r="Q26">
        <v>2611</v>
      </c>
      <c r="R26">
        <v>1406</v>
      </c>
      <c r="S26">
        <v>2210</v>
      </c>
      <c r="T26">
        <v>1176</v>
      </c>
      <c r="U26">
        <f t="shared" si="5"/>
        <v>10358</v>
      </c>
      <c r="V26">
        <f t="shared" si="5"/>
        <v>1686.6000000000001</v>
      </c>
      <c r="W26">
        <f t="shared" si="5"/>
        <v>577.5</v>
      </c>
      <c r="X26">
        <f t="shared" si="5"/>
        <v>647.5</v>
      </c>
      <c r="Y26">
        <f t="shared" si="5"/>
        <v>425.7</v>
      </c>
      <c r="Z26">
        <f t="shared" si="5"/>
        <v>506.40000000000003</v>
      </c>
      <c r="AA26" s="3">
        <f t="shared" si="9"/>
        <v>0.34435876918600422</v>
      </c>
      <c r="AB26">
        <f t="shared" si="10"/>
        <v>10358</v>
      </c>
      <c r="AC26">
        <f t="shared" si="11"/>
        <v>1639.75</v>
      </c>
      <c r="AD26">
        <f t="shared" si="12"/>
        <v>515.625</v>
      </c>
      <c r="AE26">
        <f t="shared" si="13"/>
        <v>485.625</v>
      </c>
      <c r="AF26">
        <f t="shared" si="14"/>
        <v>177.375</v>
      </c>
      <c r="AG26">
        <f t="shared" si="15"/>
        <v>0.31949698115952574</v>
      </c>
    </row>
    <row r="27" spans="1:33" x14ac:dyDescent="0.35">
      <c r="A27" t="s">
        <v>41</v>
      </c>
      <c r="B27" t="s">
        <v>42</v>
      </c>
      <c r="C27">
        <f>VLOOKUP(CONCATENATE("2001",'2001_60'!A27),aktivnepesseg!$C$2:$D$2226,2,FALSE)</f>
        <v>13450</v>
      </c>
      <c r="D27">
        <f t="shared" si="7"/>
        <v>12464</v>
      </c>
      <c r="E27">
        <f t="shared" si="8"/>
        <v>986</v>
      </c>
      <c r="F27">
        <v>715</v>
      </c>
      <c r="G27">
        <v>292</v>
      </c>
      <c r="H27">
        <v>418</v>
      </c>
      <c r="I27">
        <v>360</v>
      </c>
      <c r="J27">
        <v>1630</v>
      </c>
      <c r="K27">
        <v>704</v>
      </c>
      <c r="L27">
        <v>532</v>
      </c>
      <c r="M27">
        <v>533</v>
      </c>
      <c r="N27">
        <v>513</v>
      </c>
      <c r="O27">
        <v>495</v>
      </c>
      <c r="P27">
        <v>1851</v>
      </c>
      <c r="Q27">
        <v>1221</v>
      </c>
      <c r="R27">
        <v>770</v>
      </c>
      <c r="S27">
        <v>1630</v>
      </c>
      <c r="T27">
        <v>800</v>
      </c>
      <c r="U27">
        <f t="shared" si="5"/>
        <v>986</v>
      </c>
      <c r="V27">
        <f t="shared" si="5"/>
        <v>643.5</v>
      </c>
      <c r="W27">
        <f t="shared" si="5"/>
        <v>204.39999999999998</v>
      </c>
      <c r="X27">
        <f t="shared" si="5"/>
        <v>209</v>
      </c>
      <c r="Y27">
        <f t="shared" si="5"/>
        <v>108</v>
      </c>
      <c r="Z27">
        <f t="shared" si="5"/>
        <v>163</v>
      </c>
      <c r="AA27" s="3">
        <f t="shared" si="9"/>
        <v>0.1720371747211896</v>
      </c>
      <c r="AB27">
        <f t="shared" si="10"/>
        <v>986</v>
      </c>
      <c r="AC27">
        <f t="shared" si="11"/>
        <v>625.625</v>
      </c>
      <c r="AD27">
        <f t="shared" si="12"/>
        <v>182.5</v>
      </c>
      <c r="AE27">
        <f t="shared" si="13"/>
        <v>156.75</v>
      </c>
      <c r="AF27">
        <f t="shared" si="14"/>
        <v>45</v>
      </c>
      <c r="AG27">
        <f t="shared" si="15"/>
        <v>0.14839219330855019</v>
      </c>
    </row>
    <row r="28" spans="1:33" x14ac:dyDescent="0.35">
      <c r="A28" t="s">
        <v>43</v>
      </c>
      <c r="B28" t="s">
        <v>44</v>
      </c>
      <c r="C28">
        <f>VLOOKUP(CONCATENATE("2001",'2001_60'!A28),aktivnepesseg!$C$2:$D$2226,2,FALSE)</f>
        <v>50740</v>
      </c>
      <c r="D28">
        <f t="shared" si="7"/>
        <v>42506</v>
      </c>
      <c r="E28">
        <f t="shared" si="8"/>
        <v>8234</v>
      </c>
      <c r="F28">
        <v>2534</v>
      </c>
      <c r="G28">
        <v>889</v>
      </c>
      <c r="H28">
        <v>1340</v>
      </c>
      <c r="I28">
        <v>1411</v>
      </c>
      <c r="J28">
        <v>5856</v>
      </c>
      <c r="K28">
        <v>2325</v>
      </c>
      <c r="L28">
        <v>1694</v>
      </c>
      <c r="M28">
        <v>1827</v>
      </c>
      <c r="N28">
        <v>1571</v>
      </c>
      <c r="O28">
        <v>1656</v>
      </c>
      <c r="P28">
        <v>5999</v>
      </c>
      <c r="Q28">
        <v>3704</v>
      </c>
      <c r="R28">
        <v>2649</v>
      </c>
      <c r="S28">
        <v>5547</v>
      </c>
      <c r="T28">
        <v>3504</v>
      </c>
      <c r="U28">
        <f t="shared" si="5"/>
        <v>8234</v>
      </c>
      <c r="V28">
        <f t="shared" si="5"/>
        <v>2280.6</v>
      </c>
      <c r="W28">
        <f t="shared" si="5"/>
        <v>622.29999999999995</v>
      </c>
      <c r="X28">
        <f t="shared" si="5"/>
        <v>670</v>
      </c>
      <c r="Y28">
        <f t="shared" si="5"/>
        <v>423.3</v>
      </c>
      <c r="Z28">
        <f t="shared" si="5"/>
        <v>585.6</v>
      </c>
      <c r="AA28" s="3">
        <f t="shared" si="9"/>
        <v>0.25257784785179344</v>
      </c>
      <c r="AB28">
        <f t="shared" si="10"/>
        <v>8234</v>
      </c>
      <c r="AC28">
        <f t="shared" si="11"/>
        <v>2217.25</v>
      </c>
      <c r="AD28">
        <f t="shared" si="12"/>
        <v>555.625</v>
      </c>
      <c r="AE28">
        <f t="shared" si="13"/>
        <v>502.5</v>
      </c>
      <c r="AF28">
        <f t="shared" si="14"/>
        <v>176.375</v>
      </c>
      <c r="AG28">
        <f t="shared" si="15"/>
        <v>0.23030646432794638</v>
      </c>
    </row>
    <row r="29" spans="1:33" x14ac:dyDescent="0.35">
      <c r="A29" t="s">
        <v>45</v>
      </c>
      <c r="B29" t="s">
        <v>46</v>
      </c>
      <c r="C29">
        <f>VLOOKUP(CONCATENATE("2001",'2001_60'!A29),aktivnepesseg!$C$2:$D$2226,2,FALSE)</f>
        <v>80992</v>
      </c>
      <c r="D29">
        <f t="shared" si="7"/>
        <v>63093</v>
      </c>
      <c r="E29">
        <f t="shared" si="8"/>
        <v>17899</v>
      </c>
      <c r="F29">
        <v>3727</v>
      </c>
      <c r="G29">
        <v>1670</v>
      </c>
      <c r="H29">
        <v>2420</v>
      </c>
      <c r="I29">
        <v>2694</v>
      </c>
      <c r="J29">
        <v>9371</v>
      </c>
      <c r="K29">
        <v>4103</v>
      </c>
      <c r="L29">
        <v>2995</v>
      </c>
      <c r="M29">
        <v>2880</v>
      </c>
      <c r="N29">
        <v>2560</v>
      </c>
      <c r="O29">
        <v>2522</v>
      </c>
      <c r="P29">
        <v>10018</v>
      </c>
      <c r="Q29">
        <v>6043</v>
      </c>
      <c r="R29">
        <v>3426</v>
      </c>
      <c r="S29">
        <v>6043</v>
      </c>
      <c r="T29">
        <v>2621</v>
      </c>
      <c r="U29">
        <f t="shared" si="5"/>
        <v>17899</v>
      </c>
      <c r="V29">
        <f t="shared" si="5"/>
        <v>3354.3</v>
      </c>
      <c r="W29">
        <f t="shared" si="5"/>
        <v>1169</v>
      </c>
      <c r="X29">
        <f t="shared" si="5"/>
        <v>1210</v>
      </c>
      <c r="Y29">
        <f t="shared" si="5"/>
        <v>808.19999999999993</v>
      </c>
      <c r="Z29">
        <f t="shared" si="5"/>
        <v>937.1</v>
      </c>
      <c r="AA29" s="3">
        <f t="shared" si="9"/>
        <v>0.31333465033583563</v>
      </c>
      <c r="AB29">
        <f t="shared" si="10"/>
        <v>17899</v>
      </c>
      <c r="AC29">
        <f t="shared" si="11"/>
        <v>3261.125</v>
      </c>
      <c r="AD29">
        <f t="shared" si="12"/>
        <v>1043.75</v>
      </c>
      <c r="AE29">
        <f t="shared" si="13"/>
        <v>907.5</v>
      </c>
      <c r="AF29">
        <f t="shared" si="14"/>
        <v>336.75</v>
      </c>
      <c r="AG29">
        <f t="shared" si="15"/>
        <v>0.28951161843145001</v>
      </c>
    </row>
    <row r="30" spans="1:33" x14ac:dyDescent="0.35">
      <c r="A30" t="s">
        <v>47</v>
      </c>
      <c r="B30" t="s">
        <v>48</v>
      </c>
      <c r="C30">
        <f>VLOOKUP(CONCATENATE("2001",'2001_60'!A30),aktivnepesseg!$C$2:$D$2226,2,FALSE)</f>
        <v>65875</v>
      </c>
      <c r="D30">
        <f t="shared" si="7"/>
        <v>50062</v>
      </c>
      <c r="E30">
        <f t="shared" si="8"/>
        <v>15813</v>
      </c>
      <c r="F30">
        <v>3310</v>
      </c>
      <c r="G30">
        <v>1428</v>
      </c>
      <c r="H30">
        <v>2070</v>
      </c>
      <c r="I30">
        <v>2176</v>
      </c>
      <c r="J30">
        <v>6965</v>
      </c>
      <c r="K30">
        <v>3169</v>
      </c>
      <c r="L30">
        <v>2361</v>
      </c>
      <c r="M30">
        <v>2459</v>
      </c>
      <c r="N30">
        <v>2270</v>
      </c>
      <c r="O30">
        <v>2100</v>
      </c>
      <c r="P30">
        <v>8262</v>
      </c>
      <c r="Q30">
        <v>4856</v>
      </c>
      <c r="R30">
        <v>2622</v>
      </c>
      <c r="S30">
        <v>4576</v>
      </c>
      <c r="T30">
        <v>1438</v>
      </c>
      <c r="U30">
        <f t="shared" si="5"/>
        <v>15813</v>
      </c>
      <c r="V30">
        <f t="shared" si="5"/>
        <v>2979</v>
      </c>
      <c r="W30">
        <f t="shared" si="5"/>
        <v>999.59999999999991</v>
      </c>
      <c r="X30">
        <f t="shared" si="5"/>
        <v>1035</v>
      </c>
      <c r="Y30">
        <f t="shared" si="5"/>
        <v>652.79999999999995</v>
      </c>
      <c r="Z30">
        <f t="shared" si="5"/>
        <v>696.5</v>
      </c>
      <c r="AA30" s="3">
        <f t="shared" si="9"/>
        <v>0.33663605313092976</v>
      </c>
      <c r="AB30">
        <f t="shared" si="10"/>
        <v>15813</v>
      </c>
      <c r="AC30">
        <f t="shared" si="11"/>
        <v>2896.25</v>
      </c>
      <c r="AD30">
        <f t="shared" si="12"/>
        <v>892.5</v>
      </c>
      <c r="AE30">
        <f t="shared" si="13"/>
        <v>776.25</v>
      </c>
      <c r="AF30">
        <f t="shared" si="14"/>
        <v>272</v>
      </c>
      <c r="AG30">
        <f t="shared" si="15"/>
        <v>0.31347248576850095</v>
      </c>
    </row>
    <row r="31" spans="1:33" x14ac:dyDescent="0.35">
      <c r="A31" t="s">
        <v>49</v>
      </c>
      <c r="B31" t="s">
        <v>50</v>
      </c>
      <c r="C31">
        <f>VLOOKUP(CONCATENATE("2001",'2001_60'!A31),aktivnepesseg!$C$2:$D$2226,2,FALSE)</f>
        <v>16016</v>
      </c>
      <c r="D31">
        <f t="shared" si="7"/>
        <v>14214</v>
      </c>
      <c r="E31">
        <f t="shared" si="8"/>
        <v>1802</v>
      </c>
      <c r="F31">
        <v>887</v>
      </c>
      <c r="G31">
        <v>325</v>
      </c>
      <c r="H31">
        <v>511</v>
      </c>
      <c r="I31">
        <v>489</v>
      </c>
      <c r="J31">
        <v>2210</v>
      </c>
      <c r="K31">
        <v>890</v>
      </c>
      <c r="L31">
        <v>675</v>
      </c>
      <c r="M31">
        <v>617</v>
      </c>
      <c r="N31">
        <v>579</v>
      </c>
      <c r="O31">
        <v>589</v>
      </c>
      <c r="P31">
        <v>2057</v>
      </c>
      <c r="Q31">
        <v>1281</v>
      </c>
      <c r="R31">
        <v>794</v>
      </c>
      <c r="S31">
        <v>1533</v>
      </c>
      <c r="T31">
        <v>777</v>
      </c>
      <c r="U31">
        <f t="shared" si="5"/>
        <v>1802</v>
      </c>
      <c r="V31">
        <f t="shared" si="5"/>
        <v>798.30000000000007</v>
      </c>
      <c r="W31">
        <f t="shared" si="5"/>
        <v>227.49999999999997</v>
      </c>
      <c r="X31">
        <f t="shared" si="5"/>
        <v>255.5</v>
      </c>
      <c r="Y31">
        <f t="shared" si="5"/>
        <v>146.69999999999999</v>
      </c>
      <c r="Z31">
        <f t="shared" si="5"/>
        <v>221</v>
      </c>
      <c r="AA31" s="3">
        <f t="shared" si="9"/>
        <v>0.21547202797202797</v>
      </c>
      <c r="AB31">
        <f t="shared" si="10"/>
        <v>1802</v>
      </c>
      <c r="AC31">
        <f t="shared" si="11"/>
        <v>776.125</v>
      </c>
      <c r="AD31">
        <f t="shared" si="12"/>
        <v>203.125</v>
      </c>
      <c r="AE31">
        <f t="shared" si="13"/>
        <v>191.625</v>
      </c>
      <c r="AF31">
        <f t="shared" si="14"/>
        <v>61.125</v>
      </c>
      <c r="AG31">
        <f t="shared" si="15"/>
        <v>0.18943556443556445</v>
      </c>
    </row>
    <row r="32" spans="1:33" x14ac:dyDescent="0.35">
      <c r="A32" t="s">
        <v>51</v>
      </c>
      <c r="B32" t="s">
        <v>52</v>
      </c>
      <c r="C32">
        <f>VLOOKUP(CONCATENATE("2001",'2001_60'!A32),aktivnepesseg!$C$2:$D$2226,2,FALSE)</f>
        <v>25791</v>
      </c>
      <c r="D32">
        <f t="shared" si="7"/>
        <v>18922</v>
      </c>
      <c r="E32">
        <f t="shared" si="8"/>
        <v>6869</v>
      </c>
      <c r="F32">
        <v>1227</v>
      </c>
      <c r="G32">
        <v>540</v>
      </c>
      <c r="H32">
        <v>787</v>
      </c>
      <c r="I32">
        <v>823</v>
      </c>
      <c r="J32">
        <v>2915</v>
      </c>
      <c r="K32">
        <v>1252</v>
      </c>
      <c r="L32">
        <v>941</v>
      </c>
      <c r="M32">
        <v>898</v>
      </c>
      <c r="N32">
        <v>825</v>
      </c>
      <c r="O32">
        <v>782</v>
      </c>
      <c r="P32">
        <v>2764</v>
      </c>
      <c r="Q32">
        <v>1759</v>
      </c>
      <c r="R32">
        <v>1060</v>
      </c>
      <c r="S32">
        <v>1704</v>
      </c>
      <c r="T32">
        <v>645</v>
      </c>
      <c r="U32">
        <f t="shared" si="5"/>
        <v>6869</v>
      </c>
      <c r="V32">
        <f t="shared" si="5"/>
        <v>1104.3</v>
      </c>
      <c r="W32">
        <f t="shared" si="5"/>
        <v>378</v>
      </c>
      <c r="X32">
        <f t="shared" si="5"/>
        <v>393.5</v>
      </c>
      <c r="Y32">
        <f t="shared" si="5"/>
        <v>246.89999999999998</v>
      </c>
      <c r="Z32">
        <f t="shared" si="5"/>
        <v>291.5</v>
      </c>
      <c r="AA32" s="3">
        <f t="shared" si="9"/>
        <v>0.35993951378387806</v>
      </c>
      <c r="AB32">
        <f t="shared" si="10"/>
        <v>6869</v>
      </c>
      <c r="AC32">
        <f t="shared" si="11"/>
        <v>1073.625</v>
      </c>
      <c r="AD32">
        <f t="shared" si="12"/>
        <v>337.5</v>
      </c>
      <c r="AE32">
        <f t="shared" si="13"/>
        <v>295.125</v>
      </c>
      <c r="AF32">
        <f t="shared" si="14"/>
        <v>102.875</v>
      </c>
      <c r="AG32">
        <f t="shared" si="15"/>
        <v>0.33647881043774958</v>
      </c>
    </row>
    <row r="33" spans="1:33" x14ac:dyDescent="0.35">
      <c r="A33" t="s">
        <v>53</v>
      </c>
      <c r="B33" t="s">
        <v>54</v>
      </c>
      <c r="C33">
        <f>VLOOKUP(CONCATENATE("2001",'2001_60'!A33),aktivnepesseg!$C$2:$D$2226,2,FALSE)</f>
        <v>37718</v>
      </c>
      <c r="D33">
        <f t="shared" si="7"/>
        <v>26002</v>
      </c>
      <c r="E33">
        <f t="shared" si="8"/>
        <v>11716</v>
      </c>
      <c r="F33">
        <v>1711</v>
      </c>
      <c r="G33">
        <v>836</v>
      </c>
      <c r="H33">
        <v>1205</v>
      </c>
      <c r="I33">
        <v>1273</v>
      </c>
      <c r="J33">
        <v>4030</v>
      </c>
      <c r="K33">
        <v>1781</v>
      </c>
      <c r="L33">
        <v>1356</v>
      </c>
      <c r="M33">
        <v>1320</v>
      </c>
      <c r="N33">
        <v>1158</v>
      </c>
      <c r="O33">
        <v>1101</v>
      </c>
      <c r="P33">
        <v>4095</v>
      </c>
      <c r="Q33">
        <v>2208</v>
      </c>
      <c r="R33">
        <v>1241</v>
      </c>
      <c r="S33">
        <v>2020</v>
      </c>
      <c r="T33">
        <v>667</v>
      </c>
      <c r="U33">
        <f t="shared" si="5"/>
        <v>11716</v>
      </c>
      <c r="V33">
        <f t="shared" si="5"/>
        <v>1539.9</v>
      </c>
      <c r="W33">
        <f t="shared" si="5"/>
        <v>585.19999999999993</v>
      </c>
      <c r="X33">
        <f t="shared" si="5"/>
        <v>602.5</v>
      </c>
      <c r="Y33">
        <f t="shared" si="5"/>
        <v>381.9</v>
      </c>
      <c r="Z33">
        <f t="shared" si="5"/>
        <v>403</v>
      </c>
      <c r="AA33" s="3">
        <f t="shared" si="9"/>
        <v>0.40374622196298848</v>
      </c>
      <c r="AB33">
        <f t="shared" si="10"/>
        <v>11716</v>
      </c>
      <c r="AC33">
        <f t="shared" si="11"/>
        <v>1497.125</v>
      </c>
      <c r="AD33">
        <f t="shared" si="12"/>
        <v>522.5</v>
      </c>
      <c r="AE33">
        <f t="shared" si="13"/>
        <v>451.875</v>
      </c>
      <c r="AF33">
        <f t="shared" si="14"/>
        <v>159.125</v>
      </c>
      <c r="AG33">
        <f t="shared" si="15"/>
        <v>0.38036547536984994</v>
      </c>
    </row>
    <row r="34" spans="1:33" x14ac:dyDescent="0.35">
      <c r="A34" t="s">
        <v>55</v>
      </c>
      <c r="B34" t="s">
        <v>56</v>
      </c>
      <c r="C34">
        <f>VLOOKUP(CONCATENATE("2001",'2001_60'!A34),aktivnepesseg!$C$2:$D$2226,2,FALSE)</f>
        <v>49067</v>
      </c>
      <c r="D34">
        <f t="shared" si="7"/>
        <v>30837</v>
      </c>
      <c r="E34">
        <f t="shared" si="8"/>
        <v>18230</v>
      </c>
      <c r="F34">
        <v>1874</v>
      </c>
      <c r="G34">
        <v>979</v>
      </c>
      <c r="H34">
        <v>1433</v>
      </c>
      <c r="I34">
        <v>1574</v>
      </c>
      <c r="J34">
        <v>4430</v>
      </c>
      <c r="K34">
        <v>2125</v>
      </c>
      <c r="L34">
        <v>1604</v>
      </c>
      <c r="M34">
        <v>1595</v>
      </c>
      <c r="N34">
        <v>1458</v>
      </c>
      <c r="O34">
        <v>1430</v>
      </c>
      <c r="P34">
        <v>4970</v>
      </c>
      <c r="Q34">
        <v>2742</v>
      </c>
      <c r="R34">
        <v>1475</v>
      </c>
      <c r="S34">
        <v>2392</v>
      </c>
      <c r="T34">
        <v>756</v>
      </c>
      <c r="U34">
        <f t="shared" si="5"/>
        <v>18230</v>
      </c>
      <c r="V34">
        <f t="shared" si="5"/>
        <v>1686.6000000000001</v>
      </c>
      <c r="W34">
        <f t="shared" si="5"/>
        <v>685.3</v>
      </c>
      <c r="X34">
        <f t="shared" si="5"/>
        <v>716.5</v>
      </c>
      <c r="Y34">
        <f t="shared" si="5"/>
        <v>472.2</v>
      </c>
      <c r="Z34">
        <f t="shared" si="5"/>
        <v>443</v>
      </c>
      <c r="AA34" s="3">
        <f t="shared" si="9"/>
        <v>0.45312735647176305</v>
      </c>
      <c r="AB34">
        <f t="shared" si="10"/>
        <v>18230</v>
      </c>
      <c r="AC34">
        <f t="shared" si="11"/>
        <v>1639.75</v>
      </c>
      <c r="AD34">
        <f t="shared" si="12"/>
        <v>611.875</v>
      </c>
      <c r="AE34">
        <f t="shared" si="13"/>
        <v>537.375</v>
      </c>
      <c r="AF34">
        <f t="shared" si="14"/>
        <v>196.75</v>
      </c>
      <c r="AG34">
        <f t="shared" si="15"/>
        <v>0.43238327185277275</v>
      </c>
    </row>
    <row r="35" spans="1:33" x14ac:dyDescent="0.35">
      <c r="A35" t="s">
        <v>57</v>
      </c>
      <c r="B35" t="s">
        <v>58</v>
      </c>
      <c r="C35">
        <f>VLOOKUP(CONCATENATE("2001",'2001_60'!A35),aktivnepesseg!$C$2:$D$2226,2,FALSE)</f>
        <v>36692</v>
      </c>
      <c r="D35">
        <f t="shared" si="7"/>
        <v>26040</v>
      </c>
      <c r="E35">
        <f t="shared" si="8"/>
        <v>10652</v>
      </c>
      <c r="F35">
        <v>1501</v>
      </c>
      <c r="G35">
        <v>791</v>
      </c>
      <c r="H35">
        <v>1115</v>
      </c>
      <c r="I35">
        <v>1137</v>
      </c>
      <c r="J35">
        <v>3674</v>
      </c>
      <c r="K35">
        <v>1741</v>
      </c>
      <c r="L35">
        <v>1321</v>
      </c>
      <c r="M35">
        <v>1324</v>
      </c>
      <c r="N35">
        <v>1181</v>
      </c>
      <c r="O35">
        <v>1213</v>
      </c>
      <c r="P35">
        <v>4304</v>
      </c>
      <c r="Q35">
        <v>2416</v>
      </c>
      <c r="R35">
        <v>1370</v>
      </c>
      <c r="S35">
        <v>2128</v>
      </c>
      <c r="T35">
        <v>824</v>
      </c>
      <c r="U35">
        <f t="shared" si="5"/>
        <v>10652</v>
      </c>
      <c r="V35">
        <f t="shared" si="5"/>
        <v>1350.9</v>
      </c>
      <c r="W35">
        <f t="shared" si="5"/>
        <v>553.69999999999993</v>
      </c>
      <c r="X35">
        <f t="shared" si="5"/>
        <v>557.5</v>
      </c>
      <c r="Y35">
        <f t="shared" si="5"/>
        <v>341.09999999999997</v>
      </c>
      <c r="Z35">
        <f t="shared" si="5"/>
        <v>367.40000000000003</v>
      </c>
      <c r="AA35" s="3">
        <f t="shared" si="9"/>
        <v>0.37671972092009159</v>
      </c>
      <c r="AB35">
        <f t="shared" si="10"/>
        <v>10652</v>
      </c>
      <c r="AC35">
        <f t="shared" si="11"/>
        <v>1313.375</v>
      </c>
      <c r="AD35">
        <f t="shared" si="12"/>
        <v>494.375</v>
      </c>
      <c r="AE35">
        <f t="shared" si="13"/>
        <v>418.125</v>
      </c>
      <c r="AF35">
        <f t="shared" si="14"/>
        <v>142.125</v>
      </c>
      <c r="AG35">
        <f t="shared" si="15"/>
        <v>0.35484574294124061</v>
      </c>
    </row>
    <row r="36" spans="1:33" x14ac:dyDescent="0.35">
      <c r="A36" t="s">
        <v>59</v>
      </c>
      <c r="B36" t="s">
        <v>60</v>
      </c>
      <c r="C36">
        <f>VLOOKUP(CONCATENATE("2001",'2001_60'!A36),aktivnepesseg!$C$2:$D$2226,2,FALSE)</f>
        <v>50288</v>
      </c>
      <c r="D36">
        <f t="shared" si="7"/>
        <v>35755</v>
      </c>
      <c r="E36">
        <f t="shared" si="8"/>
        <v>14533</v>
      </c>
      <c r="F36">
        <v>1965</v>
      </c>
      <c r="G36">
        <v>922</v>
      </c>
      <c r="H36">
        <v>1348</v>
      </c>
      <c r="I36">
        <v>1535</v>
      </c>
      <c r="J36">
        <v>4866</v>
      </c>
      <c r="K36">
        <v>2214</v>
      </c>
      <c r="L36">
        <v>1789</v>
      </c>
      <c r="M36">
        <v>1863</v>
      </c>
      <c r="N36">
        <v>1705</v>
      </c>
      <c r="O36">
        <v>1703</v>
      </c>
      <c r="P36">
        <v>6409</v>
      </c>
      <c r="Q36">
        <v>3752</v>
      </c>
      <c r="R36">
        <v>1851</v>
      </c>
      <c r="S36">
        <v>3011</v>
      </c>
      <c r="T36">
        <v>822</v>
      </c>
      <c r="U36">
        <f t="shared" si="5"/>
        <v>14533</v>
      </c>
      <c r="V36">
        <f t="shared" si="5"/>
        <v>1768.5</v>
      </c>
      <c r="W36">
        <f t="shared" si="5"/>
        <v>645.4</v>
      </c>
      <c r="X36">
        <f t="shared" si="5"/>
        <v>674</v>
      </c>
      <c r="Y36">
        <f t="shared" si="5"/>
        <v>460.5</v>
      </c>
      <c r="Z36">
        <f t="shared" si="5"/>
        <v>486.6</v>
      </c>
      <c r="AA36" s="3">
        <f t="shared" si="9"/>
        <v>0.36923321667196946</v>
      </c>
      <c r="AB36">
        <f t="shared" si="10"/>
        <v>14533</v>
      </c>
      <c r="AC36">
        <f t="shared" si="11"/>
        <v>1719.375</v>
      </c>
      <c r="AD36">
        <f t="shared" si="12"/>
        <v>576.25</v>
      </c>
      <c r="AE36">
        <f t="shared" si="13"/>
        <v>505.5</v>
      </c>
      <c r="AF36">
        <f t="shared" si="14"/>
        <v>191.875</v>
      </c>
      <c r="AG36">
        <f t="shared" si="15"/>
        <v>0.34851256761056315</v>
      </c>
    </row>
    <row r="37" spans="1:33" x14ac:dyDescent="0.35">
      <c r="A37" t="s">
        <v>61</v>
      </c>
      <c r="B37" t="s">
        <v>62</v>
      </c>
      <c r="C37">
        <f>VLOOKUP(CONCATENATE("2001",'2001_60'!A37),aktivnepesseg!$C$2:$D$2226,2,FALSE)</f>
        <v>83595</v>
      </c>
      <c r="D37">
        <f t="shared" si="7"/>
        <v>63811</v>
      </c>
      <c r="E37">
        <f t="shared" si="8"/>
        <v>19784</v>
      </c>
      <c r="F37">
        <v>3610</v>
      </c>
      <c r="G37">
        <v>1461</v>
      </c>
      <c r="H37">
        <v>2161</v>
      </c>
      <c r="I37">
        <v>2201</v>
      </c>
      <c r="J37">
        <v>8403</v>
      </c>
      <c r="K37">
        <v>3882</v>
      </c>
      <c r="L37">
        <v>2790</v>
      </c>
      <c r="M37">
        <v>2921</v>
      </c>
      <c r="N37">
        <v>2732</v>
      </c>
      <c r="O37">
        <v>2698</v>
      </c>
      <c r="P37">
        <v>10182</v>
      </c>
      <c r="Q37">
        <v>6104</v>
      </c>
      <c r="R37">
        <v>3990</v>
      </c>
      <c r="S37">
        <v>7264</v>
      </c>
      <c r="T37">
        <v>3412</v>
      </c>
      <c r="U37">
        <f t="shared" si="5"/>
        <v>19784</v>
      </c>
      <c r="V37">
        <f t="shared" si="5"/>
        <v>3249</v>
      </c>
      <c r="W37">
        <f t="shared" si="5"/>
        <v>1022.6999999999999</v>
      </c>
      <c r="X37">
        <f t="shared" si="5"/>
        <v>1080.5</v>
      </c>
      <c r="Y37">
        <f t="shared" si="5"/>
        <v>660.3</v>
      </c>
      <c r="Z37">
        <f t="shared" si="5"/>
        <v>840.30000000000007</v>
      </c>
      <c r="AA37" s="3">
        <f t="shared" si="9"/>
        <v>0.31864106704946465</v>
      </c>
      <c r="AB37">
        <f t="shared" si="10"/>
        <v>19784</v>
      </c>
      <c r="AC37">
        <f t="shared" si="11"/>
        <v>3158.75</v>
      </c>
      <c r="AD37">
        <f t="shared" si="12"/>
        <v>913.125</v>
      </c>
      <c r="AE37">
        <f t="shared" si="13"/>
        <v>810.375</v>
      </c>
      <c r="AF37">
        <f t="shared" si="14"/>
        <v>275.125</v>
      </c>
      <c r="AG37">
        <f t="shared" si="15"/>
        <v>0.29835965069681203</v>
      </c>
    </row>
    <row r="38" spans="1:33" x14ac:dyDescent="0.35">
      <c r="A38" t="s">
        <v>63</v>
      </c>
      <c r="B38" t="s">
        <v>64</v>
      </c>
      <c r="C38">
        <f>VLOOKUP(CONCATENATE("2001",'2001_60'!A38),aktivnepesseg!$C$2:$D$2226,2,FALSE)</f>
        <v>33460</v>
      </c>
      <c r="D38">
        <f t="shared" si="7"/>
        <v>29453</v>
      </c>
      <c r="E38">
        <f t="shared" si="8"/>
        <v>4007</v>
      </c>
      <c r="F38">
        <v>1699</v>
      </c>
      <c r="G38">
        <v>593</v>
      </c>
      <c r="H38">
        <v>933</v>
      </c>
      <c r="I38">
        <v>973</v>
      </c>
      <c r="J38">
        <v>3793</v>
      </c>
      <c r="K38">
        <v>1610</v>
      </c>
      <c r="L38">
        <v>1213</v>
      </c>
      <c r="M38">
        <v>1237</v>
      </c>
      <c r="N38">
        <v>1109</v>
      </c>
      <c r="O38">
        <v>1095</v>
      </c>
      <c r="P38">
        <v>4226</v>
      </c>
      <c r="Q38">
        <v>2806</v>
      </c>
      <c r="R38">
        <v>1814</v>
      </c>
      <c r="S38">
        <v>3947</v>
      </c>
      <c r="T38">
        <v>2405</v>
      </c>
      <c r="U38">
        <f t="shared" si="5"/>
        <v>4007</v>
      </c>
      <c r="V38">
        <f t="shared" si="5"/>
        <v>1529.1000000000001</v>
      </c>
      <c r="W38">
        <f t="shared" si="5"/>
        <v>415.09999999999997</v>
      </c>
      <c r="X38">
        <f t="shared" si="5"/>
        <v>466.5</v>
      </c>
      <c r="Y38">
        <f t="shared" si="5"/>
        <v>291.89999999999998</v>
      </c>
      <c r="Z38">
        <f t="shared" si="5"/>
        <v>379.3</v>
      </c>
      <c r="AA38" s="3">
        <f t="shared" si="9"/>
        <v>0.2118619246861925</v>
      </c>
      <c r="AB38">
        <f t="shared" si="10"/>
        <v>4007</v>
      </c>
      <c r="AC38">
        <f t="shared" si="11"/>
        <v>1486.625</v>
      </c>
      <c r="AD38">
        <f t="shared" si="12"/>
        <v>370.625</v>
      </c>
      <c r="AE38">
        <f t="shared" si="13"/>
        <v>349.875</v>
      </c>
      <c r="AF38">
        <f t="shared" si="14"/>
        <v>121.625</v>
      </c>
      <c r="AG38">
        <f t="shared" si="15"/>
        <v>0.18935295875672445</v>
      </c>
    </row>
    <row r="39" spans="1:33" x14ac:dyDescent="0.35">
      <c r="A39" t="s">
        <v>65</v>
      </c>
      <c r="B39" t="s">
        <v>66</v>
      </c>
      <c r="C39">
        <f>VLOOKUP(CONCATENATE("2001",'2001_60'!A39),aktivnepesseg!$C$2:$D$2226,2,FALSE)</f>
        <v>67544</v>
      </c>
      <c r="D39">
        <f t="shared" si="7"/>
        <v>48581</v>
      </c>
      <c r="E39">
        <f t="shared" si="8"/>
        <v>18963</v>
      </c>
      <c r="F39">
        <v>2837</v>
      </c>
      <c r="G39">
        <v>1333</v>
      </c>
      <c r="H39">
        <v>1860</v>
      </c>
      <c r="I39">
        <v>1885</v>
      </c>
      <c r="J39">
        <v>6809</v>
      </c>
      <c r="K39">
        <v>3025</v>
      </c>
      <c r="L39">
        <v>2253</v>
      </c>
      <c r="M39">
        <v>2371</v>
      </c>
      <c r="N39">
        <v>2115</v>
      </c>
      <c r="O39">
        <v>2122</v>
      </c>
      <c r="P39">
        <v>7845</v>
      </c>
      <c r="Q39">
        <v>4701</v>
      </c>
      <c r="R39">
        <v>2724</v>
      </c>
      <c r="S39">
        <v>4739</v>
      </c>
      <c r="T39">
        <v>1962</v>
      </c>
      <c r="U39">
        <f t="shared" si="5"/>
        <v>18963</v>
      </c>
      <c r="V39">
        <f t="shared" si="5"/>
        <v>2553.3000000000002</v>
      </c>
      <c r="W39">
        <f t="shared" si="5"/>
        <v>933.09999999999991</v>
      </c>
      <c r="X39">
        <f t="shared" si="5"/>
        <v>930</v>
      </c>
      <c r="Y39">
        <f t="shared" si="5"/>
        <v>565.5</v>
      </c>
      <c r="Z39">
        <f t="shared" si="5"/>
        <v>680.90000000000009</v>
      </c>
      <c r="AA39" s="3">
        <f t="shared" si="9"/>
        <v>0.3645890086462158</v>
      </c>
      <c r="AB39">
        <f t="shared" si="10"/>
        <v>18963</v>
      </c>
      <c r="AC39">
        <f t="shared" si="11"/>
        <v>2482.375</v>
      </c>
      <c r="AD39">
        <f t="shared" si="12"/>
        <v>833.125</v>
      </c>
      <c r="AE39">
        <f t="shared" si="13"/>
        <v>697.5</v>
      </c>
      <c r="AF39">
        <f t="shared" si="14"/>
        <v>235.625</v>
      </c>
      <c r="AG39">
        <f t="shared" si="15"/>
        <v>0.34365191578822696</v>
      </c>
    </row>
    <row r="40" spans="1:33" x14ac:dyDescent="0.35">
      <c r="A40" t="s">
        <v>67</v>
      </c>
      <c r="B40" t="s">
        <v>68</v>
      </c>
      <c r="C40">
        <f>VLOOKUP(CONCATENATE("2001",'2001_60'!A40),aktivnepesseg!$C$2:$D$2226,2,FALSE)</f>
        <v>69133</v>
      </c>
      <c r="D40">
        <f t="shared" si="7"/>
        <v>51673</v>
      </c>
      <c r="E40">
        <f t="shared" si="8"/>
        <v>17460</v>
      </c>
      <c r="F40">
        <v>2926</v>
      </c>
      <c r="G40">
        <v>1191</v>
      </c>
      <c r="H40">
        <v>1886</v>
      </c>
      <c r="I40">
        <v>2024</v>
      </c>
      <c r="J40">
        <v>7215</v>
      </c>
      <c r="K40">
        <v>3228</v>
      </c>
      <c r="L40">
        <v>2382</v>
      </c>
      <c r="M40">
        <v>2370</v>
      </c>
      <c r="N40">
        <v>2180</v>
      </c>
      <c r="O40">
        <v>2211</v>
      </c>
      <c r="P40">
        <v>8298</v>
      </c>
      <c r="Q40">
        <v>5023</v>
      </c>
      <c r="R40">
        <v>3034</v>
      </c>
      <c r="S40">
        <v>5459</v>
      </c>
      <c r="T40">
        <v>2246</v>
      </c>
      <c r="U40">
        <f t="shared" ref="U40:Z71" si="16">E40*E$5</f>
        <v>17460</v>
      </c>
      <c r="V40">
        <f t="shared" si="16"/>
        <v>2633.4</v>
      </c>
      <c r="W40">
        <f t="shared" si="16"/>
        <v>833.69999999999993</v>
      </c>
      <c r="X40">
        <f t="shared" si="16"/>
        <v>943</v>
      </c>
      <c r="Y40">
        <f t="shared" si="16"/>
        <v>607.19999999999993</v>
      </c>
      <c r="Z40">
        <f t="shared" si="16"/>
        <v>721.5</v>
      </c>
      <c r="AA40" s="3">
        <f t="shared" si="9"/>
        <v>0.33556767390392434</v>
      </c>
      <c r="AB40">
        <f t="shared" si="10"/>
        <v>17460</v>
      </c>
      <c r="AC40">
        <f t="shared" si="11"/>
        <v>2560.25</v>
      </c>
      <c r="AD40">
        <f t="shared" si="12"/>
        <v>744.375</v>
      </c>
      <c r="AE40">
        <f t="shared" si="13"/>
        <v>707.25</v>
      </c>
      <c r="AF40">
        <f t="shared" si="14"/>
        <v>253</v>
      </c>
      <c r="AG40">
        <f t="shared" si="15"/>
        <v>0.31424753735553207</v>
      </c>
    </row>
    <row r="41" spans="1:33" x14ac:dyDescent="0.35">
      <c r="A41" t="s">
        <v>69</v>
      </c>
      <c r="B41" t="s">
        <v>70</v>
      </c>
      <c r="C41">
        <f>VLOOKUP(CONCATENATE("2001",'2001_60'!A41),aktivnepesseg!$C$2:$D$2226,2,FALSE)</f>
        <v>49847</v>
      </c>
      <c r="D41">
        <f t="shared" si="7"/>
        <v>37789</v>
      </c>
      <c r="E41">
        <f t="shared" si="8"/>
        <v>12058</v>
      </c>
      <c r="F41">
        <v>2307</v>
      </c>
      <c r="G41">
        <v>1059</v>
      </c>
      <c r="H41">
        <v>1605</v>
      </c>
      <c r="I41">
        <v>1656</v>
      </c>
      <c r="J41">
        <v>5843</v>
      </c>
      <c r="K41">
        <v>2663</v>
      </c>
      <c r="L41">
        <v>1900</v>
      </c>
      <c r="M41">
        <v>1828</v>
      </c>
      <c r="N41">
        <v>1712</v>
      </c>
      <c r="O41">
        <v>1730</v>
      </c>
      <c r="P41">
        <v>6409</v>
      </c>
      <c r="Q41">
        <v>3541</v>
      </c>
      <c r="R41">
        <v>1906</v>
      </c>
      <c r="S41">
        <v>2886</v>
      </c>
      <c r="T41">
        <v>744</v>
      </c>
      <c r="U41">
        <f t="shared" si="16"/>
        <v>12058</v>
      </c>
      <c r="V41">
        <f t="shared" si="16"/>
        <v>2076.3000000000002</v>
      </c>
      <c r="W41">
        <f t="shared" si="16"/>
        <v>741.3</v>
      </c>
      <c r="X41">
        <f t="shared" si="16"/>
        <v>802.5</v>
      </c>
      <c r="Y41">
        <f t="shared" si="16"/>
        <v>496.79999999999995</v>
      </c>
      <c r="Z41">
        <f t="shared" si="16"/>
        <v>584.30000000000007</v>
      </c>
      <c r="AA41" s="3">
        <f t="shared" si="9"/>
        <v>0.33621281120227892</v>
      </c>
      <c r="AB41">
        <f t="shared" si="10"/>
        <v>12058</v>
      </c>
      <c r="AC41">
        <f t="shared" si="11"/>
        <v>2018.625</v>
      </c>
      <c r="AD41">
        <f t="shared" si="12"/>
        <v>661.875</v>
      </c>
      <c r="AE41">
        <f t="shared" si="13"/>
        <v>601.875</v>
      </c>
      <c r="AF41">
        <f t="shared" si="14"/>
        <v>207</v>
      </c>
      <c r="AG41">
        <f t="shared" si="15"/>
        <v>0.31190191987481691</v>
      </c>
    </row>
    <row r="42" spans="1:33" x14ac:dyDescent="0.35">
      <c r="A42" t="s">
        <v>71</v>
      </c>
      <c r="B42" t="s">
        <v>72</v>
      </c>
      <c r="C42">
        <f>VLOOKUP(CONCATENATE("2001",'2001_60'!A42),aktivnepesseg!$C$2:$D$2226,2,FALSE)</f>
        <v>42670</v>
      </c>
      <c r="D42">
        <f t="shared" si="7"/>
        <v>33023</v>
      </c>
      <c r="E42">
        <f t="shared" si="8"/>
        <v>9647</v>
      </c>
      <c r="F42">
        <v>2027</v>
      </c>
      <c r="G42">
        <v>860</v>
      </c>
      <c r="H42">
        <v>1368</v>
      </c>
      <c r="I42">
        <v>1414</v>
      </c>
      <c r="J42">
        <v>5589</v>
      </c>
      <c r="K42">
        <v>2132</v>
      </c>
      <c r="L42">
        <v>1490</v>
      </c>
      <c r="M42">
        <v>1518</v>
      </c>
      <c r="N42">
        <v>1321</v>
      </c>
      <c r="O42">
        <v>1320</v>
      </c>
      <c r="P42">
        <v>5010</v>
      </c>
      <c r="Q42">
        <v>3078</v>
      </c>
      <c r="R42">
        <v>1835</v>
      </c>
      <c r="S42">
        <v>2967</v>
      </c>
      <c r="T42">
        <v>1094</v>
      </c>
      <c r="U42">
        <f t="shared" si="16"/>
        <v>9647</v>
      </c>
      <c r="V42">
        <f t="shared" si="16"/>
        <v>1824.3</v>
      </c>
      <c r="W42">
        <f t="shared" si="16"/>
        <v>602</v>
      </c>
      <c r="X42">
        <f t="shared" si="16"/>
        <v>684</v>
      </c>
      <c r="Y42">
        <f t="shared" si="16"/>
        <v>424.2</v>
      </c>
      <c r="Z42">
        <f t="shared" si="16"/>
        <v>558.9</v>
      </c>
      <c r="AA42" s="3">
        <f t="shared" si="9"/>
        <v>0.32201546754159832</v>
      </c>
      <c r="AB42">
        <f t="shared" si="10"/>
        <v>9647</v>
      </c>
      <c r="AC42">
        <f t="shared" si="11"/>
        <v>1773.625</v>
      </c>
      <c r="AD42">
        <f t="shared" si="12"/>
        <v>537.5</v>
      </c>
      <c r="AE42">
        <f t="shared" si="13"/>
        <v>513</v>
      </c>
      <c r="AF42">
        <f t="shared" si="14"/>
        <v>176.75</v>
      </c>
      <c r="AG42">
        <f t="shared" si="15"/>
        <v>0.29641141317084602</v>
      </c>
    </row>
    <row r="43" spans="1:33" x14ac:dyDescent="0.35">
      <c r="A43" t="s">
        <v>73</v>
      </c>
      <c r="B43" t="s">
        <v>74</v>
      </c>
      <c r="C43">
        <f>VLOOKUP(CONCATENATE("2001",'2001_60'!A43),aktivnepesseg!$C$2:$D$2226,2,FALSE)</f>
        <v>48975</v>
      </c>
      <c r="D43">
        <f t="shared" si="7"/>
        <v>37169</v>
      </c>
      <c r="E43">
        <f t="shared" si="8"/>
        <v>11806</v>
      </c>
      <c r="F43">
        <v>2337</v>
      </c>
      <c r="G43">
        <v>1111</v>
      </c>
      <c r="H43">
        <v>1697</v>
      </c>
      <c r="I43">
        <v>1761</v>
      </c>
      <c r="J43">
        <v>6282</v>
      </c>
      <c r="K43">
        <v>2448</v>
      </c>
      <c r="L43">
        <v>1784</v>
      </c>
      <c r="M43">
        <v>1735</v>
      </c>
      <c r="N43">
        <v>1588</v>
      </c>
      <c r="O43">
        <v>1637</v>
      </c>
      <c r="P43">
        <v>5891</v>
      </c>
      <c r="Q43">
        <v>3441</v>
      </c>
      <c r="R43">
        <v>1881</v>
      </c>
      <c r="S43">
        <v>2667</v>
      </c>
      <c r="T43">
        <v>909</v>
      </c>
      <c r="U43">
        <f t="shared" si="16"/>
        <v>11806</v>
      </c>
      <c r="V43">
        <f t="shared" si="16"/>
        <v>2103.3000000000002</v>
      </c>
      <c r="W43">
        <f t="shared" si="16"/>
        <v>777.69999999999993</v>
      </c>
      <c r="X43">
        <f t="shared" si="16"/>
        <v>848.5</v>
      </c>
      <c r="Y43">
        <f t="shared" si="16"/>
        <v>528.29999999999995</v>
      </c>
      <c r="Z43">
        <f t="shared" si="16"/>
        <v>628.20000000000005</v>
      </c>
      <c r="AA43" s="3">
        <f t="shared" si="9"/>
        <v>0.3408269525267994</v>
      </c>
      <c r="AB43">
        <f t="shared" si="10"/>
        <v>11806</v>
      </c>
      <c r="AC43">
        <f t="shared" si="11"/>
        <v>2044.875</v>
      </c>
      <c r="AD43">
        <f t="shared" si="12"/>
        <v>694.375</v>
      </c>
      <c r="AE43">
        <f t="shared" si="13"/>
        <v>636.375</v>
      </c>
      <c r="AF43">
        <f t="shared" si="14"/>
        <v>220.125</v>
      </c>
      <c r="AG43">
        <f t="shared" si="15"/>
        <v>0.31448187850944359</v>
      </c>
    </row>
    <row r="44" spans="1:33" x14ac:dyDescent="0.35">
      <c r="A44" t="s">
        <v>75</v>
      </c>
      <c r="B44" t="s">
        <v>76</v>
      </c>
      <c r="C44">
        <f>VLOOKUP(CONCATENATE("2001",'2001_60'!A44),aktivnepesseg!$C$2:$D$2226,2,FALSE)</f>
        <v>57661</v>
      </c>
      <c r="D44">
        <f t="shared" si="7"/>
        <v>44068</v>
      </c>
      <c r="E44">
        <f t="shared" si="8"/>
        <v>13593</v>
      </c>
      <c r="F44">
        <v>2588</v>
      </c>
      <c r="G44">
        <v>1221</v>
      </c>
      <c r="H44">
        <v>1903</v>
      </c>
      <c r="I44">
        <v>2011</v>
      </c>
      <c r="J44">
        <v>6812</v>
      </c>
      <c r="K44">
        <v>2943</v>
      </c>
      <c r="L44">
        <v>2204</v>
      </c>
      <c r="M44">
        <v>2057</v>
      </c>
      <c r="N44">
        <v>2000</v>
      </c>
      <c r="O44">
        <v>1875</v>
      </c>
      <c r="P44">
        <v>7410</v>
      </c>
      <c r="Q44">
        <v>4247</v>
      </c>
      <c r="R44">
        <v>2316</v>
      </c>
      <c r="S44">
        <v>3425</v>
      </c>
      <c r="T44">
        <v>1056</v>
      </c>
      <c r="U44">
        <f t="shared" si="16"/>
        <v>13593</v>
      </c>
      <c r="V44">
        <f t="shared" si="16"/>
        <v>2329.2000000000003</v>
      </c>
      <c r="W44">
        <f t="shared" si="16"/>
        <v>854.69999999999993</v>
      </c>
      <c r="X44">
        <f t="shared" si="16"/>
        <v>951.5</v>
      </c>
      <c r="Y44">
        <f t="shared" si="16"/>
        <v>603.29999999999995</v>
      </c>
      <c r="Z44">
        <f t="shared" si="16"/>
        <v>681.2</v>
      </c>
      <c r="AA44" s="3">
        <f t="shared" si="9"/>
        <v>0.32973586999878601</v>
      </c>
      <c r="AB44">
        <f t="shared" si="10"/>
        <v>13593</v>
      </c>
      <c r="AC44">
        <f t="shared" si="11"/>
        <v>2264.5</v>
      </c>
      <c r="AD44">
        <f t="shared" si="12"/>
        <v>763.125</v>
      </c>
      <c r="AE44">
        <f t="shared" si="13"/>
        <v>713.625</v>
      </c>
      <c r="AF44">
        <f t="shared" si="14"/>
        <v>251.375</v>
      </c>
      <c r="AG44">
        <f t="shared" si="15"/>
        <v>0.30498300411023049</v>
      </c>
    </row>
    <row r="45" spans="1:33" x14ac:dyDescent="0.35">
      <c r="A45" t="s">
        <v>77</v>
      </c>
      <c r="B45" t="s">
        <v>78</v>
      </c>
      <c r="C45">
        <f>VLOOKUP(CONCATENATE("2001",'2001_60'!A45),aktivnepesseg!$C$2:$D$2226,2,FALSE)</f>
        <v>40004</v>
      </c>
      <c r="D45">
        <f t="shared" si="7"/>
        <v>30588</v>
      </c>
      <c r="E45">
        <f t="shared" si="8"/>
        <v>9416</v>
      </c>
      <c r="F45">
        <v>1769</v>
      </c>
      <c r="G45">
        <v>899</v>
      </c>
      <c r="H45">
        <v>1260</v>
      </c>
      <c r="I45">
        <v>1407</v>
      </c>
      <c r="J45">
        <v>4471</v>
      </c>
      <c r="K45">
        <v>2046</v>
      </c>
      <c r="L45">
        <v>1519</v>
      </c>
      <c r="M45">
        <v>1521</v>
      </c>
      <c r="N45">
        <v>1315</v>
      </c>
      <c r="O45">
        <v>1366</v>
      </c>
      <c r="P45">
        <v>5305</v>
      </c>
      <c r="Q45">
        <v>2932</v>
      </c>
      <c r="R45">
        <v>1623</v>
      </c>
      <c r="S45">
        <v>2420</v>
      </c>
      <c r="T45">
        <v>735</v>
      </c>
      <c r="U45">
        <f t="shared" si="16"/>
        <v>9416</v>
      </c>
      <c r="V45">
        <f t="shared" si="16"/>
        <v>1592.1000000000001</v>
      </c>
      <c r="W45">
        <f t="shared" si="16"/>
        <v>629.29999999999995</v>
      </c>
      <c r="X45">
        <f t="shared" si="16"/>
        <v>630</v>
      </c>
      <c r="Y45">
        <f t="shared" si="16"/>
        <v>422.09999999999997</v>
      </c>
      <c r="Z45">
        <f t="shared" si="16"/>
        <v>447.1</v>
      </c>
      <c r="AA45" s="3">
        <f t="shared" si="9"/>
        <v>0.32838216178382162</v>
      </c>
      <c r="AB45">
        <f t="shared" si="10"/>
        <v>9416</v>
      </c>
      <c r="AC45">
        <f t="shared" si="11"/>
        <v>1547.875</v>
      </c>
      <c r="AD45">
        <f t="shared" si="12"/>
        <v>561.875</v>
      </c>
      <c r="AE45">
        <f t="shared" si="13"/>
        <v>472.5</v>
      </c>
      <c r="AF45">
        <f t="shared" si="14"/>
        <v>175.875</v>
      </c>
      <c r="AG45">
        <f t="shared" si="15"/>
        <v>0.30432269273072693</v>
      </c>
    </row>
    <row r="46" spans="1:33" x14ac:dyDescent="0.35">
      <c r="A46" t="s">
        <v>79</v>
      </c>
      <c r="B46" t="s">
        <v>80</v>
      </c>
      <c r="C46">
        <f>VLOOKUP(CONCATENATE("2001",'2001_60'!A46),aktivnepesseg!$C$2:$D$2226,2,FALSE)</f>
        <v>38712</v>
      </c>
      <c r="D46">
        <f t="shared" si="7"/>
        <v>28821</v>
      </c>
      <c r="E46">
        <f t="shared" si="8"/>
        <v>9891</v>
      </c>
      <c r="F46">
        <v>1715</v>
      </c>
      <c r="G46">
        <v>851</v>
      </c>
      <c r="H46">
        <v>1325</v>
      </c>
      <c r="I46">
        <v>1415</v>
      </c>
      <c r="J46">
        <v>4534</v>
      </c>
      <c r="K46">
        <v>2123</v>
      </c>
      <c r="L46">
        <v>1539</v>
      </c>
      <c r="M46">
        <v>1432</v>
      </c>
      <c r="N46">
        <v>1338</v>
      </c>
      <c r="O46">
        <v>1347</v>
      </c>
      <c r="P46">
        <v>4799</v>
      </c>
      <c r="Q46">
        <v>2595</v>
      </c>
      <c r="R46">
        <v>1349</v>
      </c>
      <c r="S46">
        <v>1924</v>
      </c>
      <c r="T46">
        <v>535</v>
      </c>
      <c r="U46">
        <f t="shared" si="16"/>
        <v>9891</v>
      </c>
      <c r="V46">
        <f t="shared" si="16"/>
        <v>1543.5</v>
      </c>
      <c r="W46">
        <f t="shared" si="16"/>
        <v>595.69999999999993</v>
      </c>
      <c r="X46">
        <f t="shared" si="16"/>
        <v>662.5</v>
      </c>
      <c r="Y46">
        <f t="shared" si="16"/>
        <v>424.5</v>
      </c>
      <c r="Z46">
        <f t="shared" si="16"/>
        <v>453.40000000000003</v>
      </c>
      <c r="AA46" s="3">
        <f t="shared" si="9"/>
        <v>0.35055280016532342</v>
      </c>
      <c r="AB46">
        <f t="shared" si="10"/>
        <v>9891</v>
      </c>
      <c r="AC46">
        <f t="shared" si="11"/>
        <v>1500.625</v>
      </c>
      <c r="AD46">
        <f t="shared" si="12"/>
        <v>531.875</v>
      </c>
      <c r="AE46">
        <f t="shared" si="13"/>
        <v>496.875</v>
      </c>
      <c r="AF46">
        <f t="shared" si="14"/>
        <v>176.875</v>
      </c>
      <c r="AG46">
        <f t="shared" si="15"/>
        <v>0.3254094337673073</v>
      </c>
    </row>
    <row r="47" spans="1:33" x14ac:dyDescent="0.35">
      <c r="A47" t="s">
        <v>81</v>
      </c>
      <c r="B47" t="s">
        <v>82</v>
      </c>
      <c r="C47">
        <f>VLOOKUP(CONCATENATE("2001",'2001_60'!A47),aktivnepesseg!$C$2:$D$2226,2,FALSE)</f>
        <v>50530</v>
      </c>
      <c r="D47">
        <f t="shared" si="7"/>
        <v>37671</v>
      </c>
      <c r="E47">
        <f t="shared" si="8"/>
        <v>12859</v>
      </c>
      <c r="F47">
        <v>2290</v>
      </c>
      <c r="G47">
        <v>1148</v>
      </c>
      <c r="H47">
        <v>1719</v>
      </c>
      <c r="I47">
        <v>1842</v>
      </c>
      <c r="J47">
        <v>5796</v>
      </c>
      <c r="K47">
        <v>2562</v>
      </c>
      <c r="L47">
        <v>1881</v>
      </c>
      <c r="M47">
        <v>1992</v>
      </c>
      <c r="N47">
        <v>1854</v>
      </c>
      <c r="O47">
        <v>1740</v>
      </c>
      <c r="P47">
        <v>6421</v>
      </c>
      <c r="Q47">
        <v>3574</v>
      </c>
      <c r="R47">
        <v>1857</v>
      </c>
      <c r="S47">
        <v>2378</v>
      </c>
      <c r="T47">
        <v>617</v>
      </c>
      <c r="U47">
        <f t="shared" si="16"/>
        <v>12859</v>
      </c>
      <c r="V47">
        <f t="shared" si="16"/>
        <v>2061</v>
      </c>
      <c r="W47">
        <f t="shared" si="16"/>
        <v>803.59999999999991</v>
      </c>
      <c r="X47">
        <f t="shared" si="16"/>
        <v>859.5</v>
      </c>
      <c r="Y47">
        <f t="shared" si="16"/>
        <v>552.6</v>
      </c>
      <c r="Z47">
        <f t="shared" si="16"/>
        <v>579.6</v>
      </c>
      <c r="AA47" s="3">
        <f t="shared" si="9"/>
        <v>0.35058974866415982</v>
      </c>
      <c r="AB47">
        <f t="shared" si="10"/>
        <v>12859</v>
      </c>
      <c r="AC47">
        <f t="shared" si="11"/>
        <v>2003.75</v>
      </c>
      <c r="AD47">
        <f t="shared" si="12"/>
        <v>717.5</v>
      </c>
      <c r="AE47">
        <f t="shared" si="13"/>
        <v>644.625</v>
      </c>
      <c r="AF47">
        <f t="shared" si="14"/>
        <v>230.25</v>
      </c>
      <c r="AG47">
        <f t="shared" si="15"/>
        <v>0.32565060360182069</v>
      </c>
    </row>
    <row r="48" spans="1:33" x14ac:dyDescent="0.35">
      <c r="A48" t="s">
        <v>83</v>
      </c>
      <c r="B48" t="s">
        <v>84</v>
      </c>
      <c r="C48">
        <f>VLOOKUP(CONCATENATE("2001",'2001_60'!A48),aktivnepesseg!$C$2:$D$2226,2,FALSE)</f>
        <v>31677</v>
      </c>
      <c r="D48">
        <f t="shared" si="7"/>
        <v>24526</v>
      </c>
      <c r="E48">
        <f t="shared" si="8"/>
        <v>7151</v>
      </c>
      <c r="F48">
        <v>1526</v>
      </c>
      <c r="G48">
        <v>653</v>
      </c>
      <c r="H48">
        <v>1042</v>
      </c>
      <c r="I48">
        <v>1122</v>
      </c>
      <c r="J48">
        <v>3929</v>
      </c>
      <c r="K48">
        <v>1648</v>
      </c>
      <c r="L48">
        <v>1175</v>
      </c>
      <c r="M48">
        <v>1212</v>
      </c>
      <c r="N48">
        <v>1067</v>
      </c>
      <c r="O48">
        <v>1070</v>
      </c>
      <c r="P48">
        <v>3798</v>
      </c>
      <c r="Q48">
        <v>2207</v>
      </c>
      <c r="R48">
        <v>1189</v>
      </c>
      <c r="S48">
        <v>1994</v>
      </c>
      <c r="T48">
        <v>894</v>
      </c>
      <c r="U48">
        <f t="shared" si="16"/>
        <v>7151</v>
      </c>
      <c r="V48">
        <f t="shared" si="16"/>
        <v>1373.4</v>
      </c>
      <c r="W48">
        <f t="shared" si="16"/>
        <v>457.09999999999997</v>
      </c>
      <c r="X48">
        <f t="shared" si="16"/>
        <v>521</v>
      </c>
      <c r="Y48">
        <f t="shared" si="16"/>
        <v>336.59999999999997</v>
      </c>
      <c r="Z48">
        <f t="shared" si="16"/>
        <v>392.90000000000003</v>
      </c>
      <c r="AA48" s="3">
        <f t="shared" si="9"/>
        <v>0.32301038608454086</v>
      </c>
      <c r="AB48">
        <f t="shared" si="10"/>
        <v>7151</v>
      </c>
      <c r="AC48">
        <f t="shared" si="11"/>
        <v>1335.25</v>
      </c>
      <c r="AD48">
        <f t="shared" si="12"/>
        <v>408.125</v>
      </c>
      <c r="AE48">
        <f t="shared" si="13"/>
        <v>390.75</v>
      </c>
      <c r="AF48">
        <f t="shared" si="14"/>
        <v>140.25</v>
      </c>
      <c r="AG48">
        <f t="shared" si="15"/>
        <v>0.29754632698803546</v>
      </c>
    </row>
    <row r="49" spans="1:33" x14ac:dyDescent="0.35">
      <c r="A49" t="s">
        <v>85</v>
      </c>
      <c r="B49" t="s">
        <v>86</v>
      </c>
      <c r="C49">
        <f>VLOOKUP(CONCATENATE("2001",'2001_60'!A49),aktivnepesseg!$C$2:$D$2226,2,FALSE)</f>
        <v>11988</v>
      </c>
      <c r="D49">
        <f t="shared" si="7"/>
        <v>9460</v>
      </c>
      <c r="E49">
        <f t="shared" si="8"/>
        <v>2528</v>
      </c>
      <c r="F49">
        <v>624</v>
      </c>
      <c r="G49">
        <v>300</v>
      </c>
      <c r="H49">
        <v>408</v>
      </c>
      <c r="I49">
        <v>481</v>
      </c>
      <c r="J49">
        <v>1564</v>
      </c>
      <c r="K49">
        <v>675</v>
      </c>
      <c r="L49">
        <v>486</v>
      </c>
      <c r="M49">
        <v>425</v>
      </c>
      <c r="N49">
        <v>427</v>
      </c>
      <c r="O49">
        <v>405</v>
      </c>
      <c r="P49">
        <v>1527</v>
      </c>
      <c r="Q49">
        <v>823</v>
      </c>
      <c r="R49">
        <v>442</v>
      </c>
      <c r="S49">
        <v>691</v>
      </c>
      <c r="T49">
        <v>182</v>
      </c>
      <c r="U49">
        <f t="shared" si="16"/>
        <v>2528</v>
      </c>
      <c r="V49">
        <f t="shared" si="16"/>
        <v>561.6</v>
      </c>
      <c r="W49">
        <f t="shared" si="16"/>
        <v>210</v>
      </c>
      <c r="X49">
        <f t="shared" si="16"/>
        <v>204</v>
      </c>
      <c r="Y49">
        <f t="shared" si="16"/>
        <v>144.29999999999998</v>
      </c>
      <c r="Z49">
        <f t="shared" si="16"/>
        <v>156.4</v>
      </c>
      <c r="AA49" s="3">
        <f t="shared" si="9"/>
        <v>0.31734234234234238</v>
      </c>
      <c r="AB49">
        <f t="shared" si="10"/>
        <v>2528</v>
      </c>
      <c r="AC49">
        <f t="shared" si="11"/>
        <v>546</v>
      </c>
      <c r="AD49">
        <f t="shared" si="12"/>
        <v>187.5</v>
      </c>
      <c r="AE49">
        <f t="shared" si="13"/>
        <v>153</v>
      </c>
      <c r="AF49">
        <f t="shared" si="14"/>
        <v>60.125</v>
      </c>
      <c r="AG49">
        <f t="shared" si="15"/>
        <v>0.28984192525859193</v>
      </c>
    </row>
    <row r="50" spans="1:33" x14ac:dyDescent="0.35">
      <c r="A50" t="s">
        <v>87</v>
      </c>
      <c r="B50" t="s">
        <v>88</v>
      </c>
      <c r="C50">
        <f>VLOOKUP(CONCATENATE("2001",'2001_60'!A50),aktivnepesseg!$C$2:$D$2226,2,FALSE)</f>
        <v>51561</v>
      </c>
      <c r="D50">
        <f t="shared" si="7"/>
        <v>34403</v>
      </c>
      <c r="E50">
        <f t="shared" si="8"/>
        <v>17158</v>
      </c>
      <c r="F50">
        <v>2372</v>
      </c>
      <c r="G50">
        <v>1141</v>
      </c>
      <c r="H50">
        <v>2136</v>
      </c>
      <c r="I50">
        <v>2140</v>
      </c>
      <c r="J50">
        <v>5907</v>
      </c>
      <c r="K50">
        <v>3241</v>
      </c>
      <c r="L50">
        <v>2467</v>
      </c>
      <c r="M50">
        <v>2241</v>
      </c>
      <c r="N50">
        <v>1894</v>
      </c>
      <c r="O50">
        <v>1635</v>
      </c>
      <c r="P50">
        <v>5177</v>
      </c>
      <c r="Q50">
        <v>2083</v>
      </c>
      <c r="R50">
        <v>844</v>
      </c>
      <c r="S50">
        <v>970</v>
      </c>
      <c r="T50">
        <v>155</v>
      </c>
      <c r="U50">
        <f t="shared" si="16"/>
        <v>17158</v>
      </c>
      <c r="V50">
        <f t="shared" si="16"/>
        <v>2134.8000000000002</v>
      </c>
      <c r="W50">
        <f t="shared" si="16"/>
        <v>798.69999999999993</v>
      </c>
      <c r="X50">
        <f t="shared" si="16"/>
        <v>1068</v>
      </c>
      <c r="Y50">
        <f t="shared" si="16"/>
        <v>642</v>
      </c>
      <c r="Z50">
        <f t="shared" si="16"/>
        <v>590.70000000000005</v>
      </c>
      <c r="AA50" s="3">
        <f t="shared" si="9"/>
        <v>0.43428560345997946</v>
      </c>
      <c r="AB50">
        <f t="shared" si="10"/>
        <v>17158</v>
      </c>
      <c r="AC50">
        <f t="shared" si="11"/>
        <v>2075.5</v>
      </c>
      <c r="AD50">
        <f t="shared" si="12"/>
        <v>713.125</v>
      </c>
      <c r="AE50">
        <f t="shared" si="13"/>
        <v>801</v>
      </c>
      <c r="AF50">
        <f t="shared" si="14"/>
        <v>267.5</v>
      </c>
      <c r="AG50">
        <f t="shared" si="15"/>
        <v>0.40757791741820371</v>
      </c>
    </row>
    <row r="51" spans="1:33" x14ac:dyDescent="0.35">
      <c r="A51" t="s">
        <v>89</v>
      </c>
      <c r="B51" t="s">
        <v>90</v>
      </c>
      <c r="C51">
        <f>VLOOKUP(CONCATENATE("2001",'2001_60'!A51),aktivnepesseg!$C$2:$D$2226,2,FALSE)</f>
        <v>15080</v>
      </c>
      <c r="D51">
        <f t="shared" si="7"/>
        <v>13196</v>
      </c>
      <c r="E51">
        <f t="shared" si="8"/>
        <v>1884</v>
      </c>
      <c r="F51">
        <v>844</v>
      </c>
      <c r="G51">
        <v>262</v>
      </c>
      <c r="H51">
        <v>534</v>
      </c>
      <c r="I51">
        <v>681</v>
      </c>
      <c r="J51">
        <v>1464</v>
      </c>
      <c r="K51">
        <v>1224</v>
      </c>
      <c r="L51">
        <v>1059</v>
      </c>
      <c r="M51">
        <v>1326</v>
      </c>
      <c r="N51">
        <v>1256</v>
      </c>
      <c r="O51">
        <v>1043</v>
      </c>
      <c r="P51">
        <v>2330</v>
      </c>
      <c r="Q51">
        <v>747</v>
      </c>
      <c r="R51">
        <v>205</v>
      </c>
      <c r="S51">
        <v>190</v>
      </c>
      <c r="T51">
        <v>31</v>
      </c>
      <c r="U51">
        <f t="shared" si="16"/>
        <v>1884</v>
      </c>
      <c r="V51">
        <f t="shared" si="16"/>
        <v>759.6</v>
      </c>
      <c r="W51">
        <f t="shared" si="16"/>
        <v>183.39999999999998</v>
      </c>
      <c r="X51">
        <f t="shared" si="16"/>
        <v>267</v>
      </c>
      <c r="Y51">
        <f t="shared" si="16"/>
        <v>204.29999999999998</v>
      </c>
      <c r="Z51">
        <f t="shared" si="16"/>
        <v>146.4</v>
      </c>
      <c r="AA51" s="3">
        <f t="shared" si="9"/>
        <v>0.22842838196286475</v>
      </c>
      <c r="AB51">
        <f t="shared" si="10"/>
        <v>1884</v>
      </c>
      <c r="AC51">
        <f t="shared" si="11"/>
        <v>738.5</v>
      </c>
      <c r="AD51">
        <f t="shared" si="12"/>
        <v>163.75</v>
      </c>
      <c r="AE51">
        <f t="shared" si="13"/>
        <v>200.25</v>
      </c>
      <c r="AF51">
        <f t="shared" si="14"/>
        <v>85.125</v>
      </c>
      <c r="AG51">
        <f t="shared" si="15"/>
        <v>0.20368866047745357</v>
      </c>
    </row>
    <row r="52" spans="1:33" x14ac:dyDescent="0.35">
      <c r="A52" t="s">
        <v>91</v>
      </c>
      <c r="B52" t="s">
        <v>92</v>
      </c>
      <c r="C52">
        <f>VLOOKUP(CONCATENATE("2001",'2001_60'!A52),aktivnepesseg!$C$2:$D$2226,2,FALSE)</f>
        <v>8678</v>
      </c>
      <c r="D52">
        <f t="shared" si="7"/>
        <v>5181</v>
      </c>
      <c r="E52">
        <f t="shared" si="8"/>
        <v>3497</v>
      </c>
      <c r="F52">
        <v>421</v>
      </c>
      <c r="G52">
        <v>289</v>
      </c>
      <c r="H52">
        <v>474</v>
      </c>
      <c r="I52">
        <v>582</v>
      </c>
      <c r="J52">
        <v>840</v>
      </c>
      <c r="K52">
        <v>599</v>
      </c>
      <c r="L52">
        <v>428</v>
      </c>
      <c r="M52">
        <v>293</v>
      </c>
      <c r="N52">
        <v>247</v>
      </c>
      <c r="O52">
        <v>178</v>
      </c>
      <c r="P52">
        <v>565</v>
      </c>
      <c r="Q52">
        <v>184</v>
      </c>
      <c r="R52">
        <v>43</v>
      </c>
      <c r="S52">
        <v>38</v>
      </c>
      <c r="T52">
        <v>0</v>
      </c>
      <c r="U52">
        <f t="shared" si="16"/>
        <v>3497</v>
      </c>
      <c r="V52">
        <f t="shared" si="16"/>
        <v>378.90000000000003</v>
      </c>
      <c r="W52">
        <f t="shared" si="16"/>
        <v>202.29999999999998</v>
      </c>
      <c r="X52">
        <f t="shared" si="16"/>
        <v>237</v>
      </c>
      <c r="Y52">
        <f t="shared" si="16"/>
        <v>174.6</v>
      </c>
      <c r="Z52">
        <f t="shared" si="16"/>
        <v>84</v>
      </c>
      <c r="AA52" s="3">
        <f t="shared" si="9"/>
        <v>0.52705692555888461</v>
      </c>
      <c r="AB52">
        <f t="shared" si="10"/>
        <v>3497</v>
      </c>
      <c r="AC52">
        <f t="shared" si="11"/>
        <v>368.375</v>
      </c>
      <c r="AD52">
        <f t="shared" si="12"/>
        <v>180.625</v>
      </c>
      <c r="AE52">
        <f t="shared" si="13"/>
        <v>177.75</v>
      </c>
      <c r="AF52">
        <f t="shared" si="14"/>
        <v>72.75</v>
      </c>
      <c r="AG52">
        <f t="shared" si="15"/>
        <v>0.49510255819313204</v>
      </c>
    </row>
    <row r="53" spans="1:33" x14ac:dyDescent="0.35">
      <c r="A53" t="s">
        <v>93</v>
      </c>
      <c r="B53" t="s">
        <v>94</v>
      </c>
      <c r="C53">
        <f>VLOOKUP(CONCATENATE("2001",'2001_60'!A53),aktivnepesseg!$C$2:$D$2226,2,FALSE)</f>
        <v>7837</v>
      </c>
      <c r="D53">
        <f t="shared" si="7"/>
        <v>4861</v>
      </c>
      <c r="E53">
        <f t="shared" si="8"/>
        <v>2976</v>
      </c>
      <c r="F53">
        <v>398</v>
      </c>
      <c r="G53">
        <v>280</v>
      </c>
      <c r="H53">
        <v>454</v>
      </c>
      <c r="I53">
        <v>571</v>
      </c>
      <c r="J53">
        <v>838</v>
      </c>
      <c r="K53">
        <v>461</v>
      </c>
      <c r="L53">
        <v>348</v>
      </c>
      <c r="M53">
        <v>280</v>
      </c>
      <c r="N53">
        <v>234</v>
      </c>
      <c r="O53">
        <v>187</v>
      </c>
      <c r="P53">
        <v>520</v>
      </c>
      <c r="Q53">
        <v>176</v>
      </c>
      <c r="R53">
        <v>51</v>
      </c>
      <c r="S53">
        <v>63</v>
      </c>
      <c r="T53">
        <v>0</v>
      </c>
      <c r="U53">
        <f t="shared" si="16"/>
        <v>2976</v>
      </c>
      <c r="V53">
        <f t="shared" si="16"/>
        <v>358.2</v>
      </c>
      <c r="W53">
        <f t="shared" si="16"/>
        <v>196</v>
      </c>
      <c r="X53">
        <f t="shared" si="16"/>
        <v>227</v>
      </c>
      <c r="Y53">
        <f t="shared" si="16"/>
        <v>171.29999999999998</v>
      </c>
      <c r="Z53">
        <f t="shared" si="16"/>
        <v>83.800000000000011</v>
      </c>
      <c r="AA53" s="3">
        <f t="shared" si="9"/>
        <v>0.51196886563736121</v>
      </c>
      <c r="AB53">
        <f t="shared" si="10"/>
        <v>2976</v>
      </c>
      <c r="AC53">
        <f t="shared" si="11"/>
        <v>348.25</v>
      </c>
      <c r="AD53">
        <f t="shared" si="12"/>
        <v>175</v>
      </c>
      <c r="AE53">
        <f t="shared" si="13"/>
        <v>170.25</v>
      </c>
      <c r="AF53">
        <f t="shared" si="14"/>
        <v>71.375</v>
      </c>
      <c r="AG53">
        <f t="shared" si="15"/>
        <v>0.47733507719790735</v>
      </c>
    </row>
    <row r="54" spans="1:33" x14ac:dyDescent="0.35">
      <c r="A54" t="s">
        <v>95</v>
      </c>
      <c r="B54" t="s">
        <v>96</v>
      </c>
      <c r="C54">
        <f>VLOOKUP(CONCATENATE("2001",'2001_60'!A54),aktivnepesseg!$C$2:$D$2226,2,FALSE)</f>
        <v>13578</v>
      </c>
      <c r="D54">
        <f t="shared" si="7"/>
        <v>10287</v>
      </c>
      <c r="E54">
        <f t="shared" si="8"/>
        <v>3291</v>
      </c>
      <c r="F54">
        <v>1178</v>
      </c>
      <c r="G54">
        <v>429</v>
      </c>
      <c r="H54">
        <v>722</v>
      </c>
      <c r="I54">
        <v>822</v>
      </c>
      <c r="J54">
        <v>1576</v>
      </c>
      <c r="K54">
        <v>1143</v>
      </c>
      <c r="L54">
        <v>818</v>
      </c>
      <c r="M54">
        <v>633</v>
      </c>
      <c r="N54">
        <v>547</v>
      </c>
      <c r="O54">
        <v>495</v>
      </c>
      <c r="P54">
        <v>1119</v>
      </c>
      <c r="Q54">
        <v>429</v>
      </c>
      <c r="R54">
        <v>156</v>
      </c>
      <c r="S54">
        <v>193</v>
      </c>
      <c r="T54">
        <v>27</v>
      </c>
      <c r="U54">
        <f t="shared" si="16"/>
        <v>3291</v>
      </c>
      <c r="V54">
        <f t="shared" si="16"/>
        <v>1060.2</v>
      </c>
      <c r="W54">
        <f t="shared" si="16"/>
        <v>300.29999999999995</v>
      </c>
      <c r="X54">
        <f t="shared" si="16"/>
        <v>361</v>
      </c>
      <c r="Y54">
        <f t="shared" si="16"/>
        <v>246.6</v>
      </c>
      <c r="Z54">
        <f t="shared" si="16"/>
        <v>157.60000000000002</v>
      </c>
      <c r="AA54" s="3">
        <f t="shared" si="9"/>
        <v>0.39893209603770813</v>
      </c>
      <c r="AB54">
        <f t="shared" si="10"/>
        <v>3291</v>
      </c>
      <c r="AC54">
        <f t="shared" si="11"/>
        <v>1030.75</v>
      </c>
      <c r="AD54">
        <f t="shared" si="12"/>
        <v>268.125</v>
      </c>
      <c r="AE54">
        <f t="shared" si="13"/>
        <v>270.75</v>
      </c>
      <c r="AF54">
        <f t="shared" si="14"/>
        <v>102.75</v>
      </c>
      <c r="AG54">
        <f t="shared" si="15"/>
        <v>0.3655453675062601</v>
      </c>
    </row>
    <row r="55" spans="1:33" x14ac:dyDescent="0.35">
      <c r="A55" t="s">
        <v>97</v>
      </c>
      <c r="B55" t="s">
        <v>98</v>
      </c>
      <c r="C55">
        <f>VLOOKUP(CONCATENATE("2001",'2001_60'!A55),aktivnepesseg!$C$2:$D$2226,2,FALSE)</f>
        <v>19306</v>
      </c>
      <c r="D55">
        <f t="shared" si="7"/>
        <v>16670</v>
      </c>
      <c r="E55">
        <f t="shared" si="8"/>
        <v>2636</v>
      </c>
      <c r="F55">
        <v>1543</v>
      </c>
      <c r="G55">
        <v>472</v>
      </c>
      <c r="H55">
        <v>912</v>
      </c>
      <c r="I55">
        <v>1052</v>
      </c>
      <c r="J55">
        <v>2586</v>
      </c>
      <c r="K55">
        <v>1497</v>
      </c>
      <c r="L55">
        <v>1084</v>
      </c>
      <c r="M55">
        <v>1022</v>
      </c>
      <c r="N55">
        <v>1084</v>
      </c>
      <c r="O55">
        <v>958</v>
      </c>
      <c r="P55">
        <v>2722</v>
      </c>
      <c r="Q55">
        <v>885</v>
      </c>
      <c r="R55">
        <v>412</v>
      </c>
      <c r="S55">
        <v>411</v>
      </c>
      <c r="T55">
        <v>30</v>
      </c>
      <c r="U55">
        <f t="shared" si="16"/>
        <v>2636</v>
      </c>
      <c r="V55">
        <f t="shared" si="16"/>
        <v>1388.7</v>
      </c>
      <c r="W55">
        <f t="shared" si="16"/>
        <v>330.4</v>
      </c>
      <c r="X55">
        <f t="shared" si="16"/>
        <v>456</v>
      </c>
      <c r="Y55">
        <f t="shared" si="16"/>
        <v>315.59999999999997</v>
      </c>
      <c r="Z55">
        <f t="shared" si="16"/>
        <v>258.60000000000002</v>
      </c>
      <c r="AA55" s="3">
        <f t="shared" si="9"/>
        <v>0.27894436962602298</v>
      </c>
      <c r="AB55">
        <f t="shared" si="10"/>
        <v>2636</v>
      </c>
      <c r="AC55">
        <f t="shared" si="11"/>
        <v>1350.125</v>
      </c>
      <c r="AD55">
        <f t="shared" si="12"/>
        <v>295</v>
      </c>
      <c r="AE55">
        <f t="shared" si="13"/>
        <v>342</v>
      </c>
      <c r="AF55">
        <f t="shared" si="14"/>
        <v>131.5</v>
      </c>
      <c r="AG55">
        <f t="shared" si="15"/>
        <v>0.24627706412514244</v>
      </c>
    </row>
    <row r="56" spans="1:33" x14ac:dyDescent="0.35">
      <c r="A56" t="s">
        <v>99</v>
      </c>
      <c r="B56" t="s">
        <v>100</v>
      </c>
      <c r="C56">
        <f>VLOOKUP(CONCATENATE("2001",'2001_60'!A56),aktivnepesseg!$C$2:$D$2226,2,FALSE)</f>
        <v>10360</v>
      </c>
      <c r="D56">
        <f t="shared" si="7"/>
        <v>6811</v>
      </c>
      <c r="E56">
        <f t="shared" si="8"/>
        <v>3549</v>
      </c>
      <c r="F56">
        <v>518</v>
      </c>
      <c r="G56">
        <v>254</v>
      </c>
      <c r="H56">
        <v>429</v>
      </c>
      <c r="I56">
        <v>509</v>
      </c>
      <c r="J56">
        <v>1049</v>
      </c>
      <c r="K56">
        <v>853</v>
      </c>
      <c r="L56">
        <v>659</v>
      </c>
      <c r="M56">
        <v>550</v>
      </c>
      <c r="N56">
        <v>368</v>
      </c>
      <c r="O56">
        <v>288</v>
      </c>
      <c r="P56">
        <v>837</v>
      </c>
      <c r="Q56">
        <v>326</v>
      </c>
      <c r="R56">
        <v>72</v>
      </c>
      <c r="S56">
        <v>93</v>
      </c>
      <c r="T56">
        <v>6</v>
      </c>
      <c r="U56">
        <f t="shared" si="16"/>
        <v>3549</v>
      </c>
      <c r="V56">
        <f t="shared" si="16"/>
        <v>466.2</v>
      </c>
      <c r="W56">
        <f t="shared" si="16"/>
        <v>177.79999999999998</v>
      </c>
      <c r="X56">
        <f t="shared" si="16"/>
        <v>214.5</v>
      </c>
      <c r="Y56">
        <f t="shared" si="16"/>
        <v>152.69999999999999</v>
      </c>
      <c r="Z56">
        <f t="shared" si="16"/>
        <v>104.9</v>
      </c>
      <c r="AA56" s="3">
        <f t="shared" si="9"/>
        <v>0.45029922779922776</v>
      </c>
      <c r="AB56">
        <f t="shared" si="10"/>
        <v>3549</v>
      </c>
      <c r="AC56">
        <f t="shared" si="11"/>
        <v>453.25</v>
      </c>
      <c r="AD56">
        <f t="shared" si="12"/>
        <v>158.75</v>
      </c>
      <c r="AE56">
        <f t="shared" si="13"/>
        <v>160.875</v>
      </c>
      <c r="AF56">
        <f t="shared" si="14"/>
        <v>63.625</v>
      </c>
      <c r="AG56">
        <f t="shared" si="15"/>
        <v>0.42331081081081079</v>
      </c>
    </row>
    <row r="57" spans="1:33" x14ac:dyDescent="0.35">
      <c r="A57" t="s">
        <v>101</v>
      </c>
      <c r="B57" t="s">
        <v>102</v>
      </c>
      <c r="C57">
        <f>VLOOKUP(CONCATENATE("2001",'2001_60'!A57),aktivnepesseg!$C$2:$D$2226,2,FALSE)</f>
        <v>27390</v>
      </c>
      <c r="D57">
        <f t="shared" si="7"/>
        <v>18097</v>
      </c>
      <c r="E57">
        <f t="shared" si="8"/>
        <v>9293</v>
      </c>
      <c r="F57">
        <v>1365</v>
      </c>
      <c r="G57">
        <v>555</v>
      </c>
      <c r="H57">
        <v>999</v>
      </c>
      <c r="I57">
        <v>1112</v>
      </c>
      <c r="J57">
        <v>3576</v>
      </c>
      <c r="K57">
        <v>1700</v>
      </c>
      <c r="L57">
        <v>1124</v>
      </c>
      <c r="M57">
        <v>1026</v>
      </c>
      <c r="N57">
        <v>885</v>
      </c>
      <c r="O57">
        <v>951</v>
      </c>
      <c r="P57">
        <v>2741</v>
      </c>
      <c r="Q57">
        <v>1055</v>
      </c>
      <c r="R57">
        <v>430</v>
      </c>
      <c r="S57">
        <v>487</v>
      </c>
      <c r="T57">
        <v>91</v>
      </c>
      <c r="U57">
        <f t="shared" si="16"/>
        <v>9293</v>
      </c>
      <c r="V57">
        <f t="shared" si="16"/>
        <v>1228.5</v>
      </c>
      <c r="W57">
        <f t="shared" si="16"/>
        <v>388.5</v>
      </c>
      <c r="X57">
        <f t="shared" si="16"/>
        <v>499.5</v>
      </c>
      <c r="Y57">
        <f t="shared" si="16"/>
        <v>333.59999999999997</v>
      </c>
      <c r="Z57">
        <f t="shared" si="16"/>
        <v>357.6</v>
      </c>
      <c r="AA57" s="3">
        <f t="shared" si="9"/>
        <v>0.4417926250456371</v>
      </c>
      <c r="AB57">
        <f t="shared" si="10"/>
        <v>9293</v>
      </c>
      <c r="AC57">
        <f t="shared" si="11"/>
        <v>1194.375</v>
      </c>
      <c r="AD57">
        <f t="shared" si="12"/>
        <v>346.875</v>
      </c>
      <c r="AE57">
        <f t="shared" si="13"/>
        <v>374.625</v>
      </c>
      <c r="AF57">
        <f t="shared" si="14"/>
        <v>139</v>
      </c>
      <c r="AG57">
        <f t="shared" si="15"/>
        <v>0.41430722891566263</v>
      </c>
    </row>
    <row r="58" spans="1:33" x14ac:dyDescent="0.35">
      <c r="A58" t="s">
        <v>103</v>
      </c>
      <c r="B58" t="s">
        <v>104</v>
      </c>
      <c r="C58">
        <f>VLOOKUP(CONCATENATE("2001",'2001_60'!A58),aktivnepesseg!$C$2:$D$2226,2,FALSE)</f>
        <v>134352</v>
      </c>
      <c r="D58">
        <f t="shared" si="7"/>
        <v>94607</v>
      </c>
      <c r="E58">
        <f t="shared" si="8"/>
        <v>39745</v>
      </c>
      <c r="F58">
        <v>6151</v>
      </c>
      <c r="G58">
        <v>3090</v>
      </c>
      <c r="H58">
        <v>4927</v>
      </c>
      <c r="I58">
        <v>5267</v>
      </c>
      <c r="J58">
        <v>14515</v>
      </c>
      <c r="K58">
        <v>8349</v>
      </c>
      <c r="L58">
        <v>5987</v>
      </c>
      <c r="M58">
        <v>5613</v>
      </c>
      <c r="N58">
        <v>5076</v>
      </c>
      <c r="O58">
        <v>4611</v>
      </c>
      <c r="P58">
        <v>15033</v>
      </c>
      <c r="Q58">
        <v>6594</v>
      </c>
      <c r="R58">
        <v>3304</v>
      </c>
      <c r="S58">
        <v>4901</v>
      </c>
      <c r="T58">
        <v>1189</v>
      </c>
      <c r="U58">
        <f t="shared" si="16"/>
        <v>39745</v>
      </c>
      <c r="V58">
        <f t="shared" si="16"/>
        <v>5535.9000000000005</v>
      </c>
      <c r="W58">
        <f t="shared" si="16"/>
        <v>2163</v>
      </c>
      <c r="X58">
        <f t="shared" si="16"/>
        <v>2463.5</v>
      </c>
      <c r="Y58">
        <f t="shared" si="16"/>
        <v>1580.1</v>
      </c>
      <c r="Z58">
        <f t="shared" si="16"/>
        <v>1451.5</v>
      </c>
      <c r="AA58" s="3">
        <f t="shared" si="9"/>
        <v>0.3940320947957604</v>
      </c>
      <c r="AB58">
        <f t="shared" si="10"/>
        <v>39745</v>
      </c>
      <c r="AC58">
        <f t="shared" si="11"/>
        <v>5382.125</v>
      </c>
      <c r="AD58">
        <f t="shared" si="12"/>
        <v>1931.25</v>
      </c>
      <c r="AE58">
        <f t="shared" si="13"/>
        <v>1847.625</v>
      </c>
      <c r="AF58">
        <f t="shared" si="14"/>
        <v>658.375</v>
      </c>
      <c r="AG58">
        <f t="shared" si="15"/>
        <v>0.36891430719304513</v>
      </c>
    </row>
    <row r="59" spans="1:33" x14ac:dyDescent="0.35">
      <c r="A59" t="s">
        <v>105</v>
      </c>
      <c r="B59" t="s">
        <v>106</v>
      </c>
      <c r="C59">
        <f>VLOOKUP(CONCATENATE("2001",'2001_60'!A59),aktivnepesseg!$C$2:$D$2226,2,FALSE)</f>
        <v>22465</v>
      </c>
      <c r="D59">
        <f t="shared" si="7"/>
        <v>13932</v>
      </c>
      <c r="E59">
        <f t="shared" si="8"/>
        <v>8533</v>
      </c>
      <c r="F59">
        <v>1650</v>
      </c>
      <c r="G59">
        <v>628</v>
      </c>
      <c r="H59">
        <v>1070</v>
      </c>
      <c r="I59">
        <v>1227</v>
      </c>
      <c r="J59">
        <v>2365</v>
      </c>
      <c r="K59">
        <v>1455</v>
      </c>
      <c r="L59">
        <v>1104</v>
      </c>
      <c r="M59">
        <v>924</v>
      </c>
      <c r="N59">
        <v>721</v>
      </c>
      <c r="O59">
        <v>565</v>
      </c>
      <c r="P59">
        <v>1460</v>
      </c>
      <c r="Q59">
        <v>432</v>
      </c>
      <c r="R59">
        <v>166</v>
      </c>
      <c r="S59">
        <v>155</v>
      </c>
      <c r="T59">
        <v>10</v>
      </c>
      <c r="U59">
        <f t="shared" si="16"/>
        <v>8533</v>
      </c>
      <c r="V59">
        <f t="shared" si="16"/>
        <v>1485</v>
      </c>
      <c r="W59">
        <f t="shared" si="16"/>
        <v>439.59999999999997</v>
      </c>
      <c r="X59">
        <f t="shared" si="16"/>
        <v>535</v>
      </c>
      <c r="Y59">
        <f t="shared" si="16"/>
        <v>368.09999999999997</v>
      </c>
      <c r="Z59">
        <f t="shared" si="16"/>
        <v>236.5</v>
      </c>
      <c r="AA59" s="3">
        <f t="shared" si="9"/>
        <v>0.51623414199866458</v>
      </c>
      <c r="AB59">
        <f t="shared" si="10"/>
        <v>8533</v>
      </c>
      <c r="AC59">
        <f t="shared" si="11"/>
        <v>1443.75</v>
      </c>
      <c r="AD59">
        <f t="shared" si="12"/>
        <v>392.5</v>
      </c>
      <c r="AE59">
        <f t="shared" si="13"/>
        <v>401.25</v>
      </c>
      <c r="AF59">
        <f t="shared" si="14"/>
        <v>153.375</v>
      </c>
      <c r="AG59">
        <f t="shared" si="15"/>
        <v>0.486261963053639</v>
      </c>
    </row>
    <row r="60" spans="1:33" x14ac:dyDescent="0.35">
      <c r="A60" t="s">
        <v>107</v>
      </c>
      <c r="B60" t="s">
        <v>108</v>
      </c>
      <c r="C60">
        <f>VLOOKUP(CONCATENATE("2001",'2001_60'!A60),aktivnepesseg!$C$2:$D$2226,2,FALSE)</f>
        <v>9321</v>
      </c>
      <c r="D60">
        <f t="shared" si="7"/>
        <v>6714</v>
      </c>
      <c r="E60">
        <f t="shared" si="8"/>
        <v>2607</v>
      </c>
      <c r="F60">
        <v>398</v>
      </c>
      <c r="G60">
        <v>188</v>
      </c>
      <c r="H60">
        <v>368</v>
      </c>
      <c r="I60">
        <v>373</v>
      </c>
      <c r="J60">
        <v>914</v>
      </c>
      <c r="K60">
        <v>661</v>
      </c>
      <c r="L60">
        <v>538</v>
      </c>
      <c r="M60">
        <v>586</v>
      </c>
      <c r="N60">
        <v>476</v>
      </c>
      <c r="O60">
        <v>487</v>
      </c>
      <c r="P60">
        <v>1223</v>
      </c>
      <c r="Q60">
        <v>312</v>
      </c>
      <c r="R60">
        <v>87</v>
      </c>
      <c r="S60">
        <v>99</v>
      </c>
      <c r="T60">
        <v>4</v>
      </c>
      <c r="U60">
        <f t="shared" si="16"/>
        <v>2607</v>
      </c>
      <c r="V60">
        <f t="shared" si="16"/>
        <v>358.2</v>
      </c>
      <c r="W60">
        <f t="shared" si="16"/>
        <v>131.6</v>
      </c>
      <c r="X60">
        <f t="shared" si="16"/>
        <v>184</v>
      </c>
      <c r="Y60">
        <f t="shared" si="16"/>
        <v>111.89999999999999</v>
      </c>
      <c r="Z60">
        <f t="shared" si="16"/>
        <v>91.4</v>
      </c>
      <c r="AA60" s="3">
        <f t="shared" si="9"/>
        <v>0.37379036584057501</v>
      </c>
      <c r="AB60">
        <f t="shared" si="10"/>
        <v>2607</v>
      </c>
      <c r="AC60">
        <f t="shared" si="11"/>
        <v>348.25</v>
      </c>
      <c r="AD60">
        <f t="shared" si="12"/>
        <v>117.5</v>
      </c>
      <c r="AE60">
        <f t="shared" si="13"/>
        <v>138</v>
      </c>
      <c r="AF60">
        <f t="shared" si="14"/>
        <v>46.625</v>
      </c>
      <c r="AG60">
        <f t="shared" si="15"/>
        <v>0.34946625898508743</v>
      </c>
    </row>
    <row r="61" spans="1:33" x14ac:dyDescent="0.35">
      <c r="A61" t="s">
        <v>109</v>
      </c>
      <c r="B61" t="s">
        <v>110</v>
      </c>
      <c r="C61">
        <f>VLOOKUP(CONCATENATE("2001",'2001_60'!A61),aktivnepesseg!$C$2:$D$2226,2,FALSE)</f>
        <v>20110</v>
      </c>
      <c r="D61">
        <f t="shared" si="7"/>
        <v>15376</v>
      </c>
      <c r="E61">
        <f t="shared" si="8"/>
        <v>4734</v>
      </c>
      <c r="F61">
        <v>1226</v>
      </c>
      <c r="G61">
        <v>633</v>
      </c>
      <c r="H61">
        <v>924</v>
      </c>
      <c r="I61">
        <v>1021</v>
      </c>
      <c r="J61">
        <v>2500</v>
      </c>
      <c r="K61">
        <v>1509</v>
      </c>
      <c r="L61">
        <v>1144</v>
      </c>
      <c r="M61">
        <v>1055</v>
      </c>
      <c r="N61">
        <v>936</v>
      </c>
      <c r="O61">
        <v>887</v>
      </c>
      <c r="P61">
        <v>2185</v>
      </c>
      <c r="Q61">
        <v>729</v>
      </c>
      <c r="R61">
        <v>306</v>
      </c>
      <c r="S61">
        <v>279</v>
      </c>
      <c r="T61">
        <v>42</v>
      </c>
      <c r="U61">
        <f t="shared" si="16"/>
        <v>4734</v>
      </c>
      <c r="V61">
        <f t="shared" si="16"/>
        <v>1103.4000000000001</v>
      </c>
      <c r="W61">
        <f t="shared" si="16"/>
        <v>443.09999999999997</v>
      </c>
      <c r="X61">
        <f t="shared" si="16"/>
        <v>462</v>
      </c>
      <c r="Y61">
        <f t="shared" si="16"/>
        <v>306.3</v>
      </c>
      <c r="Z61">
        <f t="shared" si="16"/>
        <v>250</v>
      </c>
      <c r="AA61" s="3">
        <f t="shared" si="9"/>
        <v>0.36294380905022378</v>
      </c>
      <c r="AB61">
        <f t="shared" si="10"/>
        <v>4734</v>
      </c>
      <c r="AC61">
        <f t="shared" si="11"/>
        <v>1072.75</v>
      </c>
      <c r="AD61">
        <f t="shared" si="12"/>
        <v>395.625</v>
      </c>
      <c r="AE61">
        <f t="shared" si="13"/>
        <v>346.5</v>
      </c>
      <c r="AF61">
        <f t="shared" si="14"/>
        <v>127.625</v>
      </c>
      <c r="AG61">
        <f t="shared" si="15"/>
        <v>0.33199900546991545</v>
      </c>
    </row>
    <row r="62" spans="1:33" x14ac:dyDescent="0.35">
      <c r="A62" t="s">
        <v>111</v>
      </c>
      <c r="B62" t="s">
        <v>112</v>
      </c>
      <c r="C62">
        <f>VLOOKUP(CONCATENATE("2001",'2001_60'!A62),aktivnepesseg!$C$2:$D$2226,2,FALSE)</f>
        <v>37542</v>
      </c>
      <c r="D62">
        <f t="shared" si="7"/>
        <v>27691</v>
      </c>
      <c r="E62">
        <f t="shared" si="8"/>
        <v>9851</v>
      </c>
      <c r="F62">
        <v>1571</v>
      </c>
      <c r="G62">
        <v>807</v>
      </c>
      <c r="H62">
        <v>1282</v>
      </c>
      <c r="I62">
        <v>1337</v>
      </c>
      <c r="J62">
        <v>4706</v>
      </c>
      <c r="K62">
        <v>1985</v>
      </c>
      <c r="L62">
        <v>1396</v>
      </c>
      <c r="M62">
        <v>1405</v>
      </c>
      <c r="N62">
        <v>1267</v>
      </c>
      <c r="O62">
        <v>1226</v>
      </c>
      <c r="P62">
        <v>4477</v>
      </c>
      <c r="Q62">
        <v>2421</v>
      </c>
      <c r="R62">
        <v>1214</v>
      </c>
      <c r="S62">
        <v>1915</v>
      </c>
      <c r="T62">
        <v>682</v>
      </c>
      <c r="U62">
        <f t="shared" si="16"/>
        <v>9851</v>
      </c>
      <c r="V62">
        <f t="shared" si="16"/>
        <v>1413.9</v>
      </c>
      <c r="W62">
        <f t="shared" si="16"/>
        <v>564.9</v>
      </c>
      <c r="X62">
        <f t="shared" si="16"/>
        <v>641</v>
      </c>
      <c r="Y62">
        <f t="shared" si="16"/>
        <v>401.09999999999997</v>
      </c>
      <c r="Z62">
        <f t="shared" si="16"/>
        <v>470.6</v>
      </c>
      <c r="AA62" s="3">
        <f t="shared" si="9"/>
        <v>0.35540194981620588</v>
      </c>
      <c r="AB62">
        <f t="shared" si="10"/>
        <v>9851</v>
      </c>
      <c r="AC62">
        <f t="shared" si="11"/>
        <v>1374.625</v>
      </c>
      <c r="AD62">
        <f t="shared" si="12"/>
        <v>504.375</v>
      </c>
      <c r="AE62">
        <f t="shared" si="13"/>
        <v>480.75</v>
      </c>
      <c r="AF62">
        <f t="shared" si="14"/>
        <v>167.125</v>
      </c>
      <c r="AG62">
        <f t="shared" si="15"/>
        <v>0.3297073943849555</v>
      </c>
    </row>
    <row r="63" spans="1:33" x14ac:dyDescent="0.35">
      <c r="A63" t="s">
        <v>113</v>
      </c>
      <c r="B63" t="s">
        <v>114</v>
      </c>
      <c r="C63">
        <f>VLOOKUP(CONCATENATE("2001",'2001_60'!A63),aktivnepesseg!$C$2:$D$2226,2,FALSE)</f>
        <v>59697</v>
      </c>
      <c r="D63">
        <f t="shared" si="7"/>
        <v>48173</v>
      </c>
      <c r="E63">
        <f t="shared" si="8"/>
        <v>11524</v>
      </c>
      <c r="F63">
        <v>2709</v>
      </c>
      <c r="G63">
        <v>1314</v>
      </c>
      <c r="H63">
        <v>2020</v>
      </c>
      <c r="I63">
        <v>2282</v>
      </c>
      <c r="J63">
        <v>6321</v>
      </c>
      <c r="K63">
        <v>3941</v>
      </c>
      <c r="L63">
        <v>3145</v>
      </c>
      <c r="M63">
        <v>2932</v>
      </c>
      <c r="N63">
        <v>2600</v>
      </c>
      <c r="O63">
        <v>2145</v>
      </c>
      <c r="P63">
        <v>8508</v>
      </c>
      <c r="Q63">
        <v>4966</v>
      </c>
      <c r="R63">
        <v>2252</v>
      </c>
      <c r="S63">
        <v>2478</v>
      </c>
      <c r="T63">
        <v>560</v>
      </c>
      <c r="U63">
        <f t="shared" si="16"/>
        <v>11524</v>
      </c>
      <c r="V63">
        <f t="shared" si="16"/>
        <v>2438.1</v>
      </c>
      <c r="W63">
        <f t="shared" si="16"/>
        <v>919.8</v>
      </c>
      <c r="X63">
        <f t="shared" si="16"/>
        <v>1010</v>
      </c>
      <c r="Y63">
        <f t="shared" si="16"/>
        <v>684.6</v>
      </c>
      <c r="Z63">
        <f t="shared" si="16"/>
        <v>632.1</v>
      </c>
      <c r="AA63" s="3">
        <f t="shared" si="9"/>
        <v>0.28826574199708527</v>
      </c>
      <c r="AB63">
        <f t="shared" si="10"/>
        <v>11524</v>
      </c>
      <c r="AC63">
        <f t="shared" si="11"/>
        <v>2370.375</v>
      </c>
      <c r="AD63">
        <f t="shared" si="12"/>
        <v>821.25</v>
      </c>
      <c r="AE63">
        <f t="shared" si="13"/>
        <v>757.5</v>
      </c>
      <c r="AF63">
        <f t="shared" si="14"/>
        <v>285.25</v>
      </c>
      <c r="AG63">
        <f t="shared" si="15"/>
        <v>0.26397264519155067</v>
      </c>
    </row>
    <row r="64" spans="1:33" x14ac:dyDescent="0.35">
      <c r="A64" t="s">
        <v>115</v>
      </c>
      <c r="B64" t="s">
        <v>116</v>
      </c>
      <c r="C64">
        <f>VLOOKUP(CONCATENATE("2001",'2001_60'!A64),aktivnepesseg!$C$2:$D$2226,2,FALSE)</f>
        <v>19003</v>
      </c>
      <c r="D64">
        <f t="shared" si="7"/>
        <v>11164</v>
      </c>
      <c r="E64">
        <f t="shared" si="8"/>
        <v>7839</v>
      </c>
      <c r="F64">
        <v>852</v>
      </c>
      <c r="G64">
        <v>599</v>
      </c>
      <c r="H64">
        <v>820</v>
      </c>
      <c r="I64">
        <v>1046</v>
      </c>
      <c r="J64">
        <v>1585</v>
      </c>
      <c r="K64">
        <v>1216</v>
      </c>
      <c r="L64">
        <v>862</v>
      </c>
      <c r="M64">
        <v>751</v>
      </c>
      <c r="N64">
        <v>595</v>
      </c>
      <c r="O64">
        <v>478</v>
      </c>
      <c r="P64">
        <v>1432</v>
      </c>
      <c r="Q64">
        <v>521</v>
      </c>
      <c r="R64">
        <v>204</v>
      </c>
      <c r="S64">
        <v>179</v>
      </c>
      <c r="T64">
        <v>24</v>
      </c>
      <c r="U64">
        <f t="shared" si="16"/>
        <v>7839</v>
      </c>
      <c r="V64">
        <f t="shared" si="16"/>
        <v>766.80000000000007</v>
      </c>
      <c r="W64">
        <f t="shared" si="16"/>
        <v>419.29999999999995</v>
      </c>
      <c r="X64">
        <f t="shared" si="16"/>
        <v>410</v>
      </c>
      <c r="Y64">
        <f t="shared" si="16"/>
        <v>313.8</v>
      </c>
      <c r="Z64">
        <f t="shared" si="16"/>
        <v>158.5</v>
      </c>
      <c r="AA64" s="3">
        <f t="shared" si="9"/>
        <v>0.52135978529705829</v>
      </c>
      <c r="AB64">
        <f t="shared" si="10"/>
        <v>7839</v>
      </c>
      <c r="AC64">
        <f t="shared" si="11"/>
        <v>745.5</v>
      </c>
      <c r="AD64">
        <f t="shared" si="12"/>
        <v>374.375</v>
      </c>
      <c r="AE64">
        <f t="shared" si="13"/>
        <v>307.5</v>
      </c>
      <c r="AF64">
        <f t="shared" si="14"/>
        <v>130.75</v>
      </c>
      <c r="AG64">
        <f t="shared" si="15"/>
        <v>0.49450744619270642</v>
      </c>
    </row>
    <row r="65" spans="1:33" x14ac:dyDescent="0.35">
      <c r="A65" t="s">
        <v>117</v>
      </c>
      <c r="B65" t="s">
        <v>118</v>
      </c>
      <c r="C65">
        <f>VLOOKUP(CONCATENATE("2001",'2001_60'!A65),aktivnepesseg!$C$2:$D$2226,2,FALSE)</f>
        <v>52446</v>
      </c>
      <c r="D65">
        <f t="shared" si="7"/>
        <v>42593</v>
      </c>
      <c r="E65">
        <f t="shared" si="8"/>
        <v>9853</v>
      </c>
      <c r="F65">
        <v>3187</v>
      </c>
      <c r="G65">
        <v>1350</v>
      </c>
      <c r="H65">
        <v>2102</v>
      </c>
      <c r="I65">
        <v>2502</v>
      </c>
      <c r="J65">
        <v>5865</v>
      </c>
      <c r="K65">
        <v>3914</v>
      </c>
      <c r="L65">
        <v>2959</v>
      </c>
      <c r="M65">
        <v>2596</v>
      </c>
      <c r="N65">
        <v>2298</v>
      </c>
      <c r="O65">
        <v>2088</v>
      </c>
      <c r="P65">
        <v>6964</v>
      </c>
      <c r="Q65">
        <v>2823</v>
      </c>
      <c r="R65">
        <v>1463</v>
      </c>
      <c r="S65">
        <v>2028</v>
      </c>
      <c r="T65">
        <v>454</v>
      </c>
      <c r="U65">
        <f t="shared" si="16"/>
        <v>9853</v>
      </c>
      <c r="V65">
        <f t="shared" si="16"/>
        <v>2868.3</v>
      </c>
      <c r="W65">
        <f t="shared" si="16"/>
        <v>944.99999999999989</v>
      </c>
      <c r="X65">
        <f t="shared" si="16"/>
        <v>1051</v>
      </c>
      <c r="Y65">
        <f t="shared" si="16"/>
        <v>750.6</v>
      </c>
      <c r="Z65">
        <f t="shared" si="16"/>
        <v>586.5</v>
      </c>
      <c r="AA65" s="3">
        <f t="shared" si="9"/>
        <v>0.30611295427677992</v>
      </c>
      <c r="AB65">
        <f t="shared" si="10"/>
        <v>9853</v>
      </c>
      <c r="AC65">
        <f t="shared" si="11"/>
        <v>2788.625</v>
      </c>
      <c r="AD65">
        <f t="shared" si="12"/>
        <v>843.75</v>
      </c>
      <c r="AE65">
        <f t="shared" si="13"/>
        <v>788.25</v>
      </c>
      <c r="AF65">
        <f t="shared" si="14"/>
        <v>312.75</v>
      </c>
      <c r="AG65">
        <f t="shared" si="15"/>
        <v>0.27812178240475915</v>
      </c>
    </row>
    <row r="66" spans="1:33" x14ac:dyDescent="0.35">
      <c r="A66" t="s">
        <v>119</v>
      </c>
      <c r="B66" t="s">
        <v>120</v>
      </c>
      <c r="C66">
        <f>VLOOKUP(CONCATENATE("2001",'2001_60'!A66),aktivnepesseg!$C$2:$D$2226,2,FALSE)</f>
        <v>11608</v>
      </c>
      <c r="D66">
        <f t="shared" si="7"/>
        <v>7126</v>
      </c>
      <c r="E66">
        <f t="shared" si="8"/>
        <v>4482</v>
      </c>
      <c r="F66">
        <v>576</v>
      </c>
      <c r="G66">
        <v>385</v>
      </c>
      <c r="H66">
        <v>527</v>
      </c>
      <c r="I66">
        <v>550</v>
      </c>
      <c r="J66">
        <v>949</v>
      </c>
      <c r="K66">
        <v>886</v>
      </c>
      <c r="L66">
        <v>607</v>
      </c>
      <c r="M66">
        <v>428</v>
      </c>
      <c r="N66">
        <v>396</v>
      </c>
      <c r="O66">
        <v>308</v>
      </c>
      <c r="P66">
        <v>911</v>
      </c>
      <c r="Q66">
        <v>309</v>
      </c>
      <c r="R66">
        <v>124</v>
      </c>
      <c r="S66">
        <v>159</v>
      </c>
      <c r="T66">
        <v>11</v>
      </c>
      <c r="U66">
        <f t="shared" si="16"/>
        <v>4482</v>
      </c>
      <c r="V66">
        <f t="shared" si="16"/>
        <v>518.4</v>
      </c>
      <c r="W66">
        <f t="shared" si="16"/>
        <v>269.5</v>
      </c>
      <c r="X66">
        <f t="shared" si="16"/>
        <v>263.5</v>
      </c>
      <c r="Y66">
        <f t="shared" si="16"/>
        <v>165</v>
      </c>
      <c r="Z66">
        <f t="shared" si="16"/>
        <v>94.9</v>
      </c>
      <c r="AA66" s="3">
        <f t="shared" si="9"/>
        <v>0.49907822191592</v>
      </c>
      <c r="AB66">
        <f t="shared" si="10"/>
        <v>4482</v>
      </c>
      <c r="AC66">
        <f t="shared" si="11"/>
        <v>504</v>
      </c>
      <c r="AD66">
        <f t="shared" si="12"/>
        <v>240.625</v>
      </c>
      <c r="AE66">
        <f t="shared" si="13"/>
        <v>197.625</v>
      </c>
      <c r="AF66">
        <f t="shared" si="14"/>
        <v>68.75</v>
      </c>
      <c r="AG66">
        <f t="shared" si="15"/>
        <v>0.47320813232253617</v>
      </c>
    </row>
    <row r="67" spans="1:33" x14ac:dyDescent="0.35">
      <c r="A67" t="s">
        <v>121</v>
      </c>
      <c r="B67" t="s">
        <v>122</v>
      </c>
      <c r="C67">
        <f>VLOOKUP(CONCATENATE("2001",'2001_60'!A67),aktivnepesseg!$C$2:$D$2226,2,FALSE)</f>
        <v>12303</v>
      </c>
      <c r="D67">
        <f t="shared" si="7"/>
        <v>9598</v>
      </c>
      <c r="E67">
        <f t="shared" si="8"/>
        <v>2705</v>
      </c>
      <c r="F67">
        <v>776</v>
      </c>
      <c r="G67">
        <v>300</v>
      </c>
      <c r="H67">
        <v>557</v>
      </c>
      <c r="I67">
        <v>677</v>
      </c>
      <c r="J67">
        <v>1470</v>
      </c>
      <c r="K67">
        <v>1010</v>
      </c>
      <c r="L67">
        <v>814</v>
      </c>
      <c r="M67">
        <v>712</v>
      </c>
      <c r="N67">
        <v>636</v>
      </c>
      <c r="O67">
        <v>595</v>
      </c>
      <c r="P67">
        <v>1396</v>
      </c>
      <c r="Q67">
        <v>379</v>
      </c>
      <c r="R67">
        <v>129</v>
      </c>
      <c r="S67">
        <v>137</v>
      </c>
      <c r="T67">
        <v>10</v>
      </c>
      <c r="U67">
        <f t="shared" si="16"/>
        <v>2705</v>
      </c>
      <c r="V67">
        <f t="shared" si="16"/>
        <v>698.4</v>
      </c>
      <c r="W67">
        <f t="shared" si="16"/>
        <v>210</v>
      </c>
      <c r="X67">
        <f t="shared" si="16"/>
        <v>278.5</v>
      </c>
      <c r="Y67">
        <f t="shared" si="16"/>
        <v>203.1</v>
      </c>
      <c r="Z67">
        <f t="shared" si="16"/>
        <v>147</v>
      </c>
      <c r="AA67" s="3">
        <f t="shared" si="9"/>
        <v>0.34479395269446478</v>
      </c>
      <c r="AB67">
        <f t="shared" si="10"/>
        <v>2705</v>
      </c>
      <c r="AC67">
        <f t="shared" si="11"/>
        <v>679</v>
      </c>
      <c r="AD67">
        <f t="shared" si="12"/>
        <v>187.5</v>
      </c>
      <c r="AE67">
        <f t="shared" si="13"/>
        <v>208.875</v>
      </c>
      <c r="AF67">
        <f t="shared" si="14"/>
        <v>84.625</v>
      </c>
      <c r="AG67">
        <f t="shared" si="15"/>
        <v>0.31415102007640411</v>
      </c>
    </row>
    <row r="68" spans="1:33" x14ac:dyDescent="0.35">
      <c r="A68" t="s">
        <v>123</v>
      </c>
      <c r="B68" t="s">
        <v>124</v>
      </c>
      <c r="C68">
        <f>VLOOKUP(CONCATENATE("2001",'2001_60'!A68),aktivnepesseg!$C$2:$D$2226,2,FALSE)</f>
        <v>61892</v>
      </c>
      <c r="D68">
        <f t="shared" si="7"/>
        <v>46001</v>
      </c>
      <c r="E68">
        <f t="shared" si="8"/>
        <v>15891</v>
      </c>
      <c r="F68">
        <v>2663</v>
      </c>
      <c r="G68">
        <v>1382</v>
      </c>
      <c r="H68">
        <v>2186</v>
      </c>
      <c r="I68">
        <v>2289</v>
      </c>
      <c r="J68">
        <v>7341</v>
      </c>
      <c r="K68">
        <v>3193</v>
      </c>
      <c r="L68">
        <v>2453</v>
      </c>
      <c r="M68">
        <v>2392</v>
      </c>
      <c r="N68">
        <v>2074</v>
      </c>
      <c r="O68">
        <v>2077</v>
      </c>
      <c r="P68">
        <v>7272</v>
      </c>
      <c r="Q68">
        <v>4012</v>
      </c>
      <c r="R68">
        <v>2198</v>
      </c>
      <c r="S68">
        <v>3357</v>
      </c>
      <c r="T68">
        <v>1112</v>
      </c>
      <c r="U68">
        <f t="shared" si="16"/>
        <v>15891</v>
      </c>
      <c r="V68">
        <f t="shared" si="16"/>
        <v>2396.7000000000003</v>
      </c>
      <c r="W68">
        <f t="shared" si="16"/>
        <v>967.4</v>
      </c>
      <c r="X68">
        <f t="shared" si="16"/>
        <v>1093</v>
      </c>
      <c r="Y68">
        <f t="shared" si="16"/>
        <v>686.69999999999993</v>
      </c>
      <c r="Z68">
        <f t="shared" si="16"/>
        <v>734.1</v>
      </c>
      <c r="AA68" s="3">
        <f t="shared" si="9"/>
        <v>0.35172397078782397</v>
      </c>
      <c r="AB68">
        <f t="shared" si="10"/>
        <v>15891</v>
      </c>
      <c r="AC68">
        <f t="shared" si="11"/>
        <v>2330.125</v>
      </c>
      <c r="AD68">
        <f t="shared" si="12"/>
        <v>863.75</v>
      </c>
      <c r="AE68">
        <f t="shared" si="13"/>
        <v>819.75</v>
      </c>
      <c r="AF68">
        <f t="shared" si="14"/>
        <v>286.125</v>
      </c>
      <c r="AG68">
        <f t="shared" si="15"/>
        <v>0.32622552187681769</v>
      </c>
    </row>
    <row r="69" spans="1:33" x14ac:dyDescent="0.35">
      <c r="A69" t="s">
        <v>125</v>
      </c>
      <c r="B69" t="s">
        <v>126</v>
      </c>
      <c r="C69">
        <f>VLOOKUP(CONCATENATE("2001",'2001_60'!A69),aktivnepesseg!$C$2:$D$2226,2,FALSE)</f>
        <v>55453</v>
      </c>
      <c r="D69">
        <f t="shared" si="7"/>
        <v>42438</v>
      </c>
      <c r="E69">
        <f t="shared" si="8"/>
        <v>13015</v>
      </c>
      <c r="F69">
        <v>2054</v>
      </c>
      <c r="G69">
        <v>1220</v>
      </c>
      <c r="H69">
        <v>2092</v>
      </c>
      <c r="I69">
        <v>2133</v>
      </c>
      <c r="J69">
        <v>6222</v>
      </c>
      <c r="K69">
        <v>3493</v>
      </c>
      <c r="L69">
        <v>2812</v>
      </c>
      <c r="M69">
        <v>2576</v>
      </c>
      <c r="N69">
        <v>2417</v>
      </c>
      <c r="O69">
        <v>2404</v>
      </c>
      <c r="P69">
        <v>8168</v>
      </c>
      <c r="Q69">
        <v>3286</v>
      </c>
      <c r="R69">
        <v>1538</v>
      </c>
      <c r="S69">
        <v>1749</v>
      </c>
      <c r="T69">
        <v>274</v>
      </c>
      <c r="U69">
        <f t="shared" si="16"/>
        <v>13015</v>
      </c>
      <c r="V69">
        <f t="shared" si="16"/>
        <v>1848.6000000000001</v>
      </c>
      <c r="W69">
        <f t="shared" si="16"/>
        <v>854</v>
      </c>
      <c r="X69">
        <f t="shared" si="16"/>
        <v>1046</v>
      </c>
      <c r="Y69">
        <f t="shared" si="16"/>
        <v>639.9</v>
      </c>
      <c r="Z69">
        <f t="shared" si="16"/>
        <v>622.20000000000005</v>
      </c>
      <c r="AA69" s="3">
        <f t="shared" si="9"/>
        <v>0.32506266568084685</v>
      </c>
      <c r="AB69">
        <f t="shared" si="10"/>
        <v>13015</v>
      </c>
      <c r="AC69">
        <f t="shared" si="11"/>
        <v>1797.25</v>
      </c>
      <c r="AD69">
        <f t="shared" si="12"/>
        <v>762.5</v>
      </c>
      <c r="AE69">
        <f t="shared" si="13"/>
        <v>784.5</v>
      </c>
      <c r="AF69">
        <f t="shared" si="14"/>
        <v>266.625</v>
      </c>
      <c r="AG69">
        <f t="shared" si="15"/>
        <v>0.29981921627324037</v>
      </c>
    </row>
    <row r="70" spans="1:33" x14ac:dyDescent="0.35">
      <c r="A70" t="s">
        <v>127</v>
      </c>
      <c r="B70" t="s">
        <v>128</v>
      </c>
      <c r="C70">
        <f>VLOOKUP(CONCATENATE("2001",'2001_60'!A70),aktivnepesseg!$C$2:$D$2226,2,FALSE)</f>
        <v>21675</v>
      </c>
      <c r="D70">
        <f t="shared" si="7"/>
        <v>14405</v>
      </c>
      <c r="E70">
        <f t="shared" si="8"/>
        <v>7270</v>
      </c>
      <c r="F70">
        <v>1381</v>
      </c>
      <c r="G70">
        <v>920</v>
      </c>
      <c r="H70">
        <v>1306</v>
      </c>
      <c r="I70">
        <v>1873</v>
      </c>
      <c r="J70">
        <v>2211</v>
      </c>
      <c r="K70">
        <v>1607</v>
      </c>
      <c r="L70">
        <v>1114</v>
      </c>
      <c r="M70">
        <v>736</v>
      </c>
      <c r="N70">
        <v>590</v>
      </c>
      <c r="O70">
        <v>445</v>
      </c>
      <c r="P70">
        <v>1410</v>
      </c>
      <c r="Q70">
        <v>480</v>
      </c>
      <c r="R70">
        <v>149</v>
      </c>
      <c r="S70">
        <v>170</v>
      </c>
      <c r="T70">
        <v>13</v>
      </c>
      <c r="U70">
        <f t="shared" si="16"/>
        <v>7270</v>
      </c>
      <c r="V70">
        <f t="shared" si="16"/>
        <v>1242.9000000000001</v>
      </c>
      <c r="W70">
        <f t="shared" si="16"/>
        <v>644</v>
      </c>
      <c r="X70">
        <f t="shared" si="16"/>
        <v>653</v>
      </c>
      <c r="Y70">
        <f t="shared" si="16"/>
        <v>561.9</v>
      </c>
      <c r="Z70">
        <f t="shared" si="16"/>
        <v>221.10000000000002</v>
      </c>
      <c r="AA70" s="3">
        <f t="shared" si="9"/>
        <v>0.48871510957324105</v>
      </c>
      <c r="AB70">
        <f t="shared" si="10"/>
        <v>7270</v>
      </c>
      <c r="AC70">
        <f t="shared" si="11"/>
        <v>1208.375</v>
      </c>
      <c r="AD70">
        <f t="shared" si="12"/>
        <v>575</v>
      </c>
      <c r="AE70">
        <f t="shared" si="13"/>
        <v>489.75</v>
      </c>
      <c r="AF70">
        <f t="shared" si="14"/>
        <v>234.125</v>
      </c>
      <c r="AG70">
        <f t="shared" si="15"/>
        <v>0.45108419838523645</v>
      </c>
    </row>
    <row r="71" spans="1:33" x14ac:dyDescent="0.35">
      <c r="A71" t="s">
        <v>129</v>
      </c>
      <c r="B71" t="s">
        <v>130</v>
      </c>
      <c r="C71">
        <f>VLOOKUP(CONCATENATE("2001",'2001_60'!A71),aktivnepesseg!$C$2:$D$2226,2,FALSE)</f>
        <v>19986</v>
      </c>
      <c r="D71">
        <f t="shared" si="7"/>
        <v>15811</v>
      </c>
      <c r="E71">
        <f t="shared" si="8"/>
        <v>4175</v>
      </c>
      <c r="F71">
        <v>1675</v>
      </c>
      <c r="G71">
        <v>733</v>
      </c>
      <c r="H71">
        <v>1235</v>
      </c>
      <c r="I71">
        <v>1462</v>
      </c>
      <c r="J71">
        <v>3063</v>
      </c>
      <c r="K71">
        <v>1707</v>
      </c>
      <c r="L71">
        <v>1161</v>
      </c>
      <c r="M71">
        <v>883</v>
      </c>
      <c r="N71">
        <v>643</v>
      </c>
      <c r="O71">
        <v>592</v>
      </c>
      <c r="P71">
        <v>1538</v>
      </c>
      <c r="Q71">
        <v>511</v>
      </c>
      <c r="R71">
        <v>219</v>
      </c>
      <c r="S71">
        <v>334</v>
      </c>
      <c r="T71">
        <v>55</v>
      </c>
      <c r="U71">
        <f t="shared" si="16"/>
        <v>4175</v>
      </c>
      <c r="V71">
        <f t="shared" si="16"/>
        <v>1507.5</v>
      </c>
      <c r="W71">
        <f t="shared" si="16"/>
        <v>513.1</v>
      </c>
      <c r="X71">
        <f t="shared" si="16"/>
        <v>617.5</v>
      </c>
      <c r="Y71">
        <f t="shared" si="16"/>
        <v>438.59999999999997</v>
      </c>
      <c r="Z71">
        <f t="shared" si="16"/>
        <v>306.3</v>
      </c>
      <c r="AA71" s="3">
        <f t="shared" si="9"/>
        <v>0.37816471530071055</v>
      </c>
      <c r="AB71">
        <f t="shared" si="10"/>
        <v>4175</v>
      </c>
      <c r="AC71">
        <f t="shared" si="11"/>
        <v>1465.625</v>
      </c>
      <c r="AD71">
        <f t="shared" si="12"/>
        <v>458.125</v>
      </c>
      <c r="AE71">
        <f t="shared" si="13"/>
        <v>463.125</v>
      </c>
      <c r="AF71">
        <f t="shared" si="14"/>
        <v>182.75</v>
      </c>
      <c r="AG71">
        <f t="shared" si="15"/>
        <v>0.33746747723406384</v>
      </c>
    </row>
    <row r="72" spans="1:33" x14ac:dyDescent="0.35">
      <c r="A72" t="s">
        <v>131</v>
      </c>
      <c r="B72" t="s">
        <v>132</v>
      </c>
      <c r="C72">
        <f>VLOOKUP(CONCATENATE("2001",'2001_60'!A72),aktivnepesseg!$C$2:$D$2226,2,FALSE)</f>
        <v>17353</v>
      </c>
      <c r="D72">
        <f t="shared" si="7"/>
        <v>12332</v>
      </c>
      <c r="E72">
        <f t="shared" si="8"/>
        <v>5021</v>
      </c>
      <c r="F72">
        <v>905</v>
      </c>
      <c r="G72">
        <v>455</v>
      </c>
      <c r="H72">
        <v>738</v>
      </c>
      <c r="I72">
        <v>933</v>
      </c>
      <c r="J72">
        <v>1960</v>
      </c>
      <c r="K72">
        <v>1325</v>
      </c>
      <c r="L72">
        <v>1051</v>
      </c>
      <c r="M72">
        <v>788</v>
      </c>
      <c r="N72">
        <v>690</v>
      </c>
      <c r="O72">
        <v>598</v>
      </c>
      <c r="P72">
        <v>1771</v>
      </c>
      <c r="Q72">
        <v>623</v>
      </c>
      <c r="R72">
        <v>227</v>
      </c>
      <c r="S72">
        <v>249</v>
      </c>
      <c r="T72">
        <v>19</v>
      </c>
      <c r="U72">
        <f t="shared" ref="U72:Z103" si="17">E72*E$5</f>
        <v>5021</v>
      </c>
      <c r="V72">
        <f t="shared" si="17"/>
        <v>814.5</v>
      </c>
      <c r="W72">
        <f t="shared" si="17"/>
        <v>318.5</v>
      </c>
      <c r="X72">
        <f t="shared" si="17"/>
        <v>369</v>
      </c>
      <c r="Y72">
        <f t="shared" si="17"/>
        <v>279.89999999999998</v>
      </c>
      <c r="Z72">
        <f t="shared" si="17"/>
        <v>196</v>
      </c>
      <c r="AA72" s="3">
        <f t="shared" si="9"/>
        <v>0.40332507347432717</v>
      </c>
      <c r="AB72">
        <f t="shared" si="10"/>
        <v>5021</v>
      </c>
      <c r="AC72">
        <f t="shared" si="11"/>
        <v>791.875</v>
      </c>
      <c r="AD72">
        <f t="shared" si="12"/>
        <v>284.375</v>
      </c>
      <c r="AE72">
        <f t="shared" si="13"/>
        <v>276.75</v>
      </c>
      <c r="AF72">
        <f t="shared" si="14"/>
        <v>116.625</v>
      </c>
      <c r="AG72">
        <f t="shared" si="15"/>
        <v>0.37403474903474904</v>
      </c>
    </row>
    <row r="73" spans="1:33" x14ac:dyDescent="0.35">
      <c r="A73" t="s">
        <v>133</v>
      </c>
      <c r="B73" t="s">
        <v>134</v>
      </c>
      <c r="C73">
        <f>VLOOKUP(CONCATENATE("2001",'2001_60'!A73),aktivnepesseg!$C$2:$D$2226,2,FALSE)</f>
        <v>15402</v>
      </c>
      <c r="D73">
        <f t="shared" ref="D73:D136" si="18">SUM(F73:T73)</f>
        <v>11636</v>
      </c>
      <c r="E73">
        <f t="shared" ref="E73:E136" si="19">C73-D73</f>
        <v>3766</v>
      </c>
      <c r="F73">
        <v>844</v>
      </c>
      <c r="G73">
        <v>409</v>
      </c>
      <c r="H73">
        <v>640</v>
      </c>
      <c r="I73">
        <v>726</v>
      </c>
      <c r="J73">
        <v>1910</v>
      </c>
      <c r="K73">
        <v>1022</v>
      </c>
      <c r="L73">
        <v>752</v>
      </c>
      <c r="M73">
        <v>699</v>
      </c>
      <c r="N73">
        <v>557</v>
      </c>
      <c r="O73">
        <v>581</v>
      </c>
      <c r="P73">
        <v>1752</v>
      </c>
      <c r="Q73">
        <v>724</v>
      </c>
      <c r="R73">
        <v>404</v>
      </c>
      <c r="S73">
        <v>492</v>
      </c>
      <c r="T73">
        <v>124</v>
      </c>
      <c r="U73">
        <f t="shared" si="17"/>
        <v>3766</v>
      </c>
      <c r="V73">
        <f t="shared" si="17"/>
        <v>759.6</v>
      </c>
      <c r="W73">
        <f t="shared" si="17"/>
        <v>286.29999999999995</v>
      </c>
      <c r="X73">
        <f t="shared" si="17"/>
        <v>320</v>
      </c>
      <c r="Y73">
        <f t="shared" si="17"/>
        <v>217.79999999999998</v>
      </c>
      <c r="Z73">
        <f t="shared" si="17"/>
        <v>191</v>
      </c>
      <c r="AA73" s="3">
        <f t="shared" ref="AA73:AA136" si="20">SUM(U73:Z73)/$C73</f>
        <v>0.3597389949357227</v>
      </c>
      <c r="AB73">
        <f t="shared" ref="AB73:AB136" si="21">E73*E$6</f>
        <v>3766</v>
      </c>
      <c r="AC73">
        <f t="shared" ref="AC73:AC136" si="22">F73*F$6</f>
        <v>738.5</v>
      </c>
      <c r="AD73">
        <f t="shared" ref="AD73:AD136" si="23">G73*G$6</f>
        <v>255.625</v>
      </c>
      <c r="AE73">
        <f t="shared" ref="AE73:AE136" si="24">H73*H$6</f>
        <v>240</v>
      </c>
      <c r="AF73">
        <f t="shared" ref="AF73:AF136" si="25">I73*I$6</f>
        <v>90.75</v>
      </c>
      <c r="AG73">
        <f t="shared" ref="AG73:AG136" si="26">SUM(AB73:AF73)/$C73</f>
        <v>0.33053337228931307</v>
      </c>
    </row>
    <row r="74" spans="1:33" x14ac:dyDescent="0.35">
      <c r="A74" t="s">
        <v>135</v>
      </c>
      <c r="B74" t="s">
        <v>136</v>
      </c>
      <c r="C74">
        <f>VLOOKUP(CONCATENATE("2001",'2001_60'!A74),aktivnepesseg!$C$2:$D$2226,2,FALSE)</f>
        <v>69068</v>
      </c>
      <c r="D74">
        <f t="shared" si="18"/>
        <v>48461</v>
      </c>
      <c r="E74">
        <f t="shared" si="19"/>
        <v>20607</v>
      </c>
      <c r="F74">
        <v>2958</v>
      </c>
      <c r="G74">
        <v>1494</v>
      </c>
      <c r="H74">
        <v>2309</v>
      </c>
      <c r="I74">
        <v>2500</v>
      </c>
      <c r="J74">
        <v>8169</v>
      </c>
      <c r="K74">
        <v>3508</v>
      </c>
      <c r="L74">
        <v>2510</v>
      </c>
      <c r="M74">
        <v>2513</v>
      </c>
      <c r="N74">
        <v>2357</v>
      </c>
      <c r="O74">
        <v>2334</v>
      </c>
      <c r="P74">
        <v>8107</v>
      </c>
      <c r="Q74">
        <v>4054</v>
      </c>
      <c r="R74">
        <v>1949</v>
      </c>
      <c r="S74">
        <v>2816</v>
      </c>
      <c r="T74">
        <v>883</v>
      </c>
      <c r="U74">
        <f t="shared" si="17"/>
        <v>20607</v>
      </c>
      <c r="V74">
        <f t="shared" si="17"/>
        <v>2662.2000000000003</v>
      </c>
      <c r="W74">
        <f t="shared" si="17"/>
        <v>1045.8</v>
      </c>
      <c r="X74">
        <f t="shared" si="17"/>
        <v>1154.5</v>
      </c>
      <c r="Y74">
        <f t="shared" si="17"/>
        <v>750</v>
      </c>
      <c r="Z74">
        <f t="shared" si="17"/>
        <v>816.90000000000009</v>
      </c>
      <c r="AA74" s="3">
        <f t="shared" si="20"/>
        <v>0.39144611107893673</v>
      </c>
      <c r="AB74">
        <f t="shared" si="21"/>
        <v>20607</v>
      </c>
      <c r="AC74">
        <f t="shared" si="22"/>
        <v>2588.25</v>
      </c>
      <c r="AD74">
        <f t="shared" si="23"/>
        <v>933.75</v>
      </c>
      <c r="AE74">
        <f t="shared" si="24"/>
        <v>865.875</v>
      </c>
      <c r="AF74">
        <f t="shared" si="25"/>
        <v>312.5</v>
      </c>
      <c r="AG74">
        <f t="shared" si="26"/>
        <v>0.36641244860137834</v>
      </c>
    </row>
    <row r="75" spans="1:33" x14ac:dyDescent="0.35">
      <c r="A75" t="s">
        <v>137</v>
      </c>
      <c r="B75" t="s">
        <v>138</v>
      </c>
      <c r="C75">
        <f>VLOOKUP(CONCATENATE("2001",'2001_60'!A75),aktivnepesseg!$C$2:$D$2226,2,FALSE)</f>
        <v>9231</v>
      </c>
      <c r="D75">
        <f t="shared" si="18"/>
        <v>5265</v>
      </c>
      <c r="E75">
        <f t="shared" si="19"/>
        <v>3966</v>
      </c>
      <c r="F75">
        <v>425</v>
      </c>
      <c r="G75">
        <v>296</v>
      </c>
      <c r="H75">
        <v>447</v>
      </c>
      <c r="I75">
        <v>485</v>
      </c>
      <c r="J75">
        <v>740</v>
      </c>
      <c r="K75">
        <v>616</v>
      </c>
      <c r="L75">
        <v>388</v>
      </c>
      <c r="M75">
        <v>312</v>
      </c>
      <c r="N75">
        <v>231</v>
      </c>
      <c r="O75">
        <v>212</v>
      </c>
      <c r="P75">
        <v>717</v>
      </c>
      <c r="Q75">
        <v>270</v>
      </c>
      <c r="R75">
        <v>64</v>
      </c>
      <c r="S75">
        <v>62</v>
      </c>
      <c r="T75">
        <v>0</v>
      </c>
      <c r="U75">
        <f t="shared" si="17"/>
        <v>3966</v>
      </c>
      <c r="V75">
        <f t="shared" si="17"/>
        <v>382.5</v>
      </c>
      <c r="W75">
        <f t="shared" si="17"/>
        <v>207.2</v>
      </c>
      <c r="X75">
        <f t="shared" si="17"/>
        <v>223.5</v>
      </c>
      <c r="Y75">
        <f t="shared" si="17"/>
        <v>145.5</v>
      </c>
      <c r="Z75">
        <f t="shared" si="17"/>
        <v>74</v>
      </c>
      <c r="AA75" s="3">
        <f t="shared" si="20"/>
        <v>0.54151229552594515</v>
      </c>
      <c r="AB75">
        <f t="shared" si="21"/>
        <v>3966</v>
      </c>
      <c r="AC75">
        <f t="shared" si="22"/>
        <v>371.875</v>
      </c>
      <c r="AD75">
        <f t="shared" si="23"/>
        <v>185</v>
      </c>
      <c r="AE75">
        <f t="shared" si="24"/>
        <v>167.625</v>
      </c>
      <c r="AF75">
        <f t="shared" si="25"/>
        <v>60.625</v>
      </c>
      <c r="AG75">
        <f t="shared" si="26"/>
        <v>0.51469234102480776</v>
      </c>
    </row>
    <row r="76" spans="1:33" x14ac:dyDescent="0.35">
      <c r="A76" t="s">
        <v>139</v>
      </c>
      <c r="B76" t="s">
        <v>140</v>
      </c>
      <c r="C76">
        <f>VLOOKUP(CONCATENATE("2001",'2001_60'!A76),aktivnepesseg!$C$2:$D$2226,2,FALSE)</f>
        <v>22386</v>
      </c>
      <c r="D76">
        <f t="shared" si="18"/>
        <v>15055</v>
      </c>
      <c r="E76">
        <f t="shared" si="19"/>
        <v>7331</v>
      </c>
      <c r="F76">
        <v>1214</v>
      </c>
      <c r="G76">
        <v>517</v>
      </c>
      <c r="H76">
        <v>861</v>
      </c>
      <c r="I76">
        <v>868</v>
      </c>
      <c r="J76">
        <v>2686</v>
      </c>
      <c r="K76">
        <v>1253</v>
      </c>
      <c r="L76">
        <v>854</v>
      </c>
      <c r="M76">
        <v>823</v>
      </c>
      <c r="N76">
        <v>738</v>
      </c>
      <c r="O76">
        <v>676</v>
      </c>
      <c r="P76">
        <v>2324</v>
      </c>
      <c r="Q76">
        <v>1146</v>
      </c>
      <c r="R76">
        <v>495</v>
      </c>
      <c r="S76">
        <v>485</v>
      </c>
      <c r="T76">
        <v>115</v>
      </c>
      <c r="U76">
        <f t="shared" si="17"/>
        <v>7331</v>
      </c>
      <c r="V76">
        <f t="shared" si="17"/>
        <v>1092.6000000000001</v>
      </c>
      <c r="W76">
        <f t="shared" si="17"/>
        <v>361.9</v>
      </c>
      <c r="X76">
        <f t="shared" si="17"/>
        <v>430.5</v>
      </c>
      <c r="Y76">
        <f t="shared" si="17"/>
        <v>260.39999999999998</v>
      </c>
      <c r="Z76">
        <f t="shared" si="17"/>
        <v>268.60000000000002</v>
      </c>
      <c r="AA76" s="3">
        <f t="shared" si="20"/>
        <v>0.43531671580452069</v>
      </c>
      <c r="AB76">
        <f t="shared" si="21"/>
        <v>7331</v>
      </c>
      <c r="AC76">
        <f t="shared" si="22"/>
        <v>1062.25</v>
      </c>
      <c r="AD76">
        <f t="shared" si="23"/>
        <v>323.125</v>
      </c>
      <c r="AE76">
        <f t="shared" si="24"/>
        <v>322.875</v>
      </c>
      <c r="AF76">
        <f t="shared" si="25"/>
        <v>108.5</v>
      </c>
      <c r="AG76">
        <f t="shared" si="26"/>
        <v>0.40863709461270437</v>
      </c>
    </row>
    <row r="77" spans="1:33" x14ac:dyDescent="0.35">
      <c r="A77" t="s">
        <v>141</v>
      </c>
      <c r="B77" t="s">
        <v>142</v>
      </c>
      <c r="C77">
        <f>VLOOKUP(CONCATENATE("2001",'2001_60'!A77),aktivnepesseg!$C$2:$D$2226,2,FALSE)</f>
        <v>14659</v>
      </c>
      <c r="D77">
        <f t="shared" si="18"/>
        <v>11235</v>
      </c>
      <c r="E77">
        <f t="shared" si="19"/>
        <v>3424</v>
      </c>
      <c r="F77">
        <v>893</v>
      </c>
      <c r="G77">
        <v>520</v>
      </c>
      <c r="H77">
        <v>942</v>
      </c>
      <c r="I77">
        <v>1170</v>
      </c>
      <c r="J77">
        <v>2218</v>
      </c>
      <c r="K77">
        <v>1365</v>
      </c>
      <c r="L77">
        <v>770</v>
      </c>
      <c r="M77">
        <v>665</v>
      </c>
      <c r="N77">
        <v>504</v>
      </c>
      <c r="O77">
        <v>413</v>
      </c>
      <c r="P77">
        <v>1100</v>
      </c>
      <c r="Q77">
        <v>340</v>
      </c>
      <c r="R77">
        <v>155</v>
      </c>
      <c r="S77">
        <v>155</v>
      </c>
      <c r="T77">
        <v>25</v>
      </c>
      <c r="U77">
        <f t="shared" si="17"/>
        <v>3424</v>
      </c>
      <c r="V77">
        <f t="shared" si="17"/>
        <v>803.7</v>
      </c>
      <c r="W77">
        <f t="shared" si="17"/>
        <v>364</v>
      </c>
      <c r="X77">
        <f t="shared" si="17"/>
        <v>471</v>
      </c>
      <c r="Y77">
        <f t="shared" si="17"/>
        <v>351</v>
      </c>
      <c r="Z77">
        <f t="shared" si="17"/>
        <v>221.8</v>
      </c>
      <c r="AA77" s="3">
        <f t="shared" si="20"/>
        <v>0.38443959342383521</v>
      </c>
      <c r="AB77">
        <f t="shared" si="21"/>
        <v>3424</v>
      </c>
      <c r="AC77">
        <f t="shared" si="22"/>
        <v>781.375</v>
      </c>
      <c r="AD77">
        <f t="shared" si="23"/>
        <v>325</v>
      </c>
      <c r="AE77">
        <f t="shared" si="24"/>
        <v>353.25</v>
      </c>
      <c r="AF77">
        <f t="shared" si="25"/>
        <v>146.25</v>
      </c>
      <c r="AG77">
        <f t="shared" si="26"/>
        <v>0.34312538372330992</v>
      </c>
    </row>
    <row r="78" spans="1:33" x14ac:dyDescent="0.35">
      <c r="A78" t="s">
        <v>143</v>
      </c>
      <c r="B78" t="s">
        <v>144</v>
      </c>
      <c r="C78">
        <f>VLOOKUP(CONCATENATE("2001",'2001_60'!A78),aktivnepesseg!$C$2:$D$2226,2,FALSE)</f>
        <v>43415</v>
      </c>
      <c r="D78">
        <f t="shared" si="18"/>
        <v>35186</v>
      </c>
      <c r="E78">
        <f t="shared" si="19"/>
        <v>8229</v>
      </c>
      <c r="F78">
        <v>2393</v>
      </c>
      <c r="G78">
        <v>1614</v>
      </c>
      <c r="H78">
        <v>1942</v>
      </c>
      <c r="I78">
        <v>2134</v>
      </c>
      <c r="J78">
        <v>4850</v>
      </c>
      <c r="K78">
        <v>3191</v>
      </c>
      <c r="L78">
        <v>2361</v>
      </c>
      <c r="M78">
        <v>2008</v>
      </c>
      <c r="N78">
        <v>1786</v>
      </c>
      <c r="O78">
        <v>1638</v>
      </c>
      <c r="P78">
        <v>5736</v>
      </c>
      <c r="Q78">
        <v>2621</v>
      </c>
      <c r="R78">
        <v>1174</v>
      </c>
      <c r="S78">
        <v>1425</v>
      </c>
      <c r="T78">
        <v>313</v>
      </c>
      <c r="U78">
        <f t="shared" si="17"/>
        <v>8229</v>
      </c>
      <c r="V78">
        <f t="shared" si="17"/>
        <v>2153.7000000000003</v>
      </c>
      <c r="W78">
        <f t="shared" si="17"/>
        <v>1129.8</v>
      </c>
      <c r="X78">
        <f t="shared" si="17"/>
        <v>971</v>
      </c>
      <c r="Y78">
        <f t="shared" si="17"/>
        <v>640.19999999999993</v>
      </c>
      <c r="Z78">
        <f t="shared" si="17"/>
        <v>485</v>
      </c>
      <c r="AA78" s="3">
        <f t="shared" si="20"/>
        <v>0.31345617874006682</v>
      </c>
      <c r="AB78">
        <f t="shared" si="21"/>
        <v>8229</v>
      </c>
      <c r="AC78">
        <f t="shared" si="22"/>
        <v>2093.875</v>
      </c>
      <c r="AD78">
        <f t="shared" si="23"/>
        <v>1008.75</v>
      </c>
      <c r="AE78">
        <f t="shared" si="24"/>
        <v>728.25</v>
      </c>
      <c r="AF78">
        <f t="shared" si="25"/>
        <v>266.75</v>
      </c>
      <c r="AG78">
        <f t="shared" si="26"/>
        <v>0.28392548658297823</v>
      </c>
    </row>
    <row r="79" spans="1:33" x14ac:dyDescent="0.35">
      <c r="A79" t="s">
        <v>145</v>
      </c>
      <c r="B79" t="s">
        <v>146</v>
      </c>
      <c r="C79">
        <f>VLOOKUP(CONCATENATE("2001",'2001_60'!A79),aktivnepesseg!$C$2:$D$2226,2,FALSE)</f>
        <v>110761</v>
      </c>
      <c r="D79">
        <f t="shared" si="18"/>
        <v>92660</v>
      </c>
      <c r="E79">
        <f t="shared" si="19"/>
        <v>18101</v>
      </c>
      <c r="F79">
        <v>5926</v>
      </c>
      <c r="G79">
        <v>2412</v>
      </c>
      <c r="H79">
        <v>3986</v>
      </c>
      <c r="I79">
        <v>4349</v>
      </c>
      <c r="J79">
        <v>13075</v>
      </c>
      <c r="K79">
        <v>6620</v>
      </c>
      <c r="L79">
        <v>5457</v>
      </c>
      <c r="M79">
        <v>5484</v>
      </c>
      <c r="N79">
        <v>5195</v>
      </c>
      <c r="O79">
        <v>5118</v>
      </c>
      <c r="P79">
        <v>16822</v>
      </c>
      <c r="Q79">
        <v>7423</v>
      </c>
      <c r="R79">
        <v>4078</v>
      </c>
      <c r="S79">
        <v>5431</v>
      </c>
      <c r="T79">
        <v>1284</v>
      </c>
      <c r="U79">
        <f t="shared" si="17"/>
        <v>18101</v>
      </c>
      <c r="V79">
        <f t="shared" si="17"/>
        <v>5333.4000000000005</v>
      </c>
      <c r="W79">
        <f t="shared" si="17"/>
        <v>1688.3999999999999</v>
      </c>
      <c r="X79">
        <f t="shared" si="17"/>
        <v>1993</v>
      </c>
      <c r="Y79">
        <f t="shared" si="17"/>
        <v>1304.7</v>
      </c>
      <c r="Z79">
        <f t="shared" si="17"/>
        <v>1307.5</v>
      </c>
      <c r="AA79" s="3">
        <f t="shared" si="20"/>
        <v>0.2683977212195629</v>
      </c>
      <c r="AB79">
        <f t="shared" si="21"/>
        <v>18101</v>
      </c>
      <c r="AC79">
        <f t="shared" si="22"/>
        <v>5185.25</v>
      </c>
      <c r="AD79">
        <f t="shared" si="23"/>
        <v>1507.5</v>
      </c>
      <c r="AE79">
        <f t="shared" si="24"/>
        <v>1494.75</v>
      </c>
      <c r="AF79">
        <f t="shared" si="25"/>
        <v>543.625</v>
      </c>
      <c r="AG79">
        <f t="shared" si="26"/>
        <v>0.24225246250936702</v>
      </c>
    </row>
    <row r="80" spans="1:33" x14ac:dyDescent="0.35">
      <c r="A80" t="s">
        <v>147</v>
      </c>
      <c r="B80" t="s">
        <v>148</v>
      </c>
      <c r="C80">
        <f>VLOOKUP(CONCATENATE("2001",'2001_60'!A80),aktivnepesseg!$C$2:$D$2226,2,FALSE)</f>
        <v>25416</v>
      </c>
      <c r="D80">
        <f t="shared" si="18"/>
        <v>19480</v>
      </c>
      <c r="E80">
        <f t="shared" si="19"/>
        <v>5936</v>
      </c>
      <c r="F80">
        <v>1598</v>
      </c>
      <c r="G80">
        <v>718</v>
      </c>
      <c r="H80">
        <v>1198</v>
      </c>
      <c r="I80">
        <v>1307</v>
      </c>
      <c r="J80">
        <v>2451</v>
      </c>
      <c r="K80">
        <v>1926</v>
      </c>
      <c r="L80">
        <v>1487</v>
      </c>
      <c r="M80">
        <v>1272</v>
      </c>
      <c r="N80">
        <v>1133</v>
      </c>
      <c r="O80">
        <v>1171</v>
      </c>
      <c r="P80">
        <v>3022</v>
      </c>
      <c r="Q80">
        <v>1067</v>
      </c>
      <c r="R80">
        <v>462</v>
      </c>
      <c r="S80">
        <v>567</v>
      </c>
      <c r="T80">
        <v>101</v>
      </c>
      <c r="U80">
        <f t="shared" si="17"/>
        <v>5936</v>
      </c>
      <c r="V80">
        <f t="shared" si="17"/>
        <v>1438.2</v>
      </c>
      <c r="W80">
        <f t="shared" si="17"/>
        <v>502.59999999999997</v>
      </c>
      <c r="X80">
        <f t="shared" si="17"/>
        <v>599</v>
      </c>
      <c r="Y80">
        <f t="shared" si="17"/>
        <v>392.09999999999997</v>
      </c>
      <c r="Z80">
        <f t="shared" si="17"/>
        <v>245.10000000000002</v>
      </c>
      <c r="AA80" s="3">
        <f t="shared" si="20"/>
        <v>0.35855366698142904</v>
      </c>
      <c r="AB80">
        <f t="shared" si="21"/>
        <v>5936</v>
      </c>
      <c r="AC80">
        <f t="shared" si="22"/>
        <v>1398.25</v>
      </c>
      <c r="AD80">
        <f t="shared" si="23"/>
        <v>448.75</v>
      </c>
      <c r="AE80">
        <f t="shared" si="24"/>
        <v>449.25</v>
      </c>
      <c r="AF80">
        <f t="shared" si="25"/>
        <v>163.375</v>
      </c>
      <c r="AG80">
        <f t="shared" si="26"/>
        <v>0.33032833648095689</v>
      </c>
    </row>
    <row r="81" spans="1:33" x14ac:dyDescent="0.35">
      <c r="A81" t="s">
        <v>149</v>
      </c>
      <c r="B81" t="s">
        <v>150</v>
      </c>
      <c r="C81">
        <f>VLOOKUP(CONCATENATE("2001",'2001_60'!A81),aktivnepesseg!$C$2:$D$2226,2,FALSE)</f>
        <v>23380</v>
      </c>
      <c r="D81">
        <f t="shared" si="18"/>
        <v>16750</v>
      </c>
      <c r="E81">
        <f t="shared" si="19"/>
        <v>6630</v>
      </c>
      <c r="F81">
        <v>1740</v>
      </c>
      <c r="G81">
        <v>725</v>
      </c>
      <c r="H81">
        <v>1302</v>
      </c>
      <c r="I81">
        <v>1534</v>
      </c>
      <c r="J81">
        <v>3015</v>
      </c>
      <c r="K81">
        <v>1863</v>
      </c>
      <c r="L81">
        <v>1329</v>
      </c>
      <c r="M81">
        <v>1035</v>
      </c>
      <c r="N81">
        <v>866</v>
      </c>
      <c r="O81">
        <v>709</v>
      </c>
      <c r="P81">
        <v>1621</v>
      </c>
      <c r="Q81">
        <v>535</v>
      </c>
      <c r="R81">
        <v>210</v>
      </c>
      <c r="S81">
        <v>228</v>
      </c>
      <c r="T81">
        <v>38</v>
      </c>
      <c r="U81">
        <f t="shared" si="17"/>
        <v>6630</v>
      </c>
      <c r="V81">
        <f t="shared" si="17"/>
        <v>1566</v>
      </c>
      <c r="W81">
        <f t="shared" si="17"/>
        <v>507.49999999999994</v>
      </c>
      <c r="X81">
        <f t="shared" si="17"/>
        <v>651</v>
      </c>
      <c r="Y81">
        <f t="shared" si="17"/>
        <v>460.2</v>
      </c>
      <c r="Z81">
        <f t="shared" si="17"/>
        <v>301.5</v>
      </c>
      <c r="AA81" s="3">
        <f t="shared" si="20"/>
        <v>0.4326860564585116</v>
      </c>
      <c r="AB81">
        <f t="shared" si="21"/>
        <v>6630</v>
      </c>
      <c r="AC81">
        <f t="shared" si="22"/>
        <v>1522.5</v>
      </c>
      <c r="AD81">
        <f t="shared" si="23"/>
        <v>453.125</v>
      </c>
      <c r="AE81">
        <f t="shared" si="24"/>
        <v>488.25</v>
      </c>
      <c r="AF81">
        <f t="shared" si="25"/>
        <v>191.75</v>
      </c>
      <c r="AG81">
        <f t="shared" si="26"/>
        <v>0.39716103507271172</v>
      </c>
    </row>
    <row r="82" spans="1:33" x14ac:dyDescent="0.35">
      <c r="A82" t="s">
        <v>151</v>
      </c>
      <c r="B82" t="s">
        <v>152</v>
      </c>
      <c r="C82">
        <f>VLOOKUP(CONCATENATE("2001",'2001_60'!A82),aktivnepesseg!$C$2:$D$2226,2,FALSE)</f>
        <v>11862</v>
      </c>
      <c r="D82">
        <f t="shared" si="18"/>
        <v>6728</v>
      </c>
      <c r="E82">
        <f t="shared" si="19"/>
        <v>5134</v>
      </c>
      <c r="F82">
        <v>590</v>
      </c>
      <c r="G82">
        <v>282</v>
      </c>
      <c r="H82">
        <v>490</v>
      </c>
      <c r="I82">
        <v>494</v>
      </c>
      <c r="J82">
        <v>996</v>
      </c>
      <c r="K82">
        <v>720</v>
      </c>
      <c r="L82">
        <v>594</v>
      </c>
      <c r="M82">
        <v>514</v>
      </c>
      <c r="N82">
        <v>407</v>
      </c>
      <c r="O82">
        <v>352</v>
      </c>
      <c r="P82">
        <v>812</v>
      </c>
      <c r="Q82">
        <v>273</v>
      </c>
      <c r="R82">
        <v>100</v>
      </c>
      <c r="S82">
        <v>94</v>
      </c>
      <c r="T82">
        <v>10</v>
      </c>
      <c r="U82">
        <f t="shared" si="17"/>
        <v>5134</v>
      </c>
      <c r="V82">
        <f t="shared" si="17"/>
        <v>531</v>
      </c>
      <c r="W82">
        <f t="shared" si="17"/>
        <v>197.39999999999998</v>
      </c>
      <c r="X82">
        <f t="shared" si="17"/>
        <v>245</v>
      </c>
      <c r="Y82">
        <f t="shared" si="17"/>
        <v>148.19999999999999</v>
      </c>
      <c r="Z82">
        <f t="shared" si="17"/>
        <v>99.600000000000009</v>
      </c>
      <c r="AA82" s="3">
        <f t="shared" si="20"/>
        <v>0.53576125442589784</v>
      </c>
      <c r="AB82">
        <f t="shared" si="21"/>
        <v>5134</v>
      </c>
      <c r="AC82">
        <f t="shared" si="22"/>
        <v>516.25</v>
      </c>
      <c r="AD82">
        <f t="shared" si="23"/>
        <v>176.25</v>
      </c>
      <c r="AE82">
        <f t="shared" si="24"/>
        <v>183.75</v>
      </c>
      <c r="AF82">
        <f t="shared" si="25"/>
        <v>61.75</v>
      </c>
      <c r="AG82">
        <f t="shared" si="26"/>
        <v>0.51188669701568035</v>
      </c>
    </row>
    <row r="83" spans="1:33" x14ac:dyDescent="0.35">
      <c r="A83" t="s">
        <v>153</v>
      </c>
      <c r="B83" t="s">
        <v>154</v>
      </c>
      <c r="C83">
        <f>VLOOKUP(CONCATENATE("2001",'2001_60'!A83),aktivnepesseg!$C$2:$D$2226,2,FALSE)</f>
        <v>17208</v>
      </c>
      <c r="D83">
        <f t="shared" si="18"/>
        <v>12418</v>
      </c>
      <c r="E83">
        <f t="shared" si="19"/>
        <v>4790</v>
      </c>
      <c r="F83">
        <v>1145</v>
      </c>
      <c r="G83">
        <v>507</v>
      </c>
      <c r="H83">
        <v>809</v>
      </c>
      <c r="I83">
        <v>911</v>
      </c>
      <c r="J83">
        <v>1908</v>
      </c>
      <c r="K83">
        <v>1197</v>
      </c>
      <c r="L83">
        <v>901</v>
      </c>
      <c r="M83">
        <v>800</v>
      </c>
      <c r="N83">
        <v>732</v>
      </c>
      <c r="O83">
        <v>633</v>
      </c>
      <c r="P83">
        <v>1576</v>
      </c>
      <c r="Q83">
        <v>666</v>
      </c>
      <c r="R83">
        <v>272</v>
      </c>
      <c r="S83">
        <v>324</v>
      </c>
      <c r="T83">
        <v>37</v>
      </c>
      <c r="U83">
        <f t="shared" si="17"/>
        <v>4790</v>
      </c>
      <c r="V83">
        <f t="shared" si="17"/>
        <v>1030.5</v>
      </c>
      <c r="W83">
        <f t="shared" si="17"/>
        <v>354.9</v>
      </c>
      <c r="X83">
        <f t="shared" si="17"/>
        <v>404.5</v>
      </c>
      <c r="Y83">
        <f t="shared" si="17"/>
        <v>273.3</v>
      </c>
      <c r="Z83">
        <f t="shared" si="17"/>
        <v>190.8</v>
      </c>
      <c r="AA83" s="3">
        <f t="shared" si="20"/>
        <v>0.40934449093444908</v>
      </c>
      <c r="AB83">
        <f t="shared" si="21"/>
        <v>4790</v>
      </c>
      <c r="AC83">
        <f t="shared" si="22"/>
        <v>1001.875</v>
      </c>
      <c r="AD83">
        <f t="shared" si="23"/>
        <v>316.875</v>
      </c>
      <c r="AE83">
        <f t="shared" si="24"/>
        <v>303.375</v>
      </c>
      <c r="AF83">
        <f t="shared" si="25"/>
        <v>113.875</v>
      </c>
      <c r="AG83">
        <f t="shared" si="26"/>
        <v>0.37924221292422128</v>
      </c>
    </row>
    <row r="84" spans="1:33" x14ac:dyDescent="0.35">
      <c r="A84" t="s">
        <v>155</v>
      </c>
      <c r="B84" t="s">
        <v>156</v>
      </c>
      <c r="C84">
        <f>VLOOKUP(CONCATENATE("2001",'2001_60'!A84),aktivnepesseg!$C$2:$D$2226,2,FALSE)</f>
        <v>24298</v>
      </c>
      <c r="D84">
        <f t="shared" si="18"/>
        <v>19311</v>
      </c>
      <c r="E84">
        <f t="shared" si="19"/>
        <v>4987</v>
      </c>
      <c r="F84">
        <v>1913</v>
      </c>
      <c r="G84">
        <v>691</v>
      </c>
      <c r="H84">
        <v>1183</v>
      </c>
      <c r="I84">
        <v>1426</v>
      </c>
      <c r="J84">
        <v>3004</v>
      </c>
      <c r="K84">
        <v>1976</v>
      </c>
      <c r="L84">
        <v>1433</v>
      </c>
      <c r="M84">
        <v>1244</v>
      </c>
      <c r="N84">
        <v>1130</v>
      </c>
      <c r="O84">
        <v>898</v>
      </c>
      <c r="P84">
        <v>2376</v>
      </c>
      <c r="Q84">
        <v>932</v>
      </c>
      <c r="R84">
        <v>426</v>
      </c>
      <c r="S84">
        <v>573</v>
      </c>
      <c r="T84">
        <v>106</v>
      </c>
      <c r="U84">
        <f t="shared" si="17"/>
        <v>4987</v>
      </c>
      <c r="V84">
        <f t="shared" si="17"/>
        <v>1721.7</v>
      </c>
      <c r="W84">
        <f t="shared" si="17"/>
        <v>483.7</v>
      </c>
      <c r="X84">
        <f t="shared" si="17"/>
        <v>591.5</v>
      </c>
      <c r="Y84">
        <f t="shared" si="17"/>
        <v>427.8</v>
      </c>
      <c r="Z84">
        <f t="shared" si="17"/>
        <v>300.40000000000003</v>
      </c>
      <c r="AA84" s="3">
        <f t="shared" si="20"/>
        <v>0.35032101407523247</v>
      </c>
      <c r="AB84">
        <f t="shared" si="21"/>
        <v>4987</v>
      </c>
      <c r="AC84">
        <f t="shared" si="22"/>
        <v>1673.875</v>
      </c>
      <c r="AD84">
        <f t="shared" si="23"/>
        <v>431.875</v>
      </c>
      <c r="AE84">
        <f t="shared" si="24"/>
        <v>443.625</v>
      </c>
      <c r="AF84">
        <f t="shared" si="25"/>
        <v>178.25</v>
      </c>
      <c r="AG84">
        <f t="shared" si="26"/>
        <v>0.31750041155650671</v>
      </c>
    </row>
    <row r="85" spans="1:33" x14ac:dyDescent="0.35">
      <c r="A85" t="s">
        <v>157</v>
      </c>
      <c r="B85" t="s">
        <v>158</v>
      </c>
      <c r="C85">
        <f>VLOOKUP(CONCATENATE("2001",'2001_60'!A85),aktivnepesseg!$C$2:$D$2226,2,FALSE)</f>
        <v>32211</v>
      </c>
      <c r="D85">
        <f t="shared" si="18"/>
        <v>24331</v>
      </c>
      <c r="E85">
        <f t="shared" si="19"/>
        <v>7880</v>
      </c>
      <c r="F85">
        <v>1620</v>
      </c>
      <c r="G85">
        <v>846</v>
      </c>
      <c r="H85">
        <v>1338</v>
      </c>
      <c r="I85">
        <v>1449</v>
      </c>
      <c r="J85">
        <v>3732</v>
      </c>
      <c r="K85">
        <v>1989</v>
      </c>
      <c r="L85">
        <v>1567</v>
      </c>
      <c r="M85">
        <v>1426</v>
      </c>
      <c r="N85">
        <v>1335</v>
      </c>
      <c r="O85">
        <v>1207</v>
      </c>
      <c r="P85">
        <v>4585</v>
      </c>
      <c r="Q85">
        <v>1777</v>
      </c>
      <c r="R85">
        <v>655</v>
      </c>
      <c r="S85">
        <v>688</v>
      </c>
      <c r="T85">
        <v>117</v>
      </c>
      <c r="U85">
        <f t="shared" si="17"/>
        <v>7880</v>
      </c>
      <c r="V85">
        <f t="shared" si="17"/>
        <v>1458</v>
      </c>
      <c r="W85">
        <f t="shared" si="17"/>
        <v>592.19999999999993</v>
      </c>
      <c r="X85">
        <f t="shared" si="17"/>
        <v>669</v>
      </c>
      <c r="Y85">
        <f t="shared" si="17"/>
        <v>434.7</v>
      </c>
      <c r="Z85">
        <f t="shared" si="17"/>
        <v>373.20000000000005</v>
      </c>
      <c r="AA85" s="3">
        <f t="shared" si="20"/>
        <v>0.35413678557014694</v>
      </c>
      <c r="AB85">
        <f t="shared" si="21"/>
        <v>7880</v>
      </c>
      <c r="AC85">
        <f t="shared" si="22"/>
        <v>1417.5</v>
      </c>
      <c r="AD85">
        <f t="shared" si="23"/>
        <v>528.75</v>
      </c>
      <c r="AE85">
        <f t="shared" si="24"/>
        <v>501.75</v>
      </c>
      <c r="AF85">
        <f t="shared" si="25"/>
        <v>181.125</v>
      </c>
      <c r="AG85">
        <f t="shared" si="26"/>
        <v>0.32625888671571823</v>
      </c>
    </row>
    <row r="86" spans="1:33" x14ac:dyDescent="0.35">
      <c r="A86" t="s">
        <v>159</v>
      </c>
      <c r="B86" t="s">
        <v>160</v>
      </c>
      <c r="C86">
        <f>VLOOKUP(CONCATENATE("2001",'2001_60'!A86),aktivnepesseg!$C$2:$D$2226,2,FALSE)</f>
        <v>8019</v>
      </c>
      <c r="D86">
        <f t="shared" si="18"/>
        <v>4839</v>
      </c>
      <c r="E86">
        <f t="shared" si="19"/>
        <v>3180</v>
      </c>
      <c r="F86">
        <v>345</v>
      </c>
      <c r="G86">
        <v>213</v>
      </c>
      <c r="H86">
        <v>327</v>
      </c>
      <c r="I86">
        <v>357</v>
      </c>
      <c r="J86">
        <v>930</v>
      </c>
      <c r="K86">
        <v>607</v>
      </c>
      <c r="L86">
        <v>388</v>
      </c>
      <c r="M86">
        <v>311</v>
      </c>
      <c r="N86">
        <v>269</v>
      </c>
      <c r="O86">
        <v>208</v>
      </c>
      <c r="P86">
        <v>590</v>
      </c>
      <c r="Q86">
        <v>165</v>
      </c>
      <c r="R86">
        <v>45</v>
      </c>
      <c r="S86">
        <v>81</v>
      </c>
      <c r="T86">
        <v>3</v>
      </c>
      <c r="U86">
        <f t="shared" si="17"/>
        <v>3180</v>
      </c>
      <c r="V86">
        <f t="shared" si="17"/>
        <v>310.5</v>
      </c>
      <c r="W86">
        <f t="shared" si="17"/>
        <v>149.1</v>
      </c>
      <c r="X86">
        <f t="shared" si="17"/>
        <v>163.5</v>
      </c>
      <c r="Y86">
        <f t="shared" si="17"/>
        <v>107.1</v>
      </c>
      <c r="Z86">
        <f t="shared" si="17"/>
        <v>93</v>
      </c>
      <c r="AA86" s="3">
        <f t="shared" si="20"/>
        <v>0.49921436588103252</v>
      </c>
      <c r="AB86">
        <f t="shared" si="21"/>
        <v>3180</v>
      </c>
      <c r="AC86">
        <f t="shared" si="22"/>
        <v>301.875</v>
      </c>
      <c r="AD86">
        <f t="shared" si="23"/>
        <v>133.125</v>
      </c>
      <c r="AE86">
        <f t="shared" si="24"/>
        <v>122.625</v>
      </c>
      <c r="AF86">
        <f t="shared" si="25"/>
        <v>44.625</v>
      </c>
      <c r="AG86">
        <f t="shared" si="26"/>
        <v>0.47166105499438832</v>
      </c>
    </row>
    <row r="87" spans="1:33" x14ac:dyDescent="0.35">
      <c r="A87" t="s">
        <v>161</v>
      </c>
      <c r="B87" t="s">
        <v>162</v>
      </c>
      <c r="C87">
        <f>VLOOKUP(CONCATENATE("2001",'2001_60'!A87),aktivnepesseg!$C$2:$D$2226,2,FALSE)</f>
        <v>19235</v>
      </c>
      <c r="D87">
        <f t="shared" si="18"/>
        <v>13120</v>
      </c>
      <c r="E87">
        <f t="shared" si="19"/>
        <v>6115</v>
      </c>
      <c r="F87">
        <v>1087</v>
      </c>
      <c r="G87">
        <v>542</v>
      </c>
      <c r="H87">
        <v>893</v>
      </c>
      <c r="I87">
        <v>1124</v>
      </c>
      <c r="J87">
        <v>2325</v>
      </c>
      <c r="K87">
        <v>1427</v>
      </c>
      <c r="L87">
        <v>937</v>
      </c>
      <c r="M87">
        <v>792</v>
      </c>
      <c r="N87">
        <v>667</v>
      </c>
      <c r="O87">
        <v>567</v>
      </c>
      <c r="P87">
        <v>1641</v>
      </c>
      <c r="Q87">
        <v>617</v>
      </c>
      <c r="R87">
        <v>234</v>
      </c>
      <c r="S87">
        <v>241</v>
      </c>
      <c r="T87">
        <v>26</v>
      </c>
      <c r="U87">
        <f t="shared" si="17"/>
        <v>6115</v>
      </c>
      <c r="V87">
        <f t="shared" si="17"/>
        <v>978.30000000000007</v>
      </c>
      <c r="W87">
        <f t="shared" si="17"/>
        <v>379.4</v>
      </c>
      <c r="X87">
        <f t="shared" si="17"/>
        <v>446.5</v>
      </c>
      <c r="Y87">
        <f t="shared" si="17"/>
        <v>337.2</v>
      </c>
      <c r="Z87">
        <f t="shared" si="17"/>
        <v>232.5</v>
      </c>
      <c r="AA87" s="3">
        <f t="shared" si="20"/>
        <v>0.44132570834416429</v>
      </c>
      <c r="AB87">
        <f t="shared" si="21"/>
        <v>6115</v>
      </c>
      <c r="AC87">
        <f t="shared" si="22"/>
        <v>951.125</v>
      </c>
      <c r="AD87">
        <f t="shared" si="23"/>
        <v>338.75</v>
      </c>
      <c r="AE87">
        <f t="shared" si="24"/>
        <v>334.875</v>
      </c>
      <c r="AF87">
        <f t="shared" si="25"/>
        <v>140.5</v>
      </c>
      <c r="AG87">
        <f t="shared" si="26"/>
        <v>0.40968286976865087</v>
      </c>
    </row>
    <row r="88" spans="1:33" x14ac:dyDescent="0.35">
      <c r="A88" t="s">
        <v>163</v>
      </c>
      <c r="B88" t="s">
        <v>164</v>
      </c>
      <c r="C88">
        <f>VLOOKUP(CONCATENATE("2001",'2001_60'!A88),aktivnepesseg!$C$2:$D$2226,2,FALSE)</f>
        <v>34715</v>
      </c>
      <c r="D88">
        <f t="shared" si="18"/>
        <v>27220</v>
      </c>
      <c r="E88">
        <f t="shared" si="19"/>
        <v>7495</v>
      </c>
      <c r="F88">
        <v>2361</v>
      </c>
      <c r="G88">
        <v>968</v>
      </c>
      <c r="H88">
        <v>1758</v>
      </c>
      <c r="I88">
        <v>1946</v>
      </c>
      <c r="J88">
        <v>4167</v>
      </c>
      <c r="K88">
        <v>2827</v>
      </c>
      <c r="L88">
        <v>2041</v>
      </c>
      <c r="M88">
        <v>1762</v>
      </c>
      <c r="N88">
        <v>1520</v>
      </c>
      <c r="O88">
        <v>1298</v>
      </c>
      <c r="P88">
        <v>3648</v>
      </c>
      <c r="Q88">
        <v>1479</v>
      </c>
      <c r="R88">
        <v>657</v>
      </c>
      <c r="S88">
        <v>671</v>
      </c>
      <c r="T88">
        <v>117</v>
      </c>
      <c r="U88">
        <f t="shared" si="17"/>
        <v>7495</v>
      </c>
      <c r="V88">
        <f t="shared" si="17"/>
        <v>2124.9</v>
      </c>
      <c r="W88">
        <f t="shared" si="17"/>
        <v>677.59999999999991</v>
      </c>
      <c r="X88">
        <f t="shared" si="17"/>
        <v>879</v>
      </c>
      <c r="Y88">
        <f t="shared" si="17"/>
        <v>583.79999999999995</v>
      </c>
      <c r="Z88">
        <f t="shared" si="17"/>
        <v>416.70000000000005</v>
      </c>
      <c r="AA88" s="3">
        <f t="shared" si="20"/>
        <v>0.35077056027653752</v>
      </c>
      <c r="AB88">
        <f t="shared" si="21"/>
        <v>7495</v>
      </c>
      <c r="AC88">
        <f t="shared" si="22"/>
        <v>2065.875</v>
      </c>
      <c r="AD88">
        <f t="shared" si="23"/>
        <v>605</v>
      </c>
      <c r="AE88">
        <f t="shared" si="24"/>
        <v>659.25</v>
      </c>
      <c r="AF88">
        <f t="shared" si="25"/>
        <v>243.25</v>
      </c>
      <c r="AG88">
        <f t="shared" si="26"/>
        <v>0.31883551778769986</v>
      </c>
    </row>
    <row r="89" spans="1:33" x14ac:dyDescent="0.35">
      <c r="A89" t="s">
        <v>165</v>
      </c>
      <c r="B89" t="s">
        <v>166</v>
      </c>
      <c r="C89">
        <f>VLOOKUP(CONCATENATE("2001",'2001_60'!A89),aktivnepesseg!$C$2:$D$2226,2,FALSE)</f>
        <v>13487</v>
      </c>
      <c r="D89">
        <f t="shared" si="18"/>
        <v>8120</v>
      </c>
      <c r="E89">
        <f t="shared" si="19"/>
        <v>5367</v>
      </c>
      <c r="F89">
        <v>578</v>
      </c>
      <c r="G89">
        <v>421</v>
      </c>
      <c r="H89">
        <v>661</v>
      </c>
      <c r="I89">
        <v>799</v>
      </c>
      <c r="J89">
        <v>1345</v>
      </c>
      <c r="K89">
        <v>927</v>
      </c>
      <c r="L89">
        <v>721</v>
      </c>
      <c r="M89">
        <v>536</v>
      </c>
      <c r="N89">
        <v>365</v>
      </c>
      <c r="O89">
        <v>282</v>
      </c>
      <c r="P89">
        <v>900</v>
      </c>
      <c r="Q89">
        <v>357</v>
      </c>
      <c r="R89">
        <v>115</v>
      </c>
      <c r="S89">
        <v>113</v>
      </c>
      <c r="T89">
        <v>0</v>
      </c>
      <c r="U89">
        <f t="shared" si="17"/>
        <v>5367</v>
      </c>
      <c r="V89">
        <f t="shared" si="17"/>
        <v>520.20000000000005</v>
      </c>
      <c r="W89">
        <f t="shared" si="17"/>
        <v>294.7</v>
      </c>
      <c r="X89">
        <f t="shared" si="17"/>
        <v>330.5</v>
      </c>
      <c r="Y89">
        <f t="shared" si="17"/>
        <v>239.7</v>
      </c>
      <c r="Z89">
        <f t="shared" si="17"/>
        <v>134.5</v>
      </c>
      <c r="AA89" s="3">
        <f t="shared" si="20"/>
        <v>0.51061021724623712</v>
      </c>
      <c r="AB89">
        <f t="shared" si="21"/>
        <v>5367</v>
      </c>
      <c r="AC89">
        <f t="shared" si="22"/>
        <v>505.75</v>
      </c>
      <c r="AD89">
        <f t="shared" si="23"/>
        <v>263.125</v>
      </c>
      <c r="AE89">
        <f t="shared" si="24"/>
        <v>247.875</v>
      </c>
      <c r="AF89">
        <f t="shared" si="25"/>
        <v>99.875</v>
      </c>
      <c r="AG89">
        <f t="shared" si="26"/>
        <v>0.48073144509527693</v>
      </c>
    </row>
    <row r="90" spans="1:33" x14ac:dyDescent="0.35">
      <c r="A90" s="16" t="s">
        <v>431</v>
      </c>
      <c r="B90" t="s">
        <v>168</v>
      </c>
      <c r="C90">
        <f>VLOOKUP(CONCATENATE("2001",'2001_60'!A90),aktivnepesseg!$C$2:$D$2226,2,FALSE)</f>
        <v>10206</v>
      </c>
      <c r="D90">
        <f t="shared" si="18"/>
        <v>7044</v>
      </c>
      <c r="E90">
        <f t="shared" si="19"/>
        <v>3162</v>
      </c>
      <c r="F90">
        <v>762</v>
      </c>
      <c r="G90">
        <v>319</v>
      </c>
      <c r="H90">
        <v>560</v>
      </c>
      <c r="I90">
        <v>586</v>
      </c>
      <c r="J90">
        <v>1188</v>
      </c>
      <c r="K90">
        <v>707</v>
      </c>
      <c r="L90">
        <v>528</v>
      </c>
      <c r="M90">
        <v>479</v>
      </c>
      <c r="N90">
        <v>355</v>
      </c>
      <c r="O90">
        <v>337</v>
      </c>
      <c r="P90">
        <v>761</v>
      </c>
      <c r="Q90">
        <v>243</v>
      </c>
      <c r="R90">
        <v>104</v>
      </c>
      <c r="S90">
        <v>104</v>
      </c>
      <c r="T90">
        <v>11</v>
      </c>
      <c r="U90">
        <f t="shared" si="17"/>
        <v>3162</v>
      </c>
      <c r="V90">
        <f t="shared" si="17"/>
        <v>685.80000000000007</v>
      </c>
      <c r="W90">
        <f t="shared" si="17"/>
        <v>223.29999999999998</v>
      </c>
      <c r="X90">
        <f t="shared" si="17"/>
        <v>280</v>
      </c>
      <c r="Y90">
        <f t="shared" si="17"/>
        <v>175.79999999999998</v>
      </c>
      <c r="Z90">
        <f t="shared" si="17"/>
        <v>118.80000000000001</v>
      </c>
      <c r="AA90" s="3">
        <f t="shared" si="20"/>
        <v>0.4551930237115423</v>
      </c>
      <c r="AB90">
        <f t="shared" si="21"/>
        <v>3162</v>
      </c>
      <c r="AC90">
        <f t="shared" si="22"/>
        <v>666.75</v>
      </c>
      <c r="AD90">
        <f t="shared" si="23"/>
        <v>199.375</v>
      </c>
      <c r="AE90">
        <f t="shared" si="24"/>
        <v>210</v>
      </c>
      <c r="AF90">
        <f t="shared" si="25"/>
        <v>73.25</v>
      </c>
      <c r="AG90">
        <f t="shared" si="26"/>
        <v>0.42243533215755436</v>
      </c>
    </row>
    <row r="91" spans="1:33" x14ac:dyDescent="0.35">
      <c r="A91" t="s">
        <v>169</v>
      </c>
      <c r="B91" t="s">
        <v>170</v>
      </c>
      <c r="C91">
        <f>VLOOKUP(CONCATENATE("2001",'2001_60'!A91),aktivnepesseg!$C$2:$D$2226,2,FALSE)</f>
        <v>18760</v>
      </c>
      <c r="D91">
        <f t="shared" si="18"/>
        <v>12292</v>
      </c>
      <c r="E91">
        <f t="shared" si="19"/>
        <v>6468</v>
      </c>
      <c r="F91">
        <v>1014</v>
      </c>
      <c r="G91">
        <v>456</v>
      </c>
      <c r="H91">
        <v>775</v>
      </c>
      <c r="I91">
        <v>852</v>
      </c>
      <c r="J91">
        <v>1801</v>
      </c>
      <c r="K91">
        <v>1146</v>
      </c>
      <c r="L91">
        <v>874</v>
      </c>
      <c r="M91">
        <v>976</v>
      </c>
      <c r="N91">
        <v>860</v>
      </c>
      <c r="O91">
        <v>673</v>
      </c>
      <c r="P91">
        <v>1797</v>
      </c>
      <c r="Q91">
        <v>572</v>
      </c>
      <c r="R91">
        <v>232</v>
      </c>
      <c r="S91">
        <v>232</v>
      </c>
      <c r="T91">
        <v>32</v>
      </c>
      <c r="U91">
        <f t="shared" si="17"/>
        <v>6468</v>
      </c>
      <c r="V91">
        <f t="shared" si="17"/>
        <v>912.6</v>
      </c>
      <c r="W91">
        <f t="shared" si="17"/>
        <v>319.2</v>
      </c>
      <c r="X91">
        <f t="shared" si="17"/>
        <v>387.5</v>
      </c>
      <c r="Y91">
        <f t="shared" si="17"/>
        <v>255.6</v>
      </c>
      <c r="Z91">
        <f t="shared" si="17"/>
        <v>180.10000000000002</v>
      </c>
      <c r="AA91" s="3">
        <f t="shared" si="20"/>
        <v>0.45431769722814497</v>
      </c>
      <c r="AB91">
        <f t="shared" si="21"/>
        <v>6468</v>
      </c>
      <c r="AC91">
        <f t="shared" si="22"/>
        <v>887.25</v>
      </c>
      <c r="AD91">
        <f t="shared" si="23"/>
        <v>285</v>
      </c>
      <c r="AE91">
        <f t="shared" si="24"/>
        <v>290.625</v>
      </c>
      <c r="AF91">
        <f t="shared" si="25"/>
        <v>106.5</v>
      </c>
      <c r="AG91">
        <f t="shared" si="26"/>
        <v>0.42843150319829426</v>
      </c>
    </row>
    <row r="92" spans="1:33" x14ac:dyDescent="0.35">
      <c r="A92" t="s">
        <v>171</v>
      </c>
      <c r="B92" t="s">
        <v>172</v>
      </c>
      <c r="C92">
        <f>VLOOKUP(CONCATENATE("2001",'2001_60'!A92),aktivnepesseg!$C$2:$D$2226,2,FALSE)</f>
        <v>29842</v>
      </c>
      <c r="D92">
        <f t="shared" si="18"/>
        <v>21884</v>
      </c>
      <c r="E92">
        <f t="shared" si="19"/>
        <v>7958</v>
      </c>
      <c r="F92">
        <v>1388</v>
      </c>
      <c r="G92">
        <v>685</v>
      </c>
      <c r="H92">
        <v>1180</v>
      </c>
      <c r="I92">
        <v>1299</v>
      </c>
      <c r="J92">
        <v>3164</v>
      </c>
      <c r="K92">
        <v>1709</v>
      </c>
      <c r="L92">
        <v>1344</v>
      </c>
      <c r="M92">
        <v>1525</v>
      </c>
      <c r="N92">
        <v>1508</v>
      </c>
      <c r="O92">
        <v>1251</v>
      </c>
      <c r="P92">
        <v>3802</v>
      </c>
      <c r="Q92">
        <v>1374</v>
      </c>
      <c r="R92">
        <v>649</v>
      </c>
      <c r="S92">
        <v>832</v>
      </c>
      <c r="T92">
        <v>174</v>
      </c>
      <c r="U92">
        <f t="shared" si="17"/>
        <v>7958</v>
      </c>
      <c r="V92">
        <f t="shared" si="17"/>
        <v>1249.2</v>
      </c>
      <c r="W92">
        <f t="shared" si="17"/>
        <v>479.49999999999994</v>
      </c>
      <c r="X92">
        <f t="shared" si="17"/>
        <v>590</v>
      </c>
      <c r="Y92">
        <f t="shared" si="17"/>
        <v>389.7</v>
      </c>
      <c r="Z92">
        <f t="shared" si="17"/>
        <v>316.40000000000003</v>
      </c>
      <c r="AA92" s="3">
        <f t="shared" si="20"/>
        <v>0.36803163326854771</v>
      </c>
      <c r="AB92">
        <f t="shared" si="21"/>
        <v>7958</v>
      </c>
      <c r="AC92">
        <f t="shared" si="22"/>
        <v>1214.5</v>
      </c>
      <c r="AD92">
        <f t="shared" si="23"/>
        <v>428.125</v>
      </c>
      <c r="AE92">
        <f t="shared" si="24"/>
        <v>442.5</v>
      </c>
      <c r="AF92">
        <f t="shared" si="25"/>
        <v>162.375</v>
      </c>
      <c r="AG92">
        <f t="shared" si="26"/>
        <v>0.3419844514442732</v>
      </c>
    </row>
    <row r="93" spans="1:33" x14ac:dyDescent="0.35">
      <c r="A93" t="s">
        <v>173</v>
      </c>
      <c r="B93" t="s">
        <v>174</v>
      </c>
      <c r="C93">
        <f>VLOOKUP(CONCATENATE("2001",'2001_60'!A93),aktivnepesseg!$C$2:$D$2226,2,FALSE)</f>
        <v>32885</v>
      </c>
      <c r="D93">
        <f t="shared" si="18"/>
        <v>23628</v>
      </c>
      <c r="E93">
        <f t="shared" si="19"/>
        <v>9257</v>
      </c>
      <c r="F93">
        <v>2440</v>
      </c>
      <c r="G93">
        <v>1022</v>
      </c>
      <c r="H93">
        <v>1810</v>
      </c>
      <c r="I93">
        <v>1989</v>
      </c>
      <c r="J93">
        <v>4209</v>
      </c>
      <c r="K93">
        <v>2597</v>
      </c>
      <c r="L93">
        <v>1709</v>
      </c>
      <c r="M93">
        <v>1382</v>
      </c>
      <c r="N93">
        <v>1044</v>
      </c>
      <c r="O93">
        <v>934</v>
      </c>
      <c r="P93">
        <v>2623</v>
      </c>
      <c r="Q93">
        <v>923</v>
      </c>
      <c r="R93">
        <v>394</v>
      </c>
      <c r="S93">
        <v>500</v>
      </c>
      <c r="T93">
        <v>52</v>
      </c>
      <c r="U93">
        <f t="shared" si="17"/>
        <v>9257</v>
      </c>
      <c r="V93">
        <f t="shared" si="17"/>
        <v>2196</v>
      </c>
      <c r="W93">
        <f t="shared" si="17"/>
        <v>715.4</v>
      </c>
      <c r="X93">
        <f t="shared" si="17"/>
        <v>905</v>
      </c>
      <c r="Y93">
        <f t="shared" si="17"/>
        <v>596.69999999999993</v>
      </c>
      <c r="Z93">
        <f t="shared" si="17"/>
        <v>420.90000000000003</v>
      </c>
      <c r="AA93" s="3">
        <f t="shared" si="20"/>
        <v>0.42849323399726319</v>
      </c>
      <c r="AB93">
        <f t="shared" si="21"/>
        <v>9257</v>
      </c>
      <c r="AC93">
        <f t="shared" si="22"/>
        <v>2135</v>
      </c>
      <c r="AD93">
        <f t="shared" si="23"/>
        <v>638.75</v>
      </c>
      <c r="AE93">
        <f t="shared" si="24"/>
        <v>678.75</v>
      </c>
      <c r="AF93">
        <f t="shared" si="25"/>
        <v>248.625</v>
      </c>
      <c r="AG93">
        <f t="shared" si="26"/>
        <v>0.39404363691652727</v>
      </c>
    </row>
    <row r="94" spans="1:33" x14ac:dyDescent="0.35">
      <c r="A94" t="s">
        <v>175</v>
      </c>
      <c r="B94" t="s">
        <v>176</v>
      </c>
      <c r="C94">
        <f>VLOOKUP(CONCATENATE("2001",'2001_60'!A94),aktivnepesseg!$C$2:$D$2226,2,FALSE)</f>
        <v>72398</v>
      </c>
      <c r="D94">
        <f t="shared" si="18"/>
        <v>53111</v>
      </c>
      <c r="E94">
        <f t="shared" si="19"/>
        <v>19287</v>
      </c>
      <c r="F94">
        <v>3925</v>
      </c>
      <c r="G94">
        <v>1787</v>
      </c>
      <c r="H94">
        <v>2780</v>
      </c>
      <c r="I94">
        <v>3204</v>
      </c>
      <c r="J94">
        <v>7990</v>
      </c>
      <c r="K94">
        <v>5452</v>
      </c>
      <c r="L94">
        <v>4147</v>
      </c>
      <c r="M94">
        <v>3747</v>
      </c>
      <c r="N94">
        <v>3094</v>
      </c>
      <c r="O94">
        <v>2574</v>
      </c>
      <c r="P94">
        <v>7825</v>
      </c>
      <c r="Q94">
        <v>2970</v>
      </c>
      <c r="R94">
        <v>1309</v>
      </c>
      <c r="S94">
        <v>1964</v>
      </c>
      <c r="T94">
        <v>343</v>
      </c>
      <c r="U94">
        <f t="shared" si="17"/>
        <v>19287</v>
      </c>
      <c r="V94">
        <f t="shared" si="17"/>
        <v>3532.5</v>
      </c>
      <c r="W94">
        <f t="shared" si="17"/>
        <v>1250.8999999999999</v>
      </c>
      <c r="X94">
        <f t="shared" si="17"/>
        <v>1390</v>
      </c>
      <c r="Y94">
        <f t="shared" si="17"/>
        <v>961.19999999999993</v>
      </c>
      <c r="Z94">
        <f t="shared" si="17"/>
        <v>799</v>
      </c>
      <c r="AA94" s="3">
        <f t="shared" si="20"/>
        <v>0.37598552446200173</v>
      </c>
      <c r="AB94">
        <f t="shared" si="21"/>
        <v>19287</v>
      </c>
      <c r="AC94">
        <f t="shared" si="22"/>
        <v>3434.375</v>
      </c>
      <c r="AD94">
        <f t="shared" si="23"/>
        <v>1116.875</v>
      </c>
      <c r="AE94">
        <f t="shared" si="24"/>
        <v>1042.5</v>
      </c>
      <c r="AF94">
        <f t="shared" si="25"/>
        <v>400.5</v>
      </c>
      <c r="AG94">
        <f t="shared" si="26"/>
        <v>0.34919818227022847</v>
      </c>
    </row>
    <row r="95" spans="1:33" x14ac:dyDescent="0.35">
      <c r="A95" t="s">
        <v>177</v>
      </c>
      <c r="B95" t="s">
        <v>178</v>
      </c>
      <c r="C95">
        <f>VLOOKUP(CONCATENATE("2001",'2001_60'!A95),aktivnepesseg!$C$2:$D$2226,2,FALSE)</f>
        <v>14919</v>
      </c>
      <c r="D95">
        <f t="shared" si="18"/>
        <v>12798</v>
      </c>
      <c r="E95">
        <f t="shared" si="19"/>
        <v>2121</v>
      </c>
      <c r="F95">
        <v>814</v>
      </c>
      <c r="G95">
        <v>318</v>
      </c>
      <c r="H95">
        <v>615</v>
      </c>
      <c r="I95">
        <v>801</v>
      </c>
      <c r="J95">
        <v>2057</v>
      </c>
      <c r="K95">
        <v>1242</v>
      </c>
      <c r="L95">
        <v>973</v>
      </c>
      <c r="M95">
        <v>965</v>
      </c>
      <c r="N95">
        <v>960</v>
      </c>
      <c r="O95">
        <v>794</v>
      </c>
      <c r="P95">
        <v>2107</v>
      </c>
      <c r="Q95">
        <v>639</v>
      </c>
      <c r="R95">
        <v>254</v>
      </c>
      <c r="S95">
        <v>231</v>
      </c>
      <c r="T95">
        <v>28</v>
      </c>
      <c r="U95">
        <f t="shared" si="17"/>
        <v>2121</v>
      </c>
      <c r="V95">
        <f t="shared" si="17"/>
        <v>732.6</v>
      </c>
      <c r="W95">
        <f t="shared" si="17"/>
        <v>222.6</v>
      </c>
      <c r="X95">
        <f t="shared" si="17"/>
        <v>307.5</v>
      </c>
      <c r="Y95">
        <f t="shared" si="17"/>
        <v>240.29999999999998</v>
      </c>
      <c r="Z95">
        <f t="shared" si="17"/>
        <v>205.70000000000002</v>
      </c>
      <c r="AA95" s="3">
        <f t="shared" si="20"/>
        <v>0.25669951069106506</v>
      </c>
      <c r="AB95">
        <f t="shared" si="21"/>
        <v>2121</v>
      </c>
      <c r="AC95">
        <f t="shared" si="22"/>
        <v>712.25</v>
      </c>
      <c r="AD95">
        <f t="shared" si="23"/>
        <v>198.75</v>
      </c>
      <c r="AE95">
        <f t="shared" si="24"/>
        <v>230.625</v>
      </c>
      <c r="AF95">
        <f t="shared" si="25"/>
        <v>100.125</v>
      </c>
      <c r="AG95">
        <f t="shared" si="26"/>
        <v>0.22540049601179704</v>
      </c>
    </row>
    <row r="96" spans="1:33" x14ac:dyDescent="0.35">
      <c r="A96" t="s">
        <v>179</v>
      </c>
      <c r="B96" t="s">
        <v>180</v>
      </c>
      <c r="C96">
        <f>VLOOKUP(CONCATENATE("2001",'2001_60'!A96),aktivnepesseg!$C$2:$D$2226,2,FALSE)</f>
        <v>25831</v>
      </c>
      <c r="D96">
        <f t="shared" si="18"/>
        <v>18490</v>
      </c>
      <c r="E96">
        <f t="shared" si="19"/>
        <v>7341</v>
      </c>
      <c r="F96">
        <v>1267</v>
      </c>
      <c r="G96">
        <v>671</v>
      </c>
      <c r="H96">
        <v>1198</v>
      </c>
      <c r="I96">
        <v>1331</v>
      </c>
      <c r="J96">
        <v>2841</v>
      </c>
      <c r="K96">
        <v>2085</v>
      </c>
      <c r="L96">
        <v>1569</v>
      </c>
      <c r="M96">
        <v>1422</v>
      </c>
      <c r="N96">
        <v>1207</v>
      </c>
      <c r="O96">
        <v>922</v>
      </c>
      <c r="P96">
        <v>2292</v>
      </c>
      <c r="Q96">
        <v>840</v>
      </c>
      <c r="R96">
        <v>375</v>
      </c>
      <c r="S96">
        <v>420</v>
      </c>
      <c r="T96">
        <v>50</v>
      </c>
      <c r="U96">
        <f t="shared" si="17"/>
        <v>7341</v>
      </c>
      <c r="V96">
        <f t="shared" si="17"/>
        <v>1140.3</v>
      </c>
      <c r="W96">
        <f t="shared" si="17"/>
        <v>469.7</v>
      </c>
      <c r="X96">
        <f t="shared" si="17"/>
        <v>599</v>
      </c>
      <c r="Y96">
        <f t="shared" si="17"/>
        <v>399.3</v>
      </c>
      <c r="Z96">
        <f t="shared" si="17"/>
        <v>284.10000000000002</v>
      </c>
      <c r="AA96" s="3">
        <f t="shared" si="20"/>
        <v>0.39616739576477872</v>
      </c>
      <c r="AB96">
        <f t="shared" si="21"/>
        <v>7341</v>
      </c>
      <c r="AC96">
        <f t="shared" si="22"/>
        <v>1108.625</v>
      </c>
      <c r="AD96">
        <f t="shared" si="23"/>
        <v>419.375</v>
      </c>
      <c r="AE96">
        <f t="shared" si="24"/>
        <v>449.25</v>
      </c>
      <c r="AF96">
        <f t="shared" si="25"/>
        <v>166.375</v>
      </c>
      <c r="AG96">
        <f t="shared" si="26"/>
        <v>0.36717993883318495</v>
      </c>
    </row>
    <row r="97" spans="1:33" x14ac:dyDescent="0.35">
      <c r="A97" t="s">
        <v>181</v>
      </c>
      <c r="B97" t="s">
        <v>182</v>
      </c>
      <c r="C97">
        <f>VLOOKUP(CONCATENATE("2001",'2001_60'!A97),aktivnepesseg!$C$2:$D$2226,2,FALSE)</f>
        <v>41322</v>
      </c>
      <c r="D97">
        <f t="shared" si="18"/>
        <v>27063</v>
      </c>
      <c r="E97">
        <f t="shared" si="19"/>
        <v>14259</v>
      </c>
      <c r="F97">
        <v>1711</v>
      </c>
      <c r="G97">
        <v>1135</v>
      </c>
      <c r="H97">
        <v>1657</v>
      </c>
      <c r="I97">
        <v>1758</v>
      </c>
      <c r="J97">
        <v>3216</v>
      </c>
      <c r="K97">
        <v>2566</v>
      </c>
      <c r="L97">
        <v>1862</v>
      </c>
      <c r="M97">
        <v>1502</v>
      </c>
      <c r="N97">
        <v>1468</v>
      </c>
      <c r="O97">
        <v>1307</v>
      </c>
      <c r="P97">
        <v>4550</v>
      </c>
      <c r="Q97">
        <v>2135</v>
      </c>
      <c r="R97">
        <v>980</v>
      </c>
      <c r="S97">
        <v>1076</v>
      </c>
      <c r="T97">
        <v>140</v>
      </c>
      <c r="U97">
        <f t="shared" si="17"/>
        <v>14259</v>
      </c>
      <c r="V97">
        <f t="shared" si="17"/>
        <v>1539.9</v>
      </c>
      <c r="W97">
        <f t="shared" si="17"/>
        <v>794.5</v>
      </c>
      <c r="X97">
        <f t="shared" si="17"/>
        <v>828.5</v>
      </c>
      <c r="Y97">
        <f t="shared" si="17"/>
        <v>527.4</v>
      </c>
      <c r="Z97">
        <f t="shared" si="17"/>
        <v>321.60000000000002</v>
      </c>
      <c r="AA97" s="3">
        <f t="shared" si="20"/>
        <v>0.44215914040946713</v>
      </c>
      <c r="AB97">
        <f t="shared" si="21"/>
        <v>14259</v>
      </c>
      <c r="AC97">
        <f t="shared" si="22"/>
        <v>1497.125</v>
      </c>
      <c r="AD97">
        <f t="shared" si="23"/>
        <v>709.375</v>
      </c>
      <c r="AE97">
        <f t="shared" si="24"/>
        <v>621.375</v>
      </c>
      <c r="AF97">
        <f t="shared" si="25"/>
        <v>219.75</v>
      </c>
      <c r="AG97">
        <f t="shared" si="26"/>
        <v>0.41882350805866125</v>
      </c>
    </row>
    <row r="98" spans="1:33" x14ac:dyDescent="0.35">
      <c r="A98" t="s">
        <v>183</v>
      </c>
      <c r="B98" t="s">
        <v>184</v>
      </c>
      <c r="C98">
        <f>VLOOKUP(CONCATENATE("2001",'2001_60'!A98),aktivnepesseg!$C$2:$D$2226,2,FALSE)</f>
        <v>88778</v>
      </c>
      <c r="D98">
        <f t="shared" si="18"/>
        <v>68958</v>
      </c>
      <c r="E98">
        <f t="shared" si="19"/>
        <v>19820</v>
      </c>
      <c r="F98">
        <v>6226</v>
      </c>
      <c r="G98">
        <v>2240</v>
      </c>
      <c r="H98">
        <v>3583</v>
      </c>
      <c r="I98">
        <v>3789</v>
      </c>
      <c r="J98">
        <v>11221</v>
      </c>
      <c r="K98">
        <v>5732</v>
      </c>
      <c r="L98">
        <v>4094</v>
      </c>
      <c r="M98">
        <v>3918</v>
      </c>
      <c r="N98">
        <v>3611</v>
      </c>
      <c r="O98">
        <v>3188</v>
      </c>
      <c r="P98">
        <v>11023</v>
      </c>
      <c r="Q98">
        <v>4442</v>
      </c>
      <c r="R98">
        <v>2244</v>
      </c>
      <c r="S98">
        <v>3046</v>
      </c>
      <c r="T98">
        <v>601</v>
      </c>
      <c r="U98">
        <f t="shared" si="17"/>
        <v>19820</v>
      </c>
      <c r="V98">
        <f t="shared" si="17"/>
        <v>5603.4000000000005</v>
      </c>
      <c r="W98">
        <f t="shared" si="17"/>
        <v>1568</v>
      </c>
      <c r="X98">
        <f t="shared" si="17"/>
        <v>1791.5</v>
      </c>
      <c r="Y98">
        <f t="shared" si="17"/>
        <v>1136.7</v>
      </c>
      <c r="Z98">
        <f t="shared" si="17"/>
        <v>1122.1000000000001</v>
      </c>
      <c r="AA98" s="3">
        <f t="shared" si="20"/>
        <v>0.34965532001171462</v>
      </c>
      <c r="AB98">
        <f t="shared" si="21"/>
        <v>19820</v>
      </c>
      <c r="AC98">
        <f t="shared" si="22"/>
        <v>5447.75</v>
      </c>
      <c r="AD98">
        <f t="shared" si="23"/>
        <v>1400</v>
      </c>
      <c r="AE98">
        <f t="shared" si="24"/>
        <v>1343.625</v>
      </c>
      <c r="AF98">
        <f t="shared" si="25"/>
        <v>473.625</v>
      </c>
      <c r="AG98">
        <f t="shared" si="26"/>
        <v>0.32085651850683727</v>
      </c>
    </row>
    <row r="99" spans="1:33" x14ac:dyDescent="0.35">
      <c r="A99" t="s">
        <v>185</v>
      </c>
      <c r="B99" t="s">
        <v>186</v>
      </c>
      <c r="C99">
        <f>VLOOKUP(CONCATENATE("2001",'2001_60'!A99),aktivnepesseg!$C$2:$D$2226,2,FALSE)</f>
        <v>12446</v>
      </c>
      <c r="D99">
        <f t="shared" si="18"/>
        <v>7297</v>
      </c>
      <c r="E99">
        <f t="shared" si="19"/>
        <v>5149</v>
      </c>
      <c r="F99">
        <v>491</v>
      </c>
      <c r="G99">
        <v>371</v>
      </c>
      <c r="H99">
        <v>557</v>
      </c>
      <c r="I99">
        <v>655</v>
      </c>
      <c r="J99">
        <v>1038</v>
      </c>
      <c r="K99">
        <v>785</v>
      </c>
      <c r="L99">
        <v>649</v>
      </c>
      <c r="M99">
        <v>524</v>
      </c>
      <c r="N99">
        <v>454</v>
      </c>
      <c r="O99">
        <v>295</v>
      </c>
      <c r="P99">
        <v>914</v>
      </c>
      <c r="Q99">
        <v>332</v>
      </c>
      <c r="R99">
        <v>113</v>
      </c>
      <c r="S99">
        <v>116</v>
      </c>
      <c r="T99">
        <v>3</v>
      </c>
      <c r="U99">
        <f t="shared" si="17"/>
        <v>5149</v>
      </c>
      <c r="V99">
        <f t="shared" si="17"/>
        <v>441.90000000000003</v>
      </c>
      <c r="W99">
        <f t="shared" si="17"/>
        <v>259.7</v>
      </c>
      <c r="X99">
        <f t="shared" si="17"/>
        <v>278.5</v>
      </c>
      <c r="Y99">
        <f t="shared" si="17"/>
        <v>196.5</v>
      </c>
      <c r="Z99">
        <f t="shared" si="17"/>
        <v>103.80000000000001</v>
      </c>
      <c r="AA99" s="3">
        <f t="shared" si="20"/>
        <v>0.5165836413305479</v>
      </c>
      <c r="AB99">
        <f t="shared" si="21"/>
        <v>5149</v>
      </c>
      <c r="AC99">
        <f t="shared" si="22"/>
        <v>429.625</v>
      </c>
      <c r="AD99">
        <f t="shared" si="23"/>
        <v>231.875</v>
      </c>
      <c r="AE99">
        <f t="shared" si="24"/>
        <v>208.875</v>
      </c>
      <c r="AF99">
        <f t="shared" si="25"/>
        <v>81.875</v>
      </c>
      <c r="AG99">
        <f t="shared" si="26"/>
        <v>0.49021774063956292</v>
      </c>
    </row>
    <row r="100" spans="1:33" x14ac:dyDescent="0.35">
      <c r="A100" t="s">
        <v>187</v>
      </c>
      <c r="B100" t="s">
        <v>188</v>
      </c>
      <c r="C100">
        <f>VLOOKUP(CONCATENATE("2001",'2001_60'!A100),aktivnepesseg!$C$2:$D$2226,2,FALSE)</f>
        <v>28276</v>
      </c>
      <c r="D100">
        <f t="shared" si="18"/>
        <v>22570</v>
      </c>
      <c r="E100">
        <f t="shared" si="19"/>
        <v>5706</v>
      </c>
      <c r="F100">
        <v>2181</v>
      </c>
      <c r="G100">
        <v>803</v>
      </c>
      <c r="H100">
        <v>1401</v>
      </c>
      <c r="I100">
        <v>1594</v>
      </c>
      <c r="J100">
        <v>4380</v>
      </c>
      <c r="K100">
        <v>1901</v>
      </c>
      <c r="L100">
        <v>1609</v>
      </c>
      <c r="M100">
        <v>1535</v>
      </c>
      <c r="N100">
        <v>1280</v>
      </c>
      <c r="O100">
        <v>1028</v>
      </c>
      <c r="P100">
        <v>2631</v>
      </c>
      <c r="Q100">
        <v>1006</v>
      </c>
      <c r="R100">
        <v>481</v>
      </c>
      <c r="S100">
        <v>608</v>
      </c>
      <c r="T100">
        <v>132</v>
      </c>
      <c r="U100">
        <f t="shared" si="17"/>
        <v>5706</v>
      </c>
      <c r="V100">
        <f t="shared" si="17"/>
        <v>1962.9</v>
      </c>
      <c r="W100">
        <f t="shared" si="17"/>
        <v>562.09999999999991</v>
      </c>
      <c r="X100">
        <f t="shared" si="17"/>
        <v>700.5</v>
      </c>
      <c r="Y100">
        <f t="shared" si="17"/>
        <v>478.2</v>
      </c>
      <c r="Z100">
        <f t="shared" si="17"/>
        <v>438</v>
      </c>
      <c r="AA100" s="3">
        <f t="shared" si="20"/>
        <v>0.34827061819210642</v>
      </c>
      <c r="AB100">
        <f t="shared" si="21"/>
        <v>5706</v>
      </c>
      <c r="AC100">
        <f t="shared" si="22"/>
        <v>1908.375</v>
      </c>
      <c r="AD100">
        <f t="shared" si="23"/>
        <v>501.875</v>
      </c>
      <c r="AE100">
        <f t="shared" si="24"/>
        <v>525.375</v>
      </c>
      <c r="AF100">
        <f t="shared" si="25"/>
        <v>199.25</v>
      </c>
      <c r="AG100">
        <f t="shared" si="26"/>
        <v>0.31266356627528646</v>
      </c>
    </row>
    <row r="101" spans="1:33" x14ac:dyDescent="0.35">
      <c r="A101" t="s">
        <v>189</v>
      </c>
      <c r="B101" t="s">
        <v>190</v>
      </c>
      <c r="C101">
        <f>VLOOKUP(CONCATENATE("2001",'2001_60'!A101),aktivnepesseg!$C$2:$D$2226,2,FALSE)</f>
        <v>12088</v>
      </c>
      <c r="D101">
        <f t="shared" si="18"/>
        <v>9618</v>
      </c>
      <c r="E101">
        <f t="shared" si="19"/>
        <v>2470</v>
      </c>
      <c r="F101">
        <v>461</v>
      </c>
      <c r="G101">
        <v>228</v>
      </c>
      <c r="H101">
        <v>408</v>
      </c>
      <c r="I101">
        <v>470</v>
      </c>
      <c r="J101">
        <v>1142</v>
      </c>
      <c r="K101">
        <v>780</v>
      </c>
      <c r="L101">
        <v>638</v>
      </c>
      <c r="M101">
        <v>685</v>
      </c>
      <c r="N101">
        <v>693</v>
      </c>
      <c r="O101">
        <v>759</v>
      </c>
      <c r="P101">
        <v>2322</v>
      </c>
      <c r="Q101">
        <v>572</v>
      </c>
      <c r="R101">
        <v>247</v>
      </c>
      <c r="S101">
        <v>205</v>
      </c>
      <c r="T101">
        <v>8</v>
      </c>
      <c r="U101">
        <f t="shared" si="17"/>
        <v>2470</v>
      </c>
      <c r="V101">
        <f t="shared" si="17"/>
        <v>414.90000000000003</v>
      </c>
      <c r="W101">
        <f t="shared" si="17"/>
        <v>159.6</v>
      </c>
      <c r="X101">
        <f t="shared" si="17"/>
        <v>204</v>
      </c>
      <c r="Y101">
        <f t="shared" si="17"/>
        <v>141</v>
      </c>
      <c r="Z101">
        <f t="shared" si="17"/>
        <v>114.2</v>
      </c>
      <c r="AA101" s="3">
        <f t="shared" si="20"/>
        <v>0.28984943745863667</v>
      </c>
      <c r="AB101">
        <f t="shared" si="21"/>
        <v>2470</v>
      </c>
      <c r="AC101">
        <f t="shared" si="22"/>
        <v>403.375</v>
      </c>
      <c r="AD101">
        <f t="shared" si="23"/>
        <v>142.5</v>
      </c>
      <c r="AE101">
        <f t="shared" si="24"/>
        <v>153</v>
      </c>
      <c r="AF101">
        <f t="shared" si="25"/>
        <v>58.75</v>
      </c>
      <c r="AG101">
        <f t="shared" si="26"/>
        <v>0.26701067174056914</v>
      </c>
    </row>
    <row r="102" spans="1:33" x14ac:dyDescent="0.35">
      <c r="A102" t="s">
        <v>191</v>
      </c>
      <c r="B102" t="s">
        <v>192</v>
      </c>
      <c r="C102">
        <f>VLOOKUP(CONCATENATE("2001",'2001_60'!A102),aktivnepesseg!$C$2:$D$2226,2,FALSE)</f>
        <v>32874</v>
      </c>
      <c r="D102">
        <f t="shared" si="18"/>
        <v>23721</v>
      </c>
      <c r="E102">
        <f t="shared" si="19"/>
        <v>9153</v>
      </c>
      <c r="F102">
        <v>4188</v>
      </c>
      <c r="G102">
        <v>1090</v>
      </c>
      <c r="H102">
        <v>2187</v>
      </c>
      <c r="I102">
        <v>2030</v>
      </c>
      <c r="J102">
        <v>4986</v>
      </c>
      <c r="K102">
        <v>2197</v>
      </c>
      <c r="L102">
        <v>1310</v>
      </c>
      <c r="M102">
        <v>1075</v>
      </c>
      <c r="N102">
        <v>785</v>
      </c>
      <c r="O102">
        <v>637</v>
      </c>
      <c r="P102">
        <v>1911</v>
      </c>
      <c r="Q102">
        <v>690</v>
      </c>
      <c r="R102">
        <v>289</v>
      </c>
      <c r="S102">
        <v>311</v>
      </c>
      <c r="T102">
        <v>35</v>
      </c>
      <c r="U102">
        <f t="shared" si="17"/>
        <v>9153</v>
      </c>
      <c r="V102">
        <f t="shared" si="17"/>
        <v>3769.2000000000003</v>
      </c>
      <c r="W102">
        <f t="shared" si="17"/>
        <v>763</v>
      </c>
      <c r="X102">
        <f t="shared" si="17"/>
        <v>1093.5</v>
      </c>
      <c r="Y102">
        <f t="shared" si="17"/>
        <v>609</v>
      </c>
      <c r="Z102">
        <f t="shared" si="17"/>
        <v>498.6</v>
      </c>
      <c r="AA102" s="3">
        <f t="shared" si="20"/>
        <v>0.48324815963983697</v>
      </c>
      <c r="AB102">
        <f t="shared" si="21"/>
        <v>9153</v>
      </c>
      <c r="AC102">
        <f t="shared" si="22"/>
        <v>3664.5</v>
      </c>
      <c r="AD102">
        <f t="shared" si="23"/>
        <v>681.25</v>
      </c>
      <c r="AE102">
        <f t="shared" si="24"/>
        <v>820.125</v>
      </c>
      <c r="AF102">
        <f t="shared" si="25"/>
        <v>253.75</v>
      </c>
      <c r="AG102">
        <f t="shared" si="26"/>
        <v>0.44328724828131655</v>
      </c>
    </row>
    <row r="103" spans="1:33" x14ac:dyDescent="0.35">
      <c r="A103" t="s">
        <v>193</v>
      </c>
      <c r="B103" t="s">
        <v>194</v>
      </c>
      <c r="C103">
        <f>VLOOKUP(CONCATENATE("2001",'2001_60'!A103),aktivnepesseg!$C$2:$D$2226,2,FALSE)</f>
        <v>23247</v>
      </c>
      <c r="D103">
        <f t="shared" si="18"/>
        <v>17774</v>
      </c>
      <c r="E103">
        <f t="shared" si="19"/>
        <v>5473</v>
      </c>
      <c r="F103">
        <v>2291</v>
      </c>
      <c r="G103">
        <v>641</v>
      </c>
      <c r="H103">
        <v>1176</v>
      </c>
      <c r="I103">
        <v>1134</v>
      </c>
      <c r="J103">
        <v>2602</v>
      </c>
      <c r="K103">
        <v>1755</v>
      </c>
      <c r="L103">
        <v>1193</v>
      </c>
      <c r="M103">
        <v>1140</v>
      </c>
      <c r="N103">
        <v>1043</v>
      </c>
      <c r="O103">
        <v>779</v>
      </c>
      <c r="P103">
        <v>2415</v>
      </c>
      <c r="Q103">
        <v>820</v>
      </c>
      <c r="R103">
        <v>332</v>
      </c>
      <c r="S103">
        <v>401</v>
      </c>
      <c r="T103">
        <v>52</v>
      </c>
      <c r="U103">
        <f t="shared" si="17"/>
        <v>5473</v>
      </c>
      <c r="V103">
        <f t="shared" si="17"/>
        <v>2061.9</v>
      </c>
      <c r="W103">
        <f t="shared" si="17"/>
        <v>448.7</v>
      </c>
      <c r="X103">
        <f t="shared" si="17"/>
        <v>588</v>
      </c>
      <c r="Y103">
        <f t="shared" si="17"/>
        <v>340.2</v>
      </c>
      <c r="Z103">
        <f t="shared" si="17"/>
        <v>260.2</v>
      </c>
      <c r="AA103" s="3">
        <f t="shared" si="20"/>
        <v>0.3945455327569149</v>
      </c>
      <c r="AB103">
        <f t="shared" si="21"/>
        <v>5473</v>
      </c>
      <c r="AC103">
        <f t="shared" si="22"/>
        <v>2004.625</v>
      </c>
      <c r="AD103">
        <f t="shared" si="23"/>
        <v>400.625</v>
      </c>
      <c r="AE103">
        <f t="shared" si="24"/>
        <v>441</v>
      </c>
      <c r="AF103">
        <f t="shared" si="25"/>
        <v>141.75</v>
      </c>
      <c r="AG103">
        <f t="shared" si="26"/>
        <v>0.36396094119671357</v>
      </c>
    </row>
    <row r="104" spans="1:33" x14ac:dyDescent="0.35">
      <c r="A104" t="s">
        <v>195</v>
      </c>
      <c r="B104" t="s">
        <v>196</v>
      </c>
      <c r="C104">
        <f>VLOOKUP(CONCATENATE("2001",'2001_60'!A104),aktivnepesseg!$C$2:$D$2226,2,FALSE)</f>
        <v>27406</v>
      </c>
      <c r="D104">
        <f t="shared" si="18"/>
        <v>19677</v>
      </c>
      <c r="E104">
        <f t="shared" si="19"/>
        <v>7729</v>
      </c>
      <c r="F104">
        <v>1713</v>
      </c>
      <c r="G104">
        <v>664</v>
      </c>
      <c r="H104">
        <v>1280</v>
      </c>
      <c r="I104">
        <v>1336</v>
      </c>
      <c r="J104">
        <v>3303</v>
      </c>
      <c r="K104">
        <v>2029</v>
      </c>
      <c r="L104">
        <v>1422</v>
      </c>
      <c r="M104">
        <v>1064</v>
      </c>
      <c r="N104">
        <v>951</v>
      </c>
      <c r="O104">
        <v>781</v>
      </c>
      <c r="P104">
        <v>2880</v>
      </c>
      <c r="Q104">
        <v>1132</v>
      </c>
      <c r="R104">
        <v>510</v>
      </c>
      <c r="S104">
        <v>536</v>
      </c>
      <c r="T104">
        <v>76</v>
      </c>
      <c r="U104">
        <f t="shared" ref="U104:Z135" si="27">E104*E$5</f>
        <v>7729</v>
      </c>
      <c r="V104">
        <f t="shared" si="27"/>
        <v>1541.7</v>
      </c>
      <c r="W104">
        <f t="shared" si="27"/>
        <v>464.79999999999995</v>
      </c>
      <c r="X104">
        <f t="shared" si="27"/>
        <v>640</v>
      </c>
      <c r="Y104">
        <f t="shared" si="27"/>
        <v>400.8</v>
      </c>
      <c r="Z104">
        <f t="shared" si="27"/>
        <v>330.3</v>
      </c>
      <c r="AA104" s="3">
        <f t="shared" si="20"/>
        <v>0.40526162154272782</v>
      </c>
      <c r="AB104">
        <f t="shared" si="21"/>
        <v>7729</v>
      </c>
      <c r="AC104">
        <f t="shared" si="22"/>
        <v>1498.875</v>
      </c>
      <c r="AD104">
        <f t="shared" si="23"/>
        <v>415</v>
      </c>
      <c r="AE104">
        <f t="shared" si="24"/>
        <v>480</v>
      </c>
      <c r="AF104">
        <f t="shared" si="25"/>
        <v>167</v>
      </c>
      <c r="AG104">
        <f t="shared" si="26"/>
        <v>0.37546066554769031</v>
      </c>
    </row>
    <row r="105" spans="1:33" x14ac:dyDescent="0.35">
      <c r="A105" t="s">
        <v>197</v>
      </c>
      <c r="B105" t="s">
        <v>198</v>
      </c>
      <c r="C105">
        <f>VLOOKUP(CONCATENATE("2001",'2001_60'!A105),aktivnepesseg!$C$2:$D$2226,2,FALSE)</f>
        <v>11424</v>
      </c>
      <c r="D105">
        <f t="shared" si="18"/>
        <v>8682</v>
      </c>
      <c r="E105">
        <f t="shared" si="19"/>
        <v>2742</v>
      </c>
      <c r="F105">
        <v>1813</v>
      </c>
      <c r="G105">
        <v>375</v>
      </c>
      <c r="H105">
        <v>626</v>
      </c>
      <c r="I105">
        <v>618</v>
      </c>
      <c r="J105">
        <v>1462</v>
      </c>
      <c r="K105">
        <v>784</v>
      </c>
      <c r="L105">
        <v>508</v>
      </c>
      <c r="M105">
        <v>404</v>
      </c>
      <c r="N105">
        <v>314</v>
      </c>
      <c r="O105">
        <v>270</v>
      </c>
      <c r="P105">
        <v>822</v>
      </c>
      <c r="Q105">
        <v>357</v>
      </c>
      <c r="R105">
        <v>156</v>
      </c>
      <c r="S105">
        <v>151</v>
      </c>
      <c r="T105">
        <v>22</v>
      </c>
      <c r="U105">
        <f t="shared" si="27"/>
        <v>2742</v>
      </c>
      <c r="V105">
        <f t="shared" si="27"/>
        <v>1631.7</v>
      </c>
      <c r="W105">
        <f t="shared" si="27"/>
        <v>262.5</v>
      </c>
      <c r="X105">
        <f t="shared" si="27"/>
        <v>313</v>
      </c>
      <c r="Y105">
        <f t="shared" si="27"/>
        <v>185.4</v>
      </c>
      <c r="Z105">
        <f t="shared" si="27"/>
        <v>146.20000000000002</v>
      </c>
      <c r="AA105" s="3">
        <f t="shared" si="20"/>
        <v>0.46225490196078423</v>
      </c>
      <c r="AB105">
        <f t="shared" si="21"/>
        <v>2742</v>
      </c>
      <c r="AC105">
        <f t="shared" si="22"/>
        <v>1586.375</v>
      </c>
      <c r="AD105">
        <f t="shared" si="23"/>
        <v>234.375</v>
      </c>
      <c r="AE105">
        <f t="shared" si="24"/>
        <v>234.75</v>
      </c>
      <c r="AF105">
        <f t="shared" si="25"/>
        <v>77.25</v>
      </c>
      <c r="AG105">
        <f t="shared" si="26"/>
        <v>0.42671130952380953</v>
      </c>
    </row>
    <row r="106" spans="1:33" x14ac:dyDescent="0.35">
      <c r="A106" t="s">
        <v>199</v>
      </c>
      <c r="B106" t="s">
        <v>200</v>
      </c>
      <c r="C106">
        <f>VLOOKUP(CONCATENATE("2001",'2001_60'!A106),aktivnepesseg!$C$2:$D$2226,2,FALSE)</f>
        <v>10676</v>
      </c>
      <c r="D106">
        <f t="shared" si="18"/>
        <v>7318</v>
      </c>
      <c r="E106">
        <f t="shared" si="19"/>
        <v>3358</v>
      </c>
      <c r="F106">
        <v>1415</v>
      </c>
      <c r="G106">
        <v>355</v>
      </c>
      <c r="H106">
        <v>598</v>
      </c>
      <c r="I106">
        <v>712</v>
      </c>
      <c r="J106">
        <v>1243</v>
      </c>
      <c r="K106">
        <v>626</v>
      </c>
      <c r="L106">
        <v>477</v>
      </c>
      <c r="M106">
        <v>332</v>
      </c>
      <c r="N106">
        <v>278</v>
      </c>
      <c r="O106">
        <v>252</v>
      </c>
      <c r="P106">
        <v>667</v>
      </c>
      <c r="Q106">
        <v>200</v>
      </c>
      <c r="R106">
        <v>78</v>
      </c>
      <c r="S106">
        <v>82</v>
      </c>
      <c r="T106">
        <v>3</v>
      </c>
      <c r="U106">
        <f t="shared" si="27"/>
        <v>3358</v>
      </c>
      <c r="V106">
        <f t="shared" si="27"/>
        <v>1273.5</v>
      </c>
      <c r="W106">
        <f t="shared" si="27"/>
        <v>248.49999999999997</v>
      </c>
      <c r="X106">
        <f t="shared" si="27"/>
        <v>299</v>
      </c>
      <c r="Y106">
        <f t="shared" si="27"/>
        <v>213.6</v>
      </c>
      <c r="Z106">
        <f t="shared" si="27"/>
        <v>124.30000000000001</v>
      </c>
      <c r="AA106" s="3">
        <f t="shared" si="20"/>
        <v>0.51675721243911588</v>
      </c>
      <c r="AB106">
        <f t="shared" si="21"/>
        <v>3358</v>
      </c>
      <c r="AC106">
        <f t="shared" si="22"/>
        <v>1238.125</v>
      </c>
      <c r="AD106">
        <f t="shared" si="23"/>
        <v>221.875</v>
      </c>
      <c r="AE106">
        <f t="shared" si="24"/>
        <v>224.25</v>
      </c>
      <c r="AF106">
        <f t="shared" si="25"/>
        <v>89</v>
      </c>
      <c r="AG106">
        <f t="shared" si="26"/>
        <v>0.48063413263394528</v>
      </c>
    </row>
    <row r="107" spans="1:33" x14ac:dyDescent="0.35">
      <c r="A107" t="s">
        <v>201</v>
      </c>
      <c r="B107" t="s">
        <v>202</v>
      </c>
      <c r="C107">
        <f>VLOOKUP(CONCATENATE("2001",'2001_60'!A107),aktivnepesseg!$C$2:$D$2226,2,FALSE)</f>
        <v>32935</v>
      </c>
      <c r="D107">
        <f t="shared" si="18"/>
        <v>19910</v>
      </c>
      <c r="E107">
        <f t="shared" si="19"/>
        <v>13025</v>
      </c>
      <c r="F107">
        <v>1248</v>
      </c>
      <c r="G107">
        <v>788</v>
      </c>
      <c r="H107">
        <v>1336</v>
      </c>
      <c r="I107">
        <v>1472</v>
      </c>
      <c r="J107">
        <v>2798</v>
      </c>
      <c r="K107">
        <v>2144</v>
      </c>
      <c r="L107">
        <v>1733</v>
      </c>
      <c r="M107">
        <v>1321</v>
      </c>
      <c r="N107">
        <v>1089</v>
      </c>
      <c r="O107">
        <v>988</v>
      </c>
      <c r="P107">
        <v>3150</v>
      </c>
      <c r="Q107">
        <v>1057</v>
      </c>
      <c r="R107">
        <v>368</v>
      </c>
      <c r="S107">
        <v>371</v>
      </c>
      <c r="T107">
        <v>47</v>
      </c>
      <c r="U107">
        <f t="shared" si="27"/>
        <v>13025</v>
      </c>
      <c r="V107">
        <f t="shared" si="27"/>
        <v>1123.2</v>
      </c>
      <c r="W107">
        <f t="shared" si="27"/>
        <v>551.59999999999991</v>
      </c>
      <c r="X107">
        <f t="shared" si="27"/>
        <v>668</v>
      </c>
      <c r="Y107">
        <f t="shared" si="27"/>
        <v>441.59999999999997</v>
      </c>
      <c r="Z107">
        <f t="shared" si="27"/>
        <v>279.8</v>
      </c>
      <c r="AA107" s="3">
        <f t="shared" si="20"/>
        <v>0.48851373918323976</v>
      </c>
      <c r="AB107">
        <f t="shared" si="21"/>
        <v>13025</v>
      </c>
      <c r="AC107">
        <f t="shared" si="22"/>
        <v>1092</v>
      </c>
      <c r="AD107">
        <f t="shared" si="23"/>
        <v>492.5</v>
      </c>
      <c r="AE107">
        <f t="shared" si="24"/>
        <v>501</v>
      </c>
      <c r="AF107">
        <f t="shared" si="25"/>
        <v>184</v>
      </c>
      <c r="AG107">
        <f t="shared" si="26"/>
        <v>0.46438439350235311</v>
      </c>
    </row>
    <row r="108" spans="1:33" x14ac:dyDescent="0.35">
      <c r="A108" t="s">
        <v>203</v>
      </c>
      <c r="B108" t="s">
        <v>204</v>
      </c>
      <c r="C108">
        <f>VLOOKUP(CONCATENATE("2001",'2001_60'!A108),aktivnepesseg!$C$2:$D$2226,2,FALSE)</f>
        <v>24334</v>
      </c>
      <c r="D108">
        <f t="shared" si="18"/>
        <v>20011</v>
      </c>
      <c r="E108">
        <f t="shared" si="19"/>
        <v>4323</v>
      </c>
      <c r="F108">
        <v>936</v>
      </c>
      <c r="G108">
        <v>439</v>
      </c>
      <c r="H108">
        <v>820</v>
      </c>
      <c r="I108">
        <v>883</v>
      </c>
      <c r="J108">
        <v>2788</v>
      </c>
      <c r="K108">
        <v>1720</v>
      </c>
      <c r="L108">
        <v>1501</v>
      </c>
      <c r="M108">
        <v>1476</v>
      </c>
      <c r="N108">
        <v>1225</v>
      </c>
      <c r="O108">
        <v>1280</v>
      </c>
      <c r="P108">
        <v>3785</v>
      </c>
      <c r="Q108">
        <v>1490</v>
      </c>
      <c r="R108">
        <v>724</v>
      </c>
      <c r="S108">
        <v>761</v>
      </c>
      <c r="T108">
        <v>183</v>
      </c>
      <c r="U108">
        <f t="shared" si="27"/>
        <v>4323</v>
      </c>
      <c r="V108">
        <f t="shared" si="27"/>
        <v>842.4</v>
      </c>
      <c r="W108">
        <f t="shared" si="27"/>
        <v>307.29999999999995</v>
      </c>
      <c r="X108">
        <f t="shared" si="27"/>
        <v>410</v>
      </c>
      <c r="Y108">
        <f t="shared" si="27"/>
        <v>264.89999999999998</v>
      </c>
      <c r="Z108">
        <f t="shared" si="27"/>
        <v>278.8</v>
      </c>
      <c r="AA108" s="3">
        <f t="shared" si="20"/>
        <v>0.26409139475630805</v>
      </c>
      <c r="AB108">
        <f t="shared" si="21"/>
        <v>4323</v>
      </c>
      <c r="AC108">
        <f t="shared" si="22"/>
        <v>819</v>
      </c>
      <c r="AD108">
        <f t="shared" si="23"/>
        <v>274.375</v>
      </c>
      <c r="AE108">
        <f t="shared" si="24"/>
        <v>307.5</v>
      </c>
      <c r="AF108">
        <f t="shared" si="25"/>
        <v>110.375</v>
      </c>
      <c r="AG108">
        <f t="shared" si="26"/>
        <v>0.23975712994164544</v>
      </c>
    </row>
    <row r="109" spans="1:33" x14ac:dyDescent="0.35">
      <c r="A109" t="s">
        <v>205</v>
      </c>
      <c r="B109" t="s">
        <v>206</v>
      </c>
      <c r="C109">
        <f>VLOOKUP(CONCATENATE("2001",'2001_60'!A109),aktivnepesseg!$C$2:$D$2226,2,FALSE)</f>
        <v>23044</v>
      </c>
      <c r="D109">
        <f t="shared" si="18"/>
        <v>15751</v>
      </c>
      <c r="E109">
        <f t="shared" si="19"/>
        <v>7293</v>
      </c>
      <c r="F109">
        <v>990</v>
      </c>
      <c r="G109">
        <v>596</v>
      </c>
      <c r="H109">
        <v>998</v>
      </c>
      <c r="I109">
        <v>1076</v>
      </c>
      <c r="J109">
        <v>2403</v>
      </c>
      <c r="K109">
        <v>1780</v>
      </c>
      <c r="L109">
        <v>1163</v>
      </c>
      <c r="M109">
        <v>1090</v>
      </c>
      <c r="N109">
        <v>946</v>
      </c>
      <c r="O109">
        <v>825</v>
      </c>
      <c r="P109">
        <v>2430</v>
      </c>
      <c r="Q109">
        <v>773</v>
      </c>
      <c r="R109">
        <v>316</v>
      </c>
      <c r="S109">
        <v>333</v>
      </c>
      <c r="T109">
        <v>32</v>
      </c>
      <c r="U109">
        <f t="shared" si="27"/>
        <v>7293</v>
      </c>
      <c r="V109">
        <f t="shared" si="27"/>
        <v>891</v>
      </c>
      <c r="W109">
        <f t="shared" si="27"/>
        <v>417.2</v>
      </c>
      <c r="X109">
        <f t="shared" si="27"/>
        <v>499</v>
      </c>
      <c r="Y109">
        <f t="shared" si="27"/>
        <v>322.8</v>
      </c>
      <c r="Z109">
        <f t="shared" si="27"/>
        <v>240.3</v>
      </c>
      <c r="AA109" s="3">
        <f t="shared" si="20"/>
        <v>0.41934126019788226</v>
      </c>
      <c r="AB109">
        <f t="shared" si="21"/>
        <v>7293</v>
      </c>
      <c r="AC109">
        <f t="shared" si="22"/>
        <v>866.25</v>
      </c>
      <c r="AD109">
        <f t="shared" si="23"/>
        <v>372.5</v>
      </c>
      <c r="AE109">
        <f t="shared" si="24"/>
        <v>374.25</v>
      </c>
      <c r="AF109">
        <f t="shared" si="25"/>
        <v>134.5</v>
      </c>
      <c r="AG109">
        <f t="shared" si="26"/>
        <v>0.39231470230862697</v>
      </c>
    </row>
    <row r="110" spans="1:33" x14ac:dyDescent="0.35">
      <c r="A110" t="s">
        <v>207</v>
      </c>
      <c r="B110" t="s">
        <v>208</v>
      </c>
      <c r="C110">
        <f>VLOOKUP(CONCATENATE("2001",'2001_60'!A110),aktivnepesseg!$C$2:$D$2226,2,FALSE)</f>
        <v>16977</v>
      </c>
      <c r="D110">
        <f t="shared" si="18"/>
        <v>14249</v>
      </c>
      <c r="E110">
        <f t="shared" si="19"/>
        <v>2728</v>
      </c>
      <c r="F110">
        <v>753</v>
      </c>
      <c r="G110">
        <v>335</v>
      </c>
      <c r="H110">
        <v>581</v>
      </c>
      <c r="I110">
        <v>757</v>
      </c>
      <c r="J110">
        <v>1806</v>
      </c>
      <c r="K110">
        <v>1313</v>
      </c>
      <c r="L110">
        <v>1089</v>
      </c>
      <c r="M110">
        <v>1131</v>
      </c>
      <c r="N110">
        <v>1053</v>
      </c>
      <c r="O110">
        <v>897</v>
      </c>
      <c r="P110">
        <v>2609</v>
      </c>
      <c r="Q110">
        <v>1021</v>
      </c>
      <c r="R110">
        <v>399</v>
      </c>
      <c r="S110">
        <v>446</v>
      </c>
      <c r="T110">
        <v>59</v>
      </c>
      <c r="U110">
        <f t="shared" si="27"/>
        <v>2728</v>
      </c>
      <c r="V110">
        <f t="shared" si="27"/>
        <v>677.7</v>
      </c>
      <c r="W110">
        <f t="shared" si="27"/>
        <v>234.49999999999997</v>
      </c>
      <c r="X110">
        <f t="shared" si="27"/>
        <v>290.5</v>
      </c>
      <c r="Y110">
        <f t="shared" si="27"/>
        <v>227.1</v>
      </c>
      <c r="Z110">
        <f t="shared" si="27"/>
        <v>180.60000000000002</v>
      </c>
      <c r="AA110" s="3">
        <f t="shared" si="20"/>
        <v>0.25554573835188787</v>
      </c>
      <c r="AB110">
        <f t="shared" si="21"/>
        <v>2728</v>
      </c>
      <c r="AC110">
        <f t="shared" si="22"/>
        <v>658.875</v>
      </c>
      <c r="AD110">
        <f t="shared" si="23"/>
        <v>209.375</v>
      </c>
      <c r="AE110">
        <f t="shared" si="24"/>
        <v>217.875</v>
      </c>
      <c r="AF110">
        <f t="shared" si="25"/>
        <v>94.625</v>
      </c>
      <c r="AG110">
        <f t="shared" si="26"/>
        <v>0.23023796901690521</v>
      </c>
    </row>
    <row r="111" spans="1:33" x14ac:dyDescent="0.35">
      <c r="A111" t="s">
        <v>209</v>
      </c>
      <c r="B111" t="s">
        <v>210</v>
      </c>
      <c r="C111">
        <f>VLOOKUP(CONCATENATE("2001",'2001_60'!A111),aktivnepesseg!$C$2:$D$2226,2,FALSE)</f>
        <v>14513</v>
      </c>
      <c r="D111">
        <f t="shared" si="18"/>
        <v>11711</v>
      </c>
      <c r="E111">
        <f t="shared" si="19"/>
        <v>2802</v>
      </c>
      <c r="F111">
        <v>962</v>
      </c>
      <c r="G111">
        <v>325</v>
      </c>
      <c r="H111">
        <v>558</v>
      </c>
      <c r="I111">
        <v>612</v>
      </c>
      <c r="J111">
        <v>1527</v>
      </c>
      <c r="K111">
        <v>1080</v>
      </c>
      <c r="L111">
        <v>816</v>
      </c>
      <c r="M111">
        <v>791</v>
      </c>
      <c r="N111">
        <v>704</v>
      </c>
      <c r="O111">
        <v>668</v>
      </c>
      <c r="P111">
        <v>2272</v>
      </c>
      <c r="Q111">
        <v>792</v>
      </c>
      <c r="R111">
        <v>242</v>
      </c>
      <c r="S111">
        <v>318</v>
      </c>
      <c r="T111">
        <v>44</v>
      </c>
      <c r="U111">
        <f t="shared" si="27"/>
        <v>2802</v>
      </c>
      <c r="V111">
        <f t="shared" si="27"/>
        <v>865.80000000000007</v>
      </c>
      <c r="W111">
        <f t="shared" si="27"/>
        <v>227.49999999999997</v>
      </c>
      <c r="X111">
        <f t="shared" si="27"/>
        <v>279</v>
      </c>
      <c r="Y111">
        <f t="shared" si="27"/>
        <v>183.6</v>
      </c>
      <c r="Z111">
        <f t="shared" si="27"/>
        <v>152.70000000000002</v>
      </c>
      <c r="AA111" s="3">
        <f t="shared" si="20"/>
        <v>0.31079721628884449</v>
      </c>
      <c r="AB111">
        <f t="shared" si="21"/>
        <v>2802</v>
      </c>
      <c r="AC111">
        <f t="shared" si="22"/>
        <v>841.75</v>
      </c>
      <c r="AD111">
        <f t="shared" si="23"/>
        <v>203.125</v>
      </c>
      <c r="AE111">
        <f t="shared" si="24"/>
        <v>209.25</v>
      </c>
      <c r="AF111">
        <f t="shared" si="25"/>
        <v>76.5</v>
      </c>
      <c r="AG111">
        <f t="shared" si="26"/>
        <v>0.2847533246055261</v>
      </c>
    </row>
    <row r="112" spans="1:33" x14ac:dyDescent="0.35">
      <c r="A112" t="s">
        <v>211</v>
      </c>
      <c r="B112" t="s">
        <v>212</v>
      </c>
      <c r="C112">
        <f>VLOOKUP(CONCATENATE("2001",'2001_60'!A112),aktivnepesseg!$C$2:$D$2226,2,FALSE)</f>
        <v>11439</v>
      </c>
      <c r="D112">
        <f t="shared" si="18"/>
        <v>6985</v>
      </c>
      <c r="E112">
        <f t="shared" si="19"/>
        <v>4454</v>
      </c>
      <c r="F112">
        <v>616</v>
      </c>
      <c r="G112">
        <v>408</v>
      </c>
      <c r="H112">
        <v>563</v>
      </c>
      <c r="I112">
        <v>618</v>
      </c>
      <c r="J112">
        <v>1215</v>
      </c>
      <c r="K112">
        <v>737</v>
      </c>
      <c r="L112">
        <v>549</v>
      </c>
      <c r="M112">
        <v>481</v>
      </c>
      <c r="N112">
        <v>328</v>
      </c>
      <c r="O112">
        <v>272</v>
      </c>
      <c r="P112">
        <v>789</v>
      </c>
      <c r="Q112">
        <v>199</v>
      </c>
      <c r="R112">
        <v>98</v>
      </c>
      <c r="S112">
        <v>103</v>
      </c>
      <c r="T112">
        <v>9</v>
      </c>
      <c r="U112">
        <f t="shared" si="27"/>
        <v>4454</v>
      </c>
      <c r="V112">
        <f t="shared" si="27"/>
        <v>554.4</v>
      </c>
      <c r="W112">
        <f t="shared" si="27"/>
        <v>285.59999999999997</v>
      </c>
      <c r="X112">
        <f t="shared" si="27"/>
        <v>281.5</v>
      </c>
      <c r="Y112">
        <f t="shared" si="27"/>
        <v>185.4</v>
      </c>
      <c r="Z112">
        <f t="shared" si="27"/>
        <v>121.5</v>
      </c>
      <c r="AA112" s="3">
        <f t="shared" si="20"/>
        <v>0.51424075531077884</v>
      </c>
      <c r="AB112">
        <f t="shared" si="21"/>
        <v>4454</v>
      </c>
      <c r="AC112">
        <f t="shared" si="22"/>
        <v>539</v>
      </c>
      <c r="AD112">
        <f t="shared" si="23"/>
        <v>255</v>
      </c>
      <c r="AE112">
        <f t="shared" si="24"/>
        <v>211.125</v>
      </c>
      <c r="AF112">
        <f t="shared" si="25"/>
        <v>77.25</v>
      </c>
      <c r="AG112">
        <f t="shared" si="26"/>
        <v>0.48399117055686686</v>
      </c>
    </row>
    <row r="113" spans="1:33" x14ac:dyDescent="0.35">
      <c r="A113" t="s">
        <v>213</v>
      </c>
      <c r="B113" t="s">
        <v>214</v>
      </c>
      <c r="C113">
        <f>VLOOKUP(CONCATENATE("2001",'2001_60'!A113),aktivnepesseg!$C$2:$D$2226,2,FALSE)</f>
        <v>21192</v>
      </c>
      <c r="D113">
        <f t="shared" si="18"/>
        <v>14336</v>
      </c>
      <c r="E113">
        <f t="shared" si="19"/>
        <v>6856</v>
      </c>
      <c r="F113">
        <v>1311</v>
      </c>
      <c r="G113">
        <v>703</v>
      </c>
      <c r="H113">
        <v>1061</v>
      </c>
      <c r="I113">
        <v>1162</v>
      </c>
      <c r="J113">
        <v>2347</v>
      </c>
      <c r="K113">
        <v>1599</v>
      </c>
      <c r="L113">
        <v>1292</v>
      </c>
      <c r="M113">
        <v>946</v>
      </c>
      <c r="N113">
        <v>694</v>
      </c>
      <c r="O113">
        <v>601</v>
      </c>
      <c r="P113">
        <v>1604</v>
      </c>
      <c r="Q113">
        <v>541</v>
      </c>
      <c r="R113">
        <v>236</v>
      </c>
      <c r="S113">
        <v>218</v>
      </c>
      <c r="T113">
        <v>21</v>
      </c>
      <c r="U113">
        <f t="shared" si="27"/>
        <v>6856</v>
      </c>
      <c r="V113">
        <f t="shared" si="27"/>
        <v>1179.9000000000001</v>
      </c>
      <c r="W113">
        <f t="shared" si="27"/>
        <v>492.09999999999997</v>
      </c>
      <c r="X113">
        <f t="shared" si="27"/>
        <v>530.5</v>
      </c>
      <c r="Y113">
        <f t="shared" si="27"/>
        <v>348.59999999999997</v>
      </c>
      <c r="Z113">
        <f t="shared" si="27"/>
        <v>234.70000000000002</v>
      </c>
      <c r="AA113" s="3">
        <f t="shared" si="20"/>
        <v>0.45497357493393736</v>
      </c>
      <c r="AB113">
        <f t="shared" si="21"/>
        <v>6856</v>
      </c>
      <c r="AC113">
        <f t="shared" si="22"/>
        <v>1147.125</v>
      </c>
      <c r="AD113">
        <f t="shared" si="23"/>
        <v>439.375</v>
      </c>
      <c r="AE113">
        <f t="shared" si="24"/>
        <v>397.875</v>
      </c>
      <c r="AF113">
        <f t="shared" si="25"/>
        <v>145.25</v>
      </c>
      <c r="AG113">
        <f t="shared" si="26"/>
        <v>0.42401023971309926</v>
      </c>
    </row>
    <row r="114" spans="1:33" x14ac:dyDescent="0.35">
      <c r="A114" t="s">
        <v>215</v>
      </c>
      <c r="B114" t="s">
        <v>216</v>
      </c>
      <c r="C114">
        <f>VLOOKUP(CONCATENATE("2001",'2001_60'!A114),aktivnepesseg!$C$2:$D$2226,2,FALSE)</f>
        <v>17908</v>
      </c>
      <c r="D114">
        <f t="shared" si="18"/>
        <v>13138</v>
      </c>
      <c r="E114">
        <f t="shared" si="19"/>
        <v>4770</v>
      </c>
      <c r="F114">
        <v>1560</v>
      </c>
      <c r="G114">
        <v>522</v>
      </c>
      <c r="H114">
        <v>950</v>
      </c>
      <c r="I114">
        <v>1066</v>
      </c>
      <c r="J114">
        <v>2243</v>
      </c>
      <c r="K114">
        <v>1406</v>
      </c>
      <c r="L114">
        <v>897</v>
      </c>
      <c r="M114">
        <v>757</v>
      </c>
      <c r="N114">
        <v>601</v>
      </c>
      <c r="O114">
        <v>522</v>
      </c>
      <c r="P114">
        <v>1637</v>
      </c>
      <c r="Q114">
        <v>531</v>
      </c>
      <c r="R114">
        <v>209</v>
      </c>
      <c r="S114">
        <v>214</v>
      </c>
      <c r="T114">
        <v>23</v>
      </c>
      <c r="U114">
        <f t="shared" si="27"/>
        <v>4770</v>
      </c>
      <c r="V114">
        <f t="shared" si="27"/>
        <v>1404</v>
      </c>
      <c r="W114">
        <f t="shared" si="27"/>
        <v>365.4</v>
      </c>
      <c r="X114">
        <f t="shared" si="27"/>
        <v>475</v>
      </c>
      <c r="Y114">
        <f t="shared" si="27"/>
        <v>319.8</v>
      </c>
      <c r="Z114">
        <f t="shared" si="27"/>
        <v>224.3</v>
      </c>
      <c r="AA114" s="3">
        <f t="shared" si="20"/>
        <v>0.42207393343756983</v>
      </c>
      <c r="AB114">
        <f t="shared" si="21"/>
        <v>4770</v>
      </c>
      <c r="AC114">
        <f t="shared" si="22"/>
        <v>1365</v>
      </c>
      <c r="AD114">
        <f t="shared" si="23"/>
        <v>326.25</v>
      </c>
      <c r="AE114">
        <f t="shared" si="24"/>
        <v>356.25</v>
      </c>
      <c r="AF114">
        <f t="shared" si="25"/>
        <v>133.25</v>
      </c>
      <c r="AG114">
        <f t="shared" si="26"/>
        <v>0.38813658700022335</v>
      </c>
    </row>
    <row r="115" spans="1:33" x14ac:dyDescent="0.35">
      <c r="A115" t="s">
        <v>217</v>
      </c>
      <c r="B115" t="s">
        <v>218</v>
      </c>
      <c r="C115">
        <f>VLOOKUP(CONCATENATE("2001",'2001_60'!A115),aktivnepesseg!$C$2:$D$2226,2,FALSE)</f>
        <v>12102</v>
      </c>
      <c r="D115">
        <f t="shared" si="18"/>
        <v>10031</v>
      </c>
      <c r="E115">
        <f t="shared" si="19"/>
        <v>2071</v>
      </c>
      <c r="F115">
        <v>683</v>
      </c>
      <c r="G115">
        <v>280</v>
      </c>
      <c r="H115">
        <v>485</v>
      </c>
      <c r="I115">
        <v>594</v>
      </c>
      <c r="J115">
        <v>1732</v>
      </c>
      <c r="K115">
        <v>1032</v>
      </c>
      <c r="L115">
        <v>840</v>
      </c>
      <c r="M115">
        <v>816</v>
      </c>
      <c r="N115">
        <v>584</v>
      </c>
      <c r="O115">
        <v>476</v>
      </c>
      <c r="P115">
        <v>1525</v>
      </c>
      <c r="Q115">
        <v>531</v>
      </c>
      <c r="R115">
        <v>206</v>
      </c>
      <c r="S115">
        <v>227</v>
      </c>
      <c r="T115">
        <v>20</v>
      </c>
      <c r="U115">
        <f t="shared" si="27"/>
        <v>2071</v>
      </c>
      <c r="V115">
        <f t="shared" si="27"/>
        <v>614.70000000000005</v>
      </c>
      <c r="W115">
        <f t="shared" si="27"/>
        <v>196</v>
      </c>
      <c r="X115">
        <f t="shared" si="27"/>
        <v>242.5</v>
      </c>
      <c r="Y115">
        <f t="shared" si="27"/>
        <v>178.2</v>
      </c>
      <c r="Z115">
        <f t="shared" si="27"/>
        <v>173.20000000000002</v>
      </c>
      <c r="AA115" s="3">
        <f t="shared" si="20"/>
        <v>0.28719219963642367</v>
      </c>
      <c r="AB115">
        <f t="shared" si="21"/>
        <v>2071</v>
      </c>
      <c r="AC115">
        <f t="shared" si="22"/>
        <v>597.625</v>
      </c>
      <c r="AD115">
        <f t="shared" si="23"/>
        <v>175</v>
      </c>
      <c r="AE115">
        <f t="shared" si="24"/>
        <v>181.875</v>
      </c>
      <c r="AF115">
        <f t="shared" si="25"/>
        <v>74.25</v>
      </c>
      <c r="AG115">
        <f t="shared" si="26"/>
        <v>0.25613534952900346</v>
      </c>
    </row>
    <row r="116" spans="1:33" x14ac:dyDescent="0.35">
      <c r="A116" t="s">
        <v>219</v>
      </c>
      <c r="B116" t="s">
        <v>220</v>
      </c>
      <c r="C116">
        <f>VLOOKUP(CONCATENATE("2001",'2001_60'!A116),aktivnepesseg!$C$2:$D$2226,2,FALSE)</f>
        <v>9953</v>
      </c>
      <c r="D116">
        <f t="shared" si="18"/>
        <v>6990</v>
      </c>
      <c r="E116">
        <f t="shared" si="19"/>
        <v>2963</v>
      </c>
      <c r="F116">
        <v>487</v>
      </c>
      <c r="G116">
        <v>252</v>
      </c>
      <c r="H116">
        <v>433</v>
      </c>
      <c r="I116">
        <v>480</v>
      </c>
      <c r="J116">
        <v>1281</v>
      </c>
      <c r="K116">
        <v>771</v>
      </c>
      <c r="L116">
        <v>572</v>
      </c>
      <c r="M116">
        <v>518</v>
      </c>
      <c r="N116">
        <v>442</v>
      </c>
      <c r="O116">
        <v>308</v>
      </c>
      <c r="P116">
        <v>958</v>
      </c>
      <c r="Q116">
        <v>309</v>
      </c>
      <c r="R116">
        <v>79</v>
      </c>
      <c r="S116">
        <v>91</v>
      </c>
      <c r="T116">
        <v>9</v>
      </c>
      <c r="U116">
        <f t="shared" si="27"/>
        <v>2963</v>
      </c>
      <c r="V116">
        <f t="shared" si="27"/>
        <v>438.3</v>
      </c>
      <c r="W116">
        <f t="shared" si="27"/>
        <v>176.39999999999998</v>
      </c>
      <c r="X116">
        <f t="shared" si="27"/>
        <v>216.5</v>
      </c>
      <c r="Y116">
        <f t="shared" si="27"/>
        <v>144</v>
      </c>
      <c r="Z116">
        <f t="shared" si="27"/>
        <v>128.1</v>
      </c>
      <c r="AA116" s="3">
        <f t="shared" si="20"/>
        <v>0.40855018587360598</v>
      </c>
      <c r="AB116">
        <f t="shared" si="21"/>
        <v>2963</v>
      </c>
      <c r="AC116">
        <f t="shared" si="22"/>
        <v>426.125</v>
      </c>
      <c r="AD116">
        <f t="shared" si="23"/>
        <v>157.5</v>
      </c>
      <c r="AE116">
        <f t="shared" si="24"/>
        <v>162.375</v>
      </c>
      <c r="AF116">
        <f t="shared" si="25"/>
        <v>60</v>
      </c>
      <c r="AG116">
        <f t="shared" si="26"/>
        <v>0.37867979503667237</v>
      </c>
    </row>
    <row r="117" spans="1:33" x14ac:dyDescent="0.35">
      <c r="A117" t="s">
        <v>221</v>
      </c>
      <c r="B117" t="s">
        <v>222</v>
      </c>
      <c r="C117">
        <f>VLOOKUP(CONCATENATE("2001",'2001_60'!A117),aktivnepesseg!$C$2:$D$2226,2,FALSE)</f>
        <v>27018</v>
      </c>
      <c r="D117">
        <f t="shared" si="18"/>
        <v>19843</v>
      </c>
      <c r="E117">
        <f t="shared" si="19"/>
        <v>7175</v>
      </c>
      <c r="F117">
        <v>2099</v>
      </c>
      <c r="G117">
        <v>848</v>
      </c>
      <c r="H117">
        <v>1415</v>
      </c>
      <c r="I117">
        <v>1637</v>
      </c>
      <c r="J117">
        <v>2788</v>
      </c>
      <c r="K117">
        <v>2043</v>
      </c>
      <c r="L117">
        <v>1450</v>
      </c>
      <c r="M117">
        <v>1267</v>
      </c>
      <c r="N117">
        <v>1037</v>
      </c>
      <c r="O117">
        <v>844</v>
      </c>
      <c r="P117">
        <v>2542</v>
      </c>
      <c r="Q117">
        <v>1120</v>
      </c>
      <c r="R117">
        <v>385</v>
      </c>
      <c r="S117">
        <v>330</v>
      </c>
      <c r="T117">
        <v>38</v>
      </c>
      <c r="U117">
        <f t="shared" si="27"/>
        <v>7175</v>
      </c>
      <c r="V117">
        <f t="shared" si="27"/>
        <v>1889.1000000000001</v>
      </c>
      <c r="W117">
        <f t="shared" si="27"/>
        <v>593.59999999999991</v>
      </c>
      <c r="X117">
        <f t="shared" si="27"/>
        <v>707.5</v>
      </c>
      <c r="Y117">
        <f t="shared" si="27"/>
        <v>491.09999999999997</v>
      </c>
      <c r="Z117">
        <f t="shared" si="27"/>
        <v>278.8</v>
      </c>
      <c r="AA117" s="3">
        <f t="shared" si="20"/>
        <v>0.41213635354208306</v>
      </c>
      <c r="AB117">
        <f t="shared" si="21"/>
        <v>7175</v>
      </c>
      <c r="AC117">
        <f t="shared" si="22"/>
        <v>1836.625</v>
      </c>
      <c r="AD117">
        <f t="shared" si="23"/>
        <v>530</v>
      </c>
      <c r="AE117">
        <f t="shared" si="24"/>
        <v>530.625</v>
      </c>
      <c r="AF117">
        <f t="shared" si="25"/>
        <v>204.625</v>
      </c>
      <c r="AG117">
        <f t="shared" si="26"/>
        <v>0.38037141905396404</v>
      </c>
    </row>
    <row r="118" spans="1:33" x14ac:dyDescent="0.35">
      <c r="A118" t="s">
        <v>223</v>
      </c>
      <c r="B118" t="s">
        <v>224</v>
      </c>
      <c r="C118">
        <f>VLOOKUP(CONCATENATE("2001",'2001_60'!A118),aktivnepesseg!$C$2:$D$2226,2,FALSE)</f>
        <v>20785</v>
      </c>
      <c r="D118">
        <f t="shared" si="18"/>
        <v>14190</v>
      </c>
      <c r="E118">
        <f t="shared" si="19"/>
        <v>6595</v>
      </c>
      <c r="F118">
        <v>1040</v>
      </c>
      <c r="G118">
        <v>520</v>
      </c>
      <c r="H118">
        <v>836</v>
      </c>
      <c r="I118">
        <v>1071</v>
      </c>
      <c r="J118">
        <v>2256</v>
      </c>
      <c r="K118">
        <v>1640</v>
      </c>
      <c r="L118">
        <v>1265</v>
      </c>
      <c r="M118">
        <v>998</v>
      </c>
      <c r="N118">
        <v>909</v>
      </c>
      <c r="O118">
        <v>753</v>
      </c>
      <c r="P118">
        <v>1874</v>
      </c>
      <c r="Q118">
        <v>554</v>
      </c>
      <c r="R118">
        <v>233</v>
      </c>
      <c r="S118">
        <v>221</v>
      </c>
      <c r="T118">
        <v>20</v>
      </c>
      <c r="U118">
        <f t="shared" si="27"/>
        <v>6595</v>
      </c>
      <c r="V118">
        <f t="shared" si="27"/>
        <v>936</v>
      </c>
      <c r="W118">
        <f t="shared" si="27"/>
        <v>364</v>
      </c>
      <c r="X118">
        <f t="shared" si="27"/>
        <v>418</v>
      </c>
      <c r="Y118">
        <f t="shared" si="27"/>
        <v>321.3</v>
      </c>
      <c r="Z118">
        <f t="shared" si="27"/>
        <v>225.60000000000002</v>
      </c>
      <c r="AA118" s="3">
        <f t="shared" si="20"/>
        <v>0.4262641327880683</v>
      </c>
      <c r="AB118">
        <f t="shared" si="21"/>
        <v>6595</v>
      </c>
      <c r="AC118">
        <f t="shared" si="22"/>
        <v>910</v>
      </c>
      <c r="AD118">
        <f t="shared" si="23"/>
        <v>325</v>
      </c>
      <c r="AE118">
        <f t="shared" si="24"/>
        <v>313.5</v>
      </c>
      <c r="AF118">
        <f t="shared" si="25"/>
        <v>133.875</v>
      </c>
      <c r="AG118">
        <f t="shared" si="26"/>
        <v>0.39823791195573732</v>
      </c>
    </row>
    <row r="119" spans="1:33" x14ac:dyDescent="0.35">
      <c r="A119" t="s">
        <v>225</v>
      </c>
      <c r="B119" t="s">
        <v>226</v>
      </c>
      <c r="C119">
        <f>VLOOKUP(CONCATENATE("2001",'2001_60'!A119),aktivnepesseg!$C$2:$D$2226,2,FALSE)</f>
        <v>16067</v>
      </c>
      <c r="D119">
        <f t="shared" si="18"/>
        <v>10858</v>
      </c>
      <c r="E119">
        <f t="shared" si="19"/>
        <v>5209</v>
      </c>
      <c r="F119">
        <v>690</v>
      </c>
      <c r="G119">
        <v>341</v>
      </c>
      <c r="H119">
        <v>596</v>
      </c>
      <c r="I119">
        <v>684</v>
      </c>
      <c r="J119">
        <v>1695</v>
      </c>
      <c r="K119">
        <v>900</v>
      </c>
      <c r="L119">
        <v>668</v>
      </c>
      <c r="M119">
        <v>649</v>
      </c>
      <c r="N119">
        <v>597</v>
      </c>
      <c r="O119">
        <v>535</v>
      </c>
      <c r="P119">
        <v>1784</v>
      </c>
      <c r="Q119">
        <v>800</v>
      </c>
      <c r="R119">
        <v>365</v>
      </c>
      <c r="S119">
        <v>447</v>
      </c>
      <c r="T119">
        <v>107</v>
      </c>
      <c r="U119">
        <f t="shared" si="27"/>
        <v>5209</v>
      </c>
      <c r="V119">
        <f t="shared" si="27"/>
        <v>621</v>
      </c>
      <c r="W119">
        <f t="shared" si="27"/>
        <v>238.7</v>
      </c>
      <c r="X119">
        <f t="shared" si="27"/>
        <v>298</v>
      </c>
      <c r="Y119">
        <f t="shared" si="27"/>
        <v>205.2</v>
      </c>
      <c r="Z119">
        <f t="shared" si="27"/>
        <v>169.5</v>
      </c>
      <c r="AA119" s="3">
        <f t="shared" si="20"/>
        <v>0.41958050662849317</v>
      </c>
      <c r="AB119">
        <f t="shared" si="21"/>
        <v>5209</v>
      </c>
      <c r="AC119">
        <f t="shared" si="22"/>
        <v>603.75</v>
      </c>
      <c r="AD119">
        <f t="shared" si="23"/>
        <v>213.125</v>
      </c>
      <c r="AE119">
        <f t="shared" si="24"/>
        <v>223.5</v>
      </c>
      <c r="AF119">
        <f t="shared" si="25"/>
        <v>85.5</v>
      </c>
      <c r="AG119">
        <f t="shared" si="26"/>
        <v>0.39427864567125165</v>
      </c>
    </row>
    <row r="120" spans="1:33" x14ac:dyDescent="0.35">
      <c r="A120" t="s">
        <v>227</v>
      </c>
      <c r="B120" t="s">
        <v>228</v>
      </c>
      <c r="C120">
        <f>VLOOKUP(CONCATENATE("2001",'2001_60'!A120),aktivnepesseg!$C$2:$D$2226,2,FALSE)</f>
        <v>37985</v>
      </c>
      <c r="D120">
        <f t="shared" si="18"/>
        <v>22165</v>
      </c>
      <c r="E120">
        <f t="shared" si="19"/>
        <v>15820</v>
      </c>
      <c r="F120">
        <v>1767</v>
      </c>
      <c r="G120">
        <v>1036</v>
      </c>
      <c r="H120">
        <v>1624</v>
      </c>
      <c r="I120">
        <v>1944</v>
      </c>
      <c r="J120">
        <v>3255</v>
      </c>
      <c r="K120">
        <v>2312</v>
      </c>
      <c r="L120">
        <v>1687</v>
      </c>
      <c r="M120">
        <v>1588</v>
      </c>
      <c r="N120">
        <v>1326</v>
      </c>
      <c r="O120">
        <v>1002</v>
      </c>
      <c r="P120">
        <v>2758</v>
      </c>
      <c r="Q120">
        <v>1020</v>
      </c>
      <c r="R120">
        <v>392</v>
      </c>
      <c r="S120">
        <v>411</v>
      </c>
      <c r="T120">
        <v>43</v>
      </c>
      <c r="U120">
        <f t="shared" si="27"/>
        <v>15820</v>
      </c>
      <c r="V120">
        <f t="shared" si="27"/>
        <v>1590.3</v>
      </c>
      <c r="W120">
        <f t="shared" si="27"/>
        <v>725.19999999999993</v>
      </c>
      <c r="X120">
        <f t="shared" si="27"/>
        <v>812</v>
      </c>
      <c r="Y120">
        <f t="shared" si="27"/>
        <v>583.19999999999993</v>
      </c>
      <c r="Z120">
        <f t="shared" si="27"/>
        <v>325.5</v>
      </c>
      <c r="AA120" s="3">
        <f t="shared" si="20"/>
        <v>0.52273792286428855</v>
      </c>
      <c r="AB120">
        <f t="shared" si="21"/>
        <v>15820</v>
      </c>
      <c r="AC120">
        <f t="shared" si="22"/>
        <v>1546.125</v>
      </c>
      <c r="AD120">
        <f t="shared" si="23"/>
        <v>647.5</v>
      </c>
      <c r="AE120">
        <f t="shared" si="24"/>
        <v>609</v>
      </c>
      <c r="AF120">
        <f t="shared" si="25"/>
        <v>243</v>
      </c>
      <c r="AG120">
        <f t="shared" si="26"/>
        <v>0.49665986573647491</v>
      </c>
    </row>
    <row r="121" spans="1:33" x14ac:dyDescent="0.35">
      <c r="A121" t="s">
        <v>229</v>
      </c>
      <c r="B121" t="s">
        <v>230</v>
      </c>
      <c r="C121">
        <f>VLOOKUP(CONCATENATE("2001",'2001_60'!A121),aktivnepesseg!$C$2:$D$2226,2,FALSE)</f>
        <v>8528</v>
      </c>
      <c r="D121">
        <f t="shared" si="18"/>
        <v>4855</v>
      </c>
      <c r="E121">
        <f t="shared" si="19"/>
        <v>3673</v>
      </c>
      <c r="F121">
        <v>360</v>
      </c>
      <c r="G121">
        <v>260</v>
      </c>
      <c r="H121">
        <v>418</v>
      </c>
      <c r="I121">
        <v>441</v>
      </c>
      <c r="J121">
        <v>788</v>
      </c>
      <c r="K121">
        <v>507</v>
      </c>
      <c r="L121">
        <v>308</v>
      </c>
      <c r="M121">
        <v>258</v>
      </c>
      <c r="N121">
        <v>239</v>
      </c>
      <c r="O121">
        <v>229</v>
      </c>
      <c r="P121">
        <v>611</v>
      </c>
      <c r="Q121">
        <v>265</v>
      </c>
      <c r="R121">
        <v>89</v>
      </c>
      <c r="S121">
        <v>78</v>
      </c>
      <c r="T121">
        <v>4</v>
      </c>
      <c r="U121">
        <f t="shared" si="27"/>
        <v>3673</v>
      </c>
      <c r="V121">
        <f t="shared" si="27"/>
        <v>324</v>
      </c>
      <c r="W121">
        <f t="shared" si="27"/>
        <v>182</v>
      </c>
      <c r="X121">
        <f t="shared" si="27"/>
        <v>209</v>
      </c>
      <c r="Y121">
        <f t="shared" si="27"/>
        <v>132.29999999999998</v>
      </c>
      <c r="Z121">
        <f t="shared" si="27"/>
        <v>78.800000000000011</v>
      </c>
      <c r="AA121" s="3">
        <f t="shared" si="20"/>
        <v>0.53929409005628526</v>
      </c>
      <c r="AB121">
        <f t="shared" si="21"/>
        <v>3673</v>
      </c>
      <c r="AC121">
        <f t="shared" si="22"/>
        <v>315</v>
      </c>
      <c r="AD121">
        <f t="shared" si="23"/>
        <v>162.5</v>
      </c>
      <c r="AE121">
        <f t="shared" si="24"/>
        <v>156.75</v>
      </c>
      <c r="AF121">
        <f t="shared" si="25"/>
        <v>55.125</v>
      </c>
      <c r="AG121">
        <f t="shared" si="26"/>
        <v>0.51153553001876173</v>
      </c>
    </row>
    <row r="122" spans="1:33" x14ac:dyDescent="0.35">
      <c r="A122" t="s">
        <v>231</v>
      </c>
      <c r="B122" t="s">
        <v>232</v>
      </c>
      <c r="C122">
        <f>VLOOKUP(CONCATENATE("2001",'2001_60'!A122),aktivnepesseg!$C$2:$D$2226,2,FALSE)</f>
        <v>24788</v>
      </c>
      <c r="D122">
        <f t="shared" si="18"/>
        <v>18366</v>
      </c>
      <c r="E122">
        <f t="shared" si="19"/>
        <v>6422</v>
      </c>
      <c r="F122">
        <v>2220</v>
      </c>
      <c r="G122">
        <v>998</v>
      </c>
      <c r="H122">
        <v>1558</v>
      </c>
      <c r="I122">
        <v>1790</v>
      </c>
      <c r="J122">
        <v>2461</v>
      </c>
      <c r="K122">
        <v>1880</v>
      </c>
      <c r="L122">
        <v>1494</v>
      </c>
      <c r="M122">
        <v>1244</v>
      </c>
      <c r="N122">
        <v>982</v>
      </c>
      <c r="O122">
        <v>791</v>
      </c>
      <c r="P122">
        <v>1811</v>
      </c>
      <c r="Q122">
        <v>627</v>
      </c>
      <c r="R122">
        <v>246</v>
      </c>
      <c r="S122">
        <v>231</v>
      </c>
      <c r="T122">
        <v>33</v>
      </c>
      <c r="U122">
        <f t="shared" si="27"/>
        <v>6422</v>
      </c>
      <c r="V122">
        <f t="shared" si="27"/>
        <v>1998</v>
      </c>
      <c r="W122">
        <f t="shared" si="27"/>
        <v>698.59999999999991</v>
      </c>
      <c r="X122">
        <f t="shared" si="27"/>
        <v>779</v>
      </c>
      <c r="Y122">
        <f t="shared" si="27"/>
        <v>537</v>
      </c>
      <c r="Z122">
        <f t="shared" si="27"/>
        <v>246.10000000000002</v>
      </c>
      <c r="AA122" s="3">
        <f t="shared" si="20"/>
        <v>0.43088187832822339</v>
      </c>
      <c r="AB122">
        <f t="shared" si="21"/>
        <v>6422</v>
      </c>
      <c r="AC122">
        <f t="shared" si="22"/>
        <v>1942.5</v>
      </c>
      <c r="AD122">
        <f t="shared" si="23"/>
        <v>623.75</v>
      </c>
      <c r="AE122">
        <f t="shared" si="24"/>
        <v>584.25</v>
      </c>
      <c r="AF122">
        <f t="shared" si="25"/>
        <v>223.75</v>
      </c>
      <c r="AG122">
        <f t="shared" si="26"/>
        <v>0.39520130708407292</v>
      </c>
    </row>
    <row r="123" spans="1:33" x14ac:dyDescent="0.35">
      <c r="A123" t="s">
        <v>233</v>
      </c>
      <c r="B123" t="s">
        <v>234</v>
      </c>
      <c r="C123">
        <f>VLOOKUP(CONCATENATE("2001",'2001_60'!A123),aktivnepesseg!$C$2:$D$2226,2,FALSE)</f>
        <v>24710</v>
      </c>
      <c r="D123">
        <f t="shared" si="18"/>
        <v>17538</v>
      </c>
      <c r="E123">
        <f t="shared" si="19"/>
        <v>7172</v>
      </c>
      <c r="F123">
        <v>1189</v>
      </c>
      <c r="G123">
        <v>874</v>
      </c>
      <c r="H123">
        <v>1160</v>
      </c>
      <c r="I123">
        <v>1295</v>
      </c>
      <c r="J123">
        <v>2568</v>
      </c>
      <c r="K123">
        <v>1702</v>
      </c>
      <c r="L123">
        <v>1245</v>
      </c>
      <c r="M123">
        <v>1121</v>
      </c>
      <c r="N123">
        <v>993</v>
      </c>
      <c r="O123">
        <v>854</v>
      </c>
      <c r="P123">
        <v>2475</v>
      </c>
      <c r="Q123">
        <v>1085</v>
      </c>
      <c r="R123">
        <v>488</v>
      </c>
      <c r="S123">
        <v>424</v>
      </c>
      <c r="T123">
        <v>65</v>
      </c>
      <c r="U123">
        <f t="shared" si="27"/>
        <v>7172</v>
      </c>
      <c r="V123">
        <f t="shared" si="27"/>
        <v>1070.1000000000001</v>
      </c>
      <c r="W123">
        <f t="shared" si="27"/>
        <v>611.79999999999995</v>
      </c>
      <c r="X123">
        <f t="shared" si="27"/>
        <v>580</v>
      </c>
      <c r="Y123">
        <f t="shared" si="27"/>
        <v>388.5</v>
      </c>
      <c r="Z123">
        <f t="shared" si="27"/>
        <v>256.8</v>
      </c>
      <c r="AA123" s="3">
        <f t="shared" si="20"/>
        <v>0.40789963577498983</v>
      </c>
      <c r="AB123">
        <f t="shared" si="21"/>
        <v>7172</v>
      </c>
      <c r="AC123">
        <f t="shared" si="22"/>
        <v>1040.375</v>
      </c>
      <c r="AD123">
        <f t="shared" si="23"/>
        <v>546.25</v>
      </c>
      <c r="AE123">
        <f t="shared" si="24"/>
        <v>435</v>
      </c>
      <c r="AF123">
        <f t="shared" si="25"/>
        <v>161.875</v>
      </c>
      <c r="AG123">
        <f t="shared" si="26"/>
        <v>0.37861189801699718</v>
      </c>
    </row>
    <row r="124" spans="1:33" x14ac:dyDescent="0.35">
      <c r="A124" t="s">
        <v>235</v>
      </c>
      <c r="B124" t="s">
        <v>236</v>
      </c>
      <c r="C124">
        <f>VLOOKUP(CONCATENATE("2001",'2001_60'!A124),aktivnepesseg!$C$2:$D$2226,2,FALSE)</f>
        <v>17633</v>
      </c>
      <c r="D124">
        <f t="shared" si="18"/>
        <v>11961</v>
      </c>
      <c r="E124">
        <f t="shared" si="19"/>
        <v>5672</v>
      </c>
      <c r="F124">
        <v>897</v>
      </c>
      <c r="G124">
        <v>491</v>
      </c>
      <c r="H124">
        <v>807</v>
      </c>
      <c r="I124">
        <v>963</v>
      </c>
      <c r="J124">
        <v>1905</v>
      </c>
      <c r="K124">
        <v>1370</v>
      </c>
      <c r="L124">
        <v>1054</v>
      </c>
      <c r="M124">
        <v>856</v>
      </c>
      <c r="N124">
        <v>650</v>
      </c>
      <c r="O124">
        <v>530</v>
      </c>
      <c r="P124">
        <v>1386</v>
      </c>
      <c r="Q124">
        <v>539</v>
      </c>
      <c r="R124">
        <v>235</v>
      </c>
      <c r="S124">
        <v>246</v>
      </c>
      <c r="T124">
        <v>32</v>
      </c>
      <c r="U124">
        <f t="shared" si="27"/>
        <v>5672</v>
      </c>
      <c r="V124">
        <f t="shared" si="27"/>
        <v>807.30000000000007</v>
      </c>
      <c r="W124">
        <f t="shared" si="27"/>
        <v>343.7</v>
      </c>
      <c r="X124">
        <f t="shared" si="27"/>
        <v>403.5</v>
      </c>
      <c r="Y124">
        <f t="shared" si="27"/>
        <v>288.89999999999998</v>
      </c>
      <c r="Z124">
        <f t="shared" si="27"/>
        <v>190.5</v>
      </c>
      <c r="AA124" s="3">
        <f t="shared" si="20"/>
        <v>0.43701582260534222</v>
      </c>
      <c r="AB124">
        <f t="shared" si="21"/>
        <v>5672</v>
      </c>
      <c r="AC124">
        <f t="shared" si="22"/>
        <v>784.875</v>
      </c>
      <c r="AD124">
        <f t="shared" si="23"/>
        <v>306.875</v>
      </c>
      <c r="AE124">
        <f t="shared" si="24"/>
        <v>302.625</v>
      </c>
      <c r="AF124">
        <f t="shared" si="25"/>
        <v>120.375</v>
      </c>
      <c r="AG124">
        <f t="shared" si="26"/>
        <v>0.40757386718085409</v>
      </c>
    </row>
    <row r="125" spans="1:33" x14ac:dyDescent="0.35">
      <c r="A125" t="s">
        <v>237</v>
      </c>
      <c r="B125" t="s">
        <v>238</v>
      </c>
      <c r="C125">
        <f>VLOOKUP(CONCATENATE("2001",'2001_60'!A125),aktivnepesseg!$C$2:$D$2226,2,FALSE)</f>
        <v>155283</v>
      </c>
      <c r="D125">
        <f t="shared" si="18"/>
        <v>107473</v>
      </c>
      <c r="E125">
        <f t="shared" si="19"/>
        <v>47810</v>
      </c>
      <c r="F125">
        <v>6503</v>
      </c>
      <c r="G125">
        <v>4004</v>
      </c>
      <c r="H125">
        <v>5915</v>
      </c>
      <c r="I125">
        <v>6113</v>
      </c>
      <c r="J125">
        <v>13577</v>
      </c>
      <c r="K125">
        <v>9769</v>
      </c>
      <c r="L125">
        <v>7925</v>
      </c>
      <c r="M125">
        <v>7089</v>
      </c>
      <c r="N125">
        <v>6338</v>
      </c>
      <c r="O125">
        <v>5376</v>
      </c>
      <c r="P125">
        <v>17402</v>
      </c>
      <c r="Q125">
        <v>7632</v>
      </c>
      <c r="R125">
        <v>3696</v>
      </c>
      <c r="S125">
        <v>5023</v>
      </c>
      <c r="T125">
        <v>1111</v>
      </c>
      <c r="U125">
        <f t="shared" si="27"/>
        <v>47810</v>
      </c>
      <c r="V125">
        <f t="shared" si="27"/>
        <v>5852.7</v>
      </c>
      <c r="W125">
        <f t="shared" si="27"/>
        <v>2802.7999999999997</v>
      </c>
      <c r="X125">
        <f t="shared" si="27"/>
        <v>2957.5</v>
      </c>
      <c r="Y125">
        <f t="shared" si="27"/>
        <v>1833.8999999999999</v>
      </c>
      <c r="Z125">
        <f t="shared" si="27"/>
        <v>1357.7</v>
      </c>
      <c r="AA125" s="3">
        <f t="shared" si="20"/>
        <v>0.40322894328419723</v>
      </c>
      <c r="AB125">
        <f t="shared" si="21"/>
        <v>47810</v>
      </c>
      <c r="AC125">
        <f t="shared" si="22"/>
        <v>5690.125</v>
      </c>
      <c r="AD125">
        <f t="shared" si="23"/>
        <v>2502.5</v>
      </c>
      <c r="AE125">
        <f t="shared" si="24"/>
        <v>2218.125</v>
      </c>
      <c r="AF125">
        <f t="shared" si="25"/>
        <v>764.125</v>
      </c>
      <c r="AG125">
        <f t="shared" si="26"/>
        <v>0.37985404068700374</v>
      </c>
    </row>
    <row r="126" spans="1:33" x14ac:dyDescent="0.35">
      <c r="A126" t="s">
        <v>239</v>
      </c>
      <c r="B126" t="s">
        <v>240</v>
      </c>
      <c r="C126">
        <f>VLOOKUP(CONCATENATE("2001",'2001_60'!A126),aktivnepesseg!$C$2:$D$2226,2,FALSE)</f>
        <v>22306</v>
      </c>
      <c r="D126">
        <f t="shared" si="18"/>
        <v>16701</v>
      </c>
      <c r="E126">
        <f t="shared" si="19"/>
        <v>5605</v>
      </c>
      <c r="F126">
        <v>1434</v>
      </c>
      <c r="G126">
        <v>662</v>
      </c>
      <c r="H126">
        <v>1022</v>
      </c>
      <c r="I126">
        <v>1156</v>
      </c>
      <c r="J126">
        <v>2505</v>
      </c>
      <c r="K126">
        <v>1660</v>
      </c>
      <c r="L126">
        <v>1381</v>
      </c>
      <c r="M126">
        <v>1176</v>
      </c>
      <c r="N126">
        <v>999</v>
      </c>
      <c r="O126">
        <v>954</v>
      </c>
      <c r="P126">
        <v>2376</v>
      </c>
      <c r="Q126">
        <v>705</v>
      </c>
      <c r="R126">
        <v>284</v>
      </c>
      <c r="S126">
        <v>323</v>
      </c>
      <c r="T126">
        <v>64</v>
      </c>
      <c r="U126">
        <f t="shared" si="27"/>
        <v>5605</v>
      </c>
      <c r="V126">
        <f t="shared" si="27"/>
        <v>1290.6000000000001</v>
      </c>
      <c r="W126">
        <f t="shared" si="27"/>
        <v>463.4</v>
      </c>
      <c r="X126">
        <f t="shared" si="27"/>
        <v>511</v>
      </c>
      <c r="Y126">
        <f t="shared" si="27"/>
        <v>346.8</v>
      </c>
      <c r="Z126">
        <f t="shared" si="27"/>
        <v>250.5</v>
      </c>
      <c r="AA126" s="3">
        <f t="shared" si="20"/>
        <v>0.3795974177351385</v>
      </c>
      <c r="AB126">
        <f t="shared" si="21"/>
        <v>5605</v>
      </c>
      <c r="AC126">
        <f t="shared" si="22"/>
        <v>1254.75</v>
      </c>
      <c r="AD126">
        <f t="shared" si="23"/>
        <v>413.75</v>
      </c>
      <c r="AE126">
        <f t="shared" si="24"/>
        <v>383.25</v>
      </c>
      <c r="AF126">
        <f t="shared" si="25"/>
        <v>144.5</v>
      </c>
      <c r="AG126">
        <f t="shared" si="26"/>
        <v>0.34973773872500674</v>
      </c>
    </row>
    <row r="127" spans="1:33" x14ac:dyDescent="0.35">
      <c r="A127" t="s">
        <v>241</v>
      </c>
      <c r="B127" t="s">
        <v>242</v>
      </c>
      <c r="C127">
        <f>VLOOKUP(CONCATENATE("2001",'2001_60'!A127),aktivnepesseg!$C$2:$D$2226,2,FALSE)</f>
        <v>34867</v>
      </c>
      <c r="D127">
        <f t="shared" si="18"/>
        <v>23286</v>
      </c>
      <c r="E127">
        <f t="shared" si="19"/>
        <v>11581</v>
      </c>
      <c r="F127">
        <v>1336</v>
      </c>
      <c r="G127">
        <v>719</v>
      </c>
      <c r="H127">
        <v>1265</v>
      </c>
      <c r="I127">
        <v>1356</v>
      </c>
      <c r="J127">
        <v>3797</v>
      </c>
      <c r="K127">
        <v>1884</v>
      </c>
      <c r="L127">
        <v>1415</v>
      </c>
      <c r="M127">
        <v>1373</v>
      </c>
      <c r="N127">
        <v>1280</v>
      </c>
      <c r="O127">
        <v>1176</v>
      </c>
      <c r="P127">
        <v>4026</v>
      </c>
      <c r="Q127">
        <v>1858</v>
      </c>
      <c r="R127">
        <v>832</v>
      </c>
      <c r="S127">
        <v>823</v>
      </c>
      <c r="T127">
        <v>146</v>
      </c>
      <c r="U127">
        <f t="shared" si="27"/>
        <v>11581</v>
      </c>
      <c r="V127">
        <f t="shared" si="27"/>
        <v>1202.4000000000001</v>
      </c>
      <c r="W127">
        <f t="shared" si="27"/>
        <v>503.29999999999995</v>
      </c>
      <c r="X127">
        <f t="shared" si="27"/>
        <v>632.5</v>
      </c>
      <c r="Y127">
        <f t="shared" si="27"/>
        <v>406.8</v>
      </c>
      <c r="Z127">
        <f t="shared" si="27"/>
        <v>379.70000000000005</v>
      </c>
      <c r="AA127" s="3">
        <f t="shared" si="20"/>
        <v>0.42176556629477724</v>
      </c>
      <c r="AB127">
        <f t="shared" si="21"/>
        <v>11581</v>
      </c>
      <c r="AC127">
        <f t="shared" si="22"/>
        <v>1169</v>
      </c>
      <c r="AD127">
        <f t="shared" si="23"/>
        <v>449.375</v>
      </c>
      <c r="AE127">
        <f t="shared" si="24"/>
        <v>474.375</v>
      </c>
      <c r="AF127">
        <f t="shared" si="25"/>
        <v>169.5</v>
      </c>
      <c r="AG127">
        <f t="shared" si="26"/>
        <v>0.39703014311526658</v>
      </c>
    </row>
    <row r="128" spans="1:33" x14ac:dyDescent="0.35">
      <c r="A128" t="s">
        <v>243</v>
      </c>
      <c r="B128" t="s">
        <v>244</v>
      </c>
      <c r="C128">
        <f>VLOOKUP(CONCATENATE("2001",'2001_60'!A128),aktivnepesseg!$C$2:$D$2226,2,FALSE)</f>
        <v>16320</v>
      </c>
      <c r="D128">
        <f t="shared" si="18"/>
        <v>11853</v>
      </c>
      <c r="E128">
        <f t="shared" si="19"/>
        <v>4467</v>
      </c>
      <c r="F128">
        <v>2481</v>
      </c>
      <c r="G128">
        <v>584</v>
      </c>
      <c r="H128">
        <v>1025</v>
      </c>
      <c r="I128">
        <v>972</v>
      </c>
      <c r="J128">
        <v>1797</v>
      </c>
      <c r="K128">
        <v>1092</v>
      </c>
      <c r="L128">
        <v>658</v>
      </c>
      <c r="M128">
        <v>538</v>
      </c>
      <c r="N128">
        <v>421</v>
      </c>
      <c r="O128">
        <v>388</v>
      </c>
      <c r="P128">
        <v>1158</v>
      </c>
      <c r="Q128">
        <v>412</v>
      </c>
      <c r="R128">
        <v>150</v>
      </c>
      <c r="S128">
        <v>149</v>
      </c>
      <c r="T128">
        <v>28</v>
      </c>
      <c r="U128">
        <f t="shared" si="27"/>
        <v>4467</v>
      </c>
      <c r="V128">
        <f t="shared" si="27"/>
        <v>2232.9</v>
      </c>
      <c r="W128">
        <f t="shared" si="27"/>
        <v>408.79999999999995</v>
      </c>
      <c r="X128">
        <f t="shared" si="27"/>
        <v>512.5</v>
      </c>
      <c r="Y128">
        <f t="shared" si="27"/>
        <v>291.59999999999997</v>
      </c>
      <c r="Z128">
        <f t="shared" si="27"/>
        <v>179.70000000000002</v>
      </c>
      <c r="AA128" s="3">
        <f t="shared" si="20"/>
        <v>0.49586397058823528</v>
      </c>
      <c r="AB128">
        <f t="shared" si="21"/>
        <v>4467</v>
      </c>
      <c r="AC128">
        <f t="shared" si="22"/>
        <v>2170.875</v>
      </c>
      <c r="AD128">
        <f t="shared" si="23"/>
        <v>365</v>
      </c>
      <c r="AE128">
        <f t="shared" si="24"/>
        <v>384.375</v>
      </c>
      <c r="AF128">
        <f t="shared" si="25"/>
        <v>121.5</v>
      </c>
      <c r="AG128">
        <f t="shared" si="26"/>
        <v>0.46009497549019607</v>
      </c>
    </row>
    <row r="129" spans="1:33" x14ac:dyDescent="0.35">
      <c r="A129" t="s">
        <v>245</v>
      </c>
      <c r="B129" t="s">
        <v>246</v>
      </c>
      <c r="C129">
        <f>VLOOKUP(CONCATENATE("2001",'2001_60'!A129),aktivnepesseg!$C$2:$D$2226,2,FALSE)</f>
        <v>20472</v>
      </c>
      <c r="D129">
        <f t="shared" si="18"/>
        <v>16845</v>
      </c>
      <c r="E129">
        <f t="shared" si="19"/>
        <v>3627</v>
      </c>
      <c r="F129">
        <v>738</v>
      </c>
      <c r="G129">
        <v>337</v>
      </c>
      <c r="H129">
        <v>561</v>
      </c>
      <c r="I129">
        <v>691</v>
      </c>
      <c r="J129">
        <v>1719</v>
      </c>
      <c r="K129">
        <v>1093</v>
      </c>
      <c r="L129">
        <v>921</v>
      </c>
      <c r="M129">
        <v>904</v>
      </c>
      <c r="N129">
        <v>993</v>
      </c>
      <c r="O129">
        <v>1260</v>
      </c>
      <c r="P129">
        <v>4495</v>
      </c>
      <c r="Q129">
        <v>1558</v>
      </c>
      <c r="R129">
        <v>754</v>
      </c>
      <c r="S129">
        <v>724</v>
      </c>
      <c r="T129">
        <v>97</v>
      </c>
      <c r="U129">
        <f t="shared" si="27"/>
        <v>3627</v>
      </c>
      <c r="V129">
        <f t="shared" si="27"/>
        <v>664.2</v>
      </c>
      <c r="W129">
        <f t="shared" si="27"/>
        <v>235.89999999999998</v>
      </c>
      <c r="X129">
        <f t="shared" si="27"/>
        <v>280.5</v>
      </c>
      <c r="Y129">
        <f t="shared" si="27"/>
        <v>207.29999999999998</v>
      </c>
      <c r="Z129">
        <f t="shared" si="27"/>
        <v>171.9</v>
      </c>
      <c r="AA129" s="3">
        <f t="shared" si="20"/>
        <v>0.25336068776865961</v>
      </c>
      <c r="AB129">
        <f t="shared" si="21"/>
        <v>3627</v>
      </c>
      <c r="AC129">
        <f t="shared" si="22"/>
        <v>645.75</v>
      </c>
      <c r="AD129">
        <f t="shared" si="23"/>
        <v>210.625</v>
      </c>
      <c r="AE129">
        <f t="shared" si="24"/>
        <v>210.375</v>
      </c>
      <c r="AF129">
        <f t="shared" si="25"/>
        <v>86.375</v>
      </c>
      <c r="AG129">
        <f t="shared" si="26"/>
        <v>0.23349575029308323</v>
      </c>
    </row>
    <row r="130" spans="1:33" x14ac:dyDescent="0.35">
      <c r="A130" t="s">
        <v>247</v>
      </c>
      <c r="B130" t="s">
        <v>248</v>
      </c>
      <c r="C130">
        <f>VLOOKUP(CONCATENATE("2001",'2001_60'!A130),aktivnepesseg!$C$2:$D$2226,2,FALSE)</f>
        <v>41981</v>
      </c>
      <c r="D130">
        <f t="shared" si="18"/>
        <v>33519</v>
      </c>
      <c r="E130">
        <f t="shared" si="19"/>
        <v>8462</v>
      </c>
      <c r="F130">
        <v>2115</v>
      </c>
      <c r="G130">
        <v>967</v>
      </c>
      <c r="H130">
        <v>1610</v>
      </c>
      <c r="I130">
        <v>1721</v>
      </c>
      <c r="J130">
        <v>4820</v>
      </c>
      <c r="K130">
        <v>2621</v>
      </c>
      <c r="L130">
        <v>2179</v>
      </c>
      <c r="M130">
        <v>2119</v>
      </c>
      <c r="N130">
        <v>1947</v>
      </c>
      <c r="O130">
        <v>1863</v>
      </c>
      <c r="P130">
        <v>6670</v>
      </c>
      <c r="Q130">
        <v>2712</v>
      </c>
      <c r="R130">
        <v>984</v>
      </c>
      <c r="S130">
        <v>1015</v>
      </c>
      <c r="T130">
        <v>176</v>
      </c>
      <c r="U130">
        <f t="shared" si="27"/>
        <v>8462</v>
      </c>
      <c r="V130">
        <f t="shared" si="27"/>
        <v>1903.5</v>
      </c>
      <c r="W130">
        <f t="shared" si="27"/>
        <v>676.9</v>
      </c>
      <c r="X130">
        <f t="shared" si="27"/>
        <v>805</v>
      </c>
      <c r="Y130">
        <f t="shared" si="27"/>
        <v>516.29999999999995</v>
      </c>
      <c r="Z130">
        <f t="shared" si="27"/>
        <v>482</v>
      </c>
      <c r="AA130" s="3">
        <f t="shared" si="20"/>
        <v>0.30598842333436554</v>
      </c>
      <c r="AB130">
        <f t="shared" si="21"/>
        <v>8462</v>
      </c>
      <c r="AC130">
        <f t="shared" si="22"/>
        <v>1850.625</v>
      </c>
      <c r="AD130">
        <f t="shared" si="23"/>
        <v>604.375</v>
      </c>
      <c r="AE130">
        <f t="shared" si="24"/>
        <v>603.75</v>
      </c>
      <c r="AF130">
        <f t="shared" si="25"/>
        <v>215.125</v>
      </c>
      <c r="AG130">
        <f t="shared" si="26"/>
        <v>0.27955205926490556</v>
      </c>
    </row>
    <row r="131" spans="1:33" x14ac:dyDescent="0.35">
      <c r="A131" t="s">
        <v>249</v>
      </c>
      <c r="B131" t="s">
        <v>250</v>
      </c>
      <c r="C131">
        <f>VLOOKUP(CONCATENATE("2001",'2001_60'!A131),aktivnepesseg!$C$2:$D$2226,2,FALSE)</f>
        <v>16296</v>
      </c>
      <c r="D131">
        <f t="shared" si="18"/>
        <v>11062</v>
      </c>
      <c r="E131">
        <f t="shared" si="19"/>
        <v>5234</v>
      </c>
      <c r="F131">
        <v>601</v>
      </c>
      <c r="G131">
        <v>420</v>
      </c>
      <c r="H131">
        <v>666</v>
      </c>
      <c r="I131">
        <v>759</v>
      </c>
      <c r="J131">
        <v>1590</v>
      </c>
      <c r="K131">
        <v>1488</v>
      </c>
      <c r="L131">
        <v>1111</v>
      </c>
      <c r="M131">
        <v>1017</v>
      </c>
      <c r="N131">
        <v>822</v>
      </c>
      <c r="O131">
        <v>530</v>
      </c>
      <c r="P131">
        <v>1294</v>
      </c>
      <c r="Q131">
        <v>393</v>
      </c>
      <c r="R131">
        <v>167</v>
      </c>
      <c r="S131">
        <v>182</v>
      </c>
      <c r="T131">
        <v>22</v>
      </c>
      <c r="U131">
        <f t="shared" si="27"/>
        <v>5234</v>
      </c>
      <c r="V131">
        <f t="shared" si="27"/>
        <v>540.9</v>
      </c>
      <c r="W131">
        <f t="shared" si="27"/>
        <v>294</v>
      </c>
      <c r="X131">
        <f t="shared" si="27"/>
        <v>333</v>
      </c>
      <c r="Y131">
        <f t="shared" si="27"/>
        <v>227.7</v>
      </c>
      <c r="Z131">
        <f t="shared" si="27"/>
        <v>159</v>
      </c>
      <c r="AA131" s="3">
        <f t="shared" si="20"/>
        <v>0.41658075601374567</v>
      </c>
      <c r="AB131">
        <f t="shared" si="21"/>
        <v>5234</v>
      </c>
      <c r="AC131">
        <f t="shared" si="22"/>
        <v>525.875</v>
      </c>
      <c r="AD131">
        <f t="shared" si="23"/>
        <v>262.5</v>
      </c>
      <c r="AE131">
        <f t="shared" si="24"/>
        <v>249.75</v>
      </c>
      <c r="AF131">
        <f t="shared" si="25"/>
        <v>94.875</v>
      </c>
      <c r="AG131">
        <f t="shared" si="26"/>
        <v>0.3907093765341188</v>
      </c>
    </row>
    <row r="132" spans="1:33" x14ac:dyDescent="0.35">
      <c r="A132" t="s">
        <v>251</v>
      </c>
      <c r="B132" t="s">
        <v>252</v>
      </c>
      <c r="C132">
        <f>VLOOKUP(CONCATENATE("2001",'2001_60'!A132),aktivnepesseg!$C$2:$D$2226,2,FALSE)</f>
        <v>17922</v>
      </c>
      <c r="D132">
        <f t="shared" si="18"/>
        <v>9942</v>
      </c>
      <c r="E132">
        <f t="shared" si="19"/>
        <v>7980</v>
      </c>
      <c r="F132">
        <v>853</v>
      </c>
      <c r="G132">
        <v>519</v>
      </c>
      <c r="H132">
        <v>794</v>
      </c>
      <c r="I132">
        <v>916</v>
      </c>
      <c r="J132">
        <v>1842</v>
      </c>
      <c r="K132">
        <v>1040</v>
      </c>
      <c r="L132">
        <v>843</v>
      </c>
      <c r="M132">
        <v>618</v>
      </c>
      <c r="N132">
        <v>496</v>
      </c>
      <c r="O132">
        <v>373</v>
      </c>
      <c r="P132">
        <v>989</v>
      </c>
      <c r="Q132">
        <v>381</v>
      </c>
      <c r="R132">
        <v>116</v>
      </c>
      <c r="S132">
        <v>148</v>
      </c>
      <c r="T132">
        <v>14</v>
      </c>
      <c r="U132">
        <f t="shared" si="27"/>
        <v>7980</v>
      </c>
      <c r="V132">
        <f t="shared" si="27"/>
        <v>767.7</v>
      </c>
      <c r="W132">
        <f t="shared" si="27"/>
        <v>363.29999999999995</v>
      </c>
      <c r="X132">
        <f t="shared" si="27"/>
        <v>397</v>
      </c>
      <c r="Y132">
        <f t="shared" si="27"/>
        <v>274.8</v>
      </c>
      <c r="Z132">
        <f t="shared" si="27"/>
        <v>184.20000000000002</v>
      </c>
      <c r="AA132" s="3">
        <f t="shared" si="20"/>
        <v>0.5561321281107019</v>
      </c>
      <c r="AB132">
        <f t="shared" si="21"/>
        <v>7980</v>
      </c>
      <c r="AC132">
        <f t="shared" si="22"/>
        <v>746.375</v>
      </c>
      <c r="AD132">
        <f t="shared" si="23"/>
        <v>324.375</v>
      </c>
      <c r="AE132">
        <f t="shared" si="24"/>
        <v>297.75</v>
      </c>
      <c r="AF132">
        <f t="shared" si="25"/>
        <v>114.5</v>
      </c>
      <c r="AG132">
        <f t="shared" si="26"/>
        <v>0.52801026671130458</v>
      </c>
    </row>
    <row r="133" spans="1:33" x14ac:dyDescent="0.35">
      <c r="A133" t="s">
        <v>253</v>
      </c>
      <c r="B133" t="s">
        <v>254</v>
      </c>
      <c r="C133">
        <f>VLOOKUP(CONCATENATE("2001",'2001_60'!A133),aktivnepesseg!$C$2:$D$2226,2,FALSE)</f>
        <v>48629</v>
      </c>
      <c r="D133">
        <f t="shared" si="18"/>
        <v>35576</v>
      </c>
      <c r="E133">
        <f t="shared" si="19"/>
        <v>13053</v>
      </c>
      <c r="F133">
        <v>2642</v>
      </c>
      <c r="G133">
        <v>1289</v>
      </c>
      <c r="H133">
        <v>1951</v>
      </c>
      <c r="I133">
        <v>2114</v>
      </c>
      <c r="J133">
        <v>5610</v>
      </c>
      <c r="K133">
        <v>3355</v>
      </c>
      <c r="L133">
        <v>2700</v>
      </c>
      <c r="M133">
        <v>2410</v>
      </c>
      <c r="N133">
        <v>2041</v>
      </c>
      <c r="O133">
        <v>1696</v>
      </c>
      <c r="P133">
        <v>5363</v>
      </c>
      <c r="Q133">
        <v>2110</v>
      </c>
      <c r="R133">
        <v>868</v>
      </c>
      <c r="S133">
        <v>1167</v>
      </c>
      <c r="T133">
        <v>260</v>
      </c>
      <c r="U133">
        <f t="shared" si="27"/>
        <v>13053</v>
      </c>
      <c r="V133">
        <f t="shared" si="27"/>
        <v>2377.8000000000002</v>
      </c>
      <c r="W133">
        <f t="shared" si="27"/>
        <v>902.3</v>
      </c>
      <c r="X133">
        <f t="shared" si="27"/>
        <v>975.5</v>
      </c>
      <c r="Y133">
        <f t="shared" si="27"/>
        <v>634.19999999999993</v>
      </c>
      <c r="Z133">
        <f t="shared" si="27"/>
        <v>561</v>
      </c>
      <c r="AA133" s="3">
        <f t="shared" si="20"/>
        <v>0.38050957247732831</v>
      </c>
      <c r="AB133">
        <f t="shared" si="21"/>
        <v>13053</v>
      </c>
      <c r="AC133">
        <f t="shared" si="22"/>
        <v>2311.75</v>
      </c>
      <c r="AD133">
        <f t="shared" si="23"/>
        <v>805.625</v>
      </c>
      <c r="AE133">
        <f t="shared" si="24"/>
        <v>731.625</v>
      </c>
      <c r="AF133">
        <f t="shared" si="25"/>
        <v>264.25</v>
      </c>
      <c r="AG133">
        <f t="shared" si="26"/>
        <v>0.35300438010240803</v>
      </c>
    </row>
    <row r="134" spans="1:33" x14ac:dyDescent="0.35">
      <c r="A134" t="s">
        <v>255</v>
      </c>
      <c r="B134" t="s">
        <v>256</v>
      </c>
      <c r="C134">
        <f>VLOOKUP(CONCATENATE("2001",'2001_60'!A134),aktivnepesseg!$C$2:$D$2226,2,FALSE)</f>
        <v>41028</v>
      </c>
      <c r="D134">
        <f t="shared" si="18"/>
        <v>26700</v>
      </c>
      <c r="E134">
        <f t="shared" si="19"/>
        <v>14328</v>
      </c>
      <c r="F134">
        <v>1465</v>
      </c>
      <c r="G134">
        <v>932</v>
      </c>
      <c r="H134">
        <v>1536</v>
      </c>
      <c r="I134">
        <v>1806</v>
      </c>
      <c r="J134">
        <v>4584</v>
      </c>
      <c r="K134">
        <v>2460</v>
      </c>
      <c r="L134">
        <v>1686</v>
      </c>
      <c r="M134">
        <v>1737</v>
      </c>
      <c r="N134">
        <v>1758</v>
      </c>
      <c r="O134">
        <v>1431</v>
      </c>
      <c r="P134">
        <v>4225</v>
      </c>
      <c r="Q134">
        <v>1767</v>
      </c>
      <c r="R134">
        <v>647</v>
      </c>
      <c r="S134">
        <v>609</v>
      </c>
      <c r="T134">
        <v>57</v>
      </c>
      <c r="U134">
        <f t="shared" si="27"/>
        <v>14328</v>
      </c>
      <c r="V134">
        <f t="shared" si="27"/>
        <v>1318.5</v>
      </c>
      <c r="W134">
        <f t="shared" si="27"/>
        <v>652.4</v>
      </c>
      <c r="X134">
        <f t="shared" si="27"/>
        <v>768</v>
      </c>
      <c r="Y134">
        <f t="shared" si="27"/>
        <v>541.79999999999995</v>
      </c>
      <c r="Z134">
        <f t="shared" si="27"/>
        <v>458.40000000000003</v>
      </c>
      <c r="AA134" s="3">
        <f t="shared" si="20"/>
        <v>0.44036024178609734</v>
      </c>
      <c r="AB134">
        <f t="shared" si="21"/>
        <v>14328</v>
      </c>
      <c r="AC134">
        <f t="shared" si="22"/>
        <v>1281.875</v>
      </c>
      <c r="AD134">
        <f t="shared" si="23"/>
        <v>582.5</v>
      </c>
      <c r="AE134">
        <f t="shared" si="24"/>
        <v>576</v>
      </c>
      <c r="AF134">
        <f t="shared" si="25"/>
        <v>225.75</v>
      </c>
      <c r="AG134">
        <f t="shared" si="26"/>
        <v>0.41420797991615482</v>
      </c>
    </row>
    <row r="135" spans="1:33" x14ac:dyDescent="0.35">
      <c r="A135" t="s">
        <v>257</v>
      </c>
      <c r="B135" t="s">
        <v>258</v>
      </c>
      <c r="C135">
        <f>VLOOKUP(CONCATENATE("2001",'2001_60'!A135),aktivnepesseg!$C$2:$D$2226,2,FALSE)</f>
        <v>16511</v>
      </c>
      <c r="D135">
        <f t="shared" si="18"/>
        <v>11285</v>
      </c>
      <c r="E135">
        <f t="shared" si="19"/>
        <v>5226</v>
      </c>
      <c r="F135">
        <v>780</v>
      </c>
      <c r="G135">
        <v>377</v>
      </c>
      <c r="H135">
        <v>679</v>
      </c>
      <c r="I135">
        <v>706</v>
      </c>
      <c r="J135">
        <v>1768</v>
      </c>
      <c r="K135">
        <v>1032</v>
      </c>
      <c r="L135">
        <v>880</v>
      </c>
      <c r="M135">
        <v>787</v>
      </c>
      <c r="N135">
        <v>772</v>
      </c>
      <c r="O135">
        <v>623</v>
      </c>
      <c r="P135">
        <v>1607</v>
      </c>
      <c r="Q135">
        <v>633</v>
      </c>
      <c r="R135">
        <v>268</v>
      </c>
      <c r="S135">
        <v>314</v>
      </c>
      <c r="T135">
        <v>59</v>
      </c>
      <c r="U135">
        <f t="shared" si="27"/>
        <v>5226</v>
      </c>
      <c r="V135">
        <f t="shared" si="27"/>
        <v>702</v>
      </c>
      <c r="W135">
        <f t="shared" si="27"/>
        <v>263.89999999999998</v>
      </c>
      <c r="X135">
        <f t="shared" si="27"/>
        <v>339.5</v>
      </c>
      <c r="Y135">
        <f t="shared" si="27"/>
        <v>211.79999999999998</v>
      </c>
      <c r="Z135">
        <f t="shared" si="27"/>
        <v>176.8</v>
      </c>
      <c r="AA135" s="3">
        <f t="shared" si="20"/>
        <v>0.41911452970746776</v>
      </c>
      <c r="AB135">
        <f t="shared" si="21"/>
        <v>5226</v>
      </c>
      <c r="AC135">
        <f t="shared" si="22"/>
        <v>682.5</v>
      </c>
      <c r="AD135">
        <f t="shared" si="23"/>
        <v>235.625</v>
      </c>
      <c r="AE135">
        <f t="shared" si="24"/>
        <v>254.625</v>
      </c>
      <c r="AF135">
        <f t="shared" si="25"/>
        <v>88.25</v>
      </c>
      <c r="AG135">
        <f t="shared" si="26"/>
        <v>0.39288958875900915</v>
      </c>
    </row>
    <row r="136" spans="1:33" x14ac:dyDescent="0.35">
      <c r="A136" t="s">
        <v>259</v>
      </c>
      <c r="B136" t="s">
        <v>260</v>
      </c>
      <c r="C136">
        <f>VLOOKUP(CONCATENATE("2001",'2001_60'!A136),aktivnepesseg!$C$2:$D$2226,2,FALSE)</f>
        <v>16565</v>
      </c>
      <c r="D136">
        <f t="shared" si="18"/>
        <v>9301</v>
      </c>
      <c r="E136">
        <f t="shared" si="19"/>
        <v>7264</v>
      </c>
      <c r="F136">
        <v>767</v>
      </c>
      <c r="G136">
        <v>395</v>
      </c>
      <c r="H136">
        <v>714</v>
      </c>
      <c r="I136">
        <v>763</v>
      </c>
      <c r="J136">
        <v>1728</v>
      </c>
      <c r="K136">
        <v>1029</v>
      </c>
      <c r="L136">
        <v>740</v>
      </c>
      <c r="M136">
        <v>531</v>
      </c>
      <c r="N136">
        <v>447</v>
      </c>
      <c r="O136">
        <v>400</v>
      </c>
      <c r="P136">
        <v>1108</v>
      </c>
      <c r="Q136">
        <v>404</v>
      </c>
      <c r="R136">
        <v>153</v>
      </c>
      <c r="S136">
        <v>114</v>
      </c>
      <c r="T136">
        <v>8</v>
      </c>
      <c r="U136">
        <f t="shared" ref="U136:Z167" si="28">E136*E$5</f>
        <v>7264</v>
      </c>
      <c r="V136">
        <f t="shared" si="28"/>
        <v>690.30000000000007</v>
      </c>
      <c r="W136">
        <f t="shared" si="28"/>
        <v>276.5</v>
      </c>
      <c r="X136">
        <f t="shared" si="28"/>
        <v>357</v>
      </c>
      <c r="Y136">
        <f t="shared" si="28"/>
        <v>228.9</v>
      </c>
      <c r="Z136">
        <f t="shared" si="28"/>
        <v>172.8</v>
      </c>
      <c r="AA136" s="3">
        <f t="shared" si="20"/>
        <v>0.54268035013582849</v>
      </c>
      <c r="AB136">
        <f t="shared" si="21"/>
        <v>7264</v>
      </c>
      <c r="AC136">
        <f t="shared" si="22"/>
        <v>671.125</v>
      </c>
      <c r="AD136">
        <f t="shared" si="23"/>
        <v>246.875</v>
      </c>
      <c r="AE136">
        <f t="shared" si="24"/>
        <v>267.75</v>
      </c>
      <c r="AF136">
        <f t="shared" si="25"/>
        <v>95.375</v>
      </c>
      <c r="AG136">
        <f t="shared" si="26"/>
        <v>0.51585421068517956</v>
      </c>
    </row>
    <row r="137" spans="1:33" x14ac:dyDescent="0.35">
      <c r="A137" t="s">
        <v>261</v>
      </c>
      <c r="B137" t="s">
        <v>262</v>
      </c>
      <c r="C137">
        <f>VLOOKUP(CONCATENATE("2001",'2001_60'!A137),aktivnepesseg!$C$2:$D$2226,2,FALSE)</f>
        <v>24633</v>
      </c>
      <c r="D137">
        <f t="shared" ref="D137:D199" si="29">SUM(F137:T137)</f>
        <v>14193</v>
      </c>
      <c r="E137">
        <f t="shared" ref="E137:E199" si="30">C137-D137</f>
        <v>10440</v>
      </c>
      <c r="F137">
        <v>1357</v>
      </c>
      <c r="G137">
        <v>846</v>
      </c>
      <c r="H137">
        <v>1118</v>
      </c>
      <c r="I137">
        <v>1282</v>
      </c>
      <c r="J137">
        <v>2292</v>
      </c>
      <c r="K137">
        <v>1433</v>
      </c>
      <c r="L137">
        <v>1012</v>
      </c>
      <c r="M137">
        <v>773</v>
      </c>
      <c r="N137">
        <v>673</v>
      </c>
      <c r="O137">
        <v>537</v>
      </c>
      <c r="P137">
        <v>1550</v>
      </c>
      <c r="Q137">
        <v>663</v>
      </c>
      <c r="R137">
        <v>286</v>
      </c>
      <c r="S137">
        <v>346</v>
      </c>
      <c r="T137">
        <v>25</v>
      </c>
      <c r="U137">
        <f t="shared" si="28"/>
        <v>10440</v>
      </c>
      <c r="V137">
        <f t="shared" si="28"/>
        <v>1221.3</v>
      </c>
      <c r="W137">
        <f t="shared" si="28"/>
        <v>592.19999999999993</v>
      </c>
      <c r="X137">
        <f t="shared" si="28"/>
        <v>559</v>
      </c>
      <c r="Y137">
        <f t="shared" si="28"/>
        <v>384.59999999999997</v>
      </c>
      <c r="Z137">
        <f t="shared" si="28"/>
        <v>229.20000000000002</v>
      </c>
      <c r="AA137" s="3">
        <f t="shared" ref="AA137:AA200" si="31">SUM(U137:Z137)/$C137</f>
        <v>0.5450533836723096</v>
      </c>
      <c r="AB137">
        <f t="shared" ref="AB137:AB200" si="32">E137*E$6</f>
        <v>10440</v>
      </c>
      <c r="AC137">
        <f t="shared" ref="AC137:AC200" si="33">F137*F$6</f>
        <v>1187.375</v>
      </c>
      <c r="AD137">
        <f t="shared" ref="AD137:AD200" si="34">G137*G$6</f>
        <v>528.75</v>
      </c>
      <c r="AE137">
        <f t="shared" ref="AE137:AE200" si="35">H137*H$6</f>
        <v>419.25</v>
      </c>
      <c r="AF137">
        <f t="shared" ref="AF137:AF200" si="36">I137*I$6</f>
        <v>160.25</v>
      </c>
      <c r="AG137">
        <f t="shared" ref="AG137:AG200" si="37">SUM(AB137:AF137)/$C137</f>
        <v>0.51701477692526288</v>
      </c>
    </row>
    <row r="138" spans="1:33" x14ac:dyDescent="0.35">
      <c r="A138" t="s">
        <v>263</v>
      </c>
      <c r="B138" t="s">
        <v>264</v>
      </c>
      <c r="C138">
        <f>VLOOKUP(CONCATENATE("2001",'2001_60'!A138),aktivnepesseg!$C$2:$D$2226,2,FALSE)</f>
        <v>100548</v>
      </c>
      <c r="D138">
        <f t="shared" si="29"/>
        <v>69342</v>
      </c>
      <c r="E138">
        <f t="shared" si="30"/>
        <v>31206</v>
      </c>
      <c r="F138">
        <v>4989</v>
      </c>
      <c r="G138">
        <v>2633</v>
      </c>
      <c r="H138">
        <v>4165</v>
      </c>
      <c r="I138">
        <v>4619</v>
      </c>
      <c r="J138">
        <v>11385</v>
      </c>
      <c r="K138">
        <v>6257</v>
      </c>
      <c r="L138">
        <v>4891</v>
      </c>
      <c r="M138">
        <v>4244</v>
      </c>
      <c r="N138">
        <v>3459</v>
      </c>
      <c r="O138">
        <v>3044</v>
      </c>
      <c r="P138">
        <v>10108</v>
      </c>
      <c r="Q138">
        <v>4225</v>
      </c>
      <c r="R138">
        <v>1950</v>
      </c>
      <c r="S138">
        <v>2809</v>
      </c>
      <c r="T138">
        <v>564</v>
      </c>
      <c r="U138">
        <f t="shared" si="28"/>
        <v>31206</v>
      </c>
      <c r="V138">
        <f t="shared" si="28"/>
        <v>4490.1000000000004</v>
      </c>
      <c r="W138">
        <f t="shared" si="28"/>
        <v>1843.1</v>
      </c>
      <c r="X138">
        <f t="shared" si="28"/>
        <v>2082.5</v>
      </c>
      <c r="Y138">
        <f t="shared" si="28"/>
        <v>1385.7</v>
      </c>
      <c r="Z138">
        <f t="shared" si="28"/>
        <v>1138.5</v>
      </c>
      <c r="AA138" s="3">
        <f t="shared" si="31"/>
        <v>0.41916199228229295</v>
      </c>
      <c r="AB138">
        <f t="shared" si="32"/>
        <v>31206</v>
      </c>
      <c r="AC138">
        <f t="shared" si="33"/>
        <v>4365.375</v>
      </c>
      <c r="AD138">
        <f t="shared" si="34"/>
        <v>1645.625</v>
      </c>
      <c r="AE138">
        <f t="shared" si="35"/>
        <v>1561.875</v>
      </c>
      <c r="AF138">
        <f t="shared" si="36"/>
        <v>577.375</v>
      </c>
      <c r="AG138">
        <f t="shared" si="37"/>
        <v>0.39141753192505074</v>
      </c>
    </row>
    <row r="139" spans="1:33" x14ac:dyDescent="0.35">
      <c r="A139" t="s">
        <v>265</v>
      </c>
      <c r="B139" t="s">
        <v>266</v>
      </c>
      <c r="C139">
        <f>VLOOKUP(CONCATENATE("2001",'2001_60'!A139),aktivnepesseg!$C$2:$D$2226,2,FALSE)</f>
        <v>31752</v>
      </c>
      <c r="D139">
        <f t="shared" si="29"/>
        <v>25059</v>
      </c>
      <c r="E139">
        <f t="shared" si="30"/>
        <v>6693</v>
      </c>
      <c r="F139">
        <v>2502</v>
      </c>
      <c r="G139">
        <v>969</v>
      </c>
      <c r="H139">
        <v>1774</v>
      </c>
      <c r="I139">
        <v>1963</v>
      </c>
      <c r="J139">
        <v>3772</v>
      </c>
      <c r="K139">
        <v>2596</v>
      </c>
      <c r="L139">
        <v>1792</v>
      </c>
      <c r="M139">
        <v>1601</v>
      </c>
      <c r="N139">
        <v>1268</v>
      </c>
      <c r="O139">
        <v>1037</v>
      </c>
      <c r="P139">
        <v>3170</v>
      </c>
      <c r="Q139">
        <v>1147</v>
      </c>
      <c r="R139">
        <v>560</v>
      </c>
      <c r="S139">
        <v>785</v>
      </c>
      <c r="T139">
        <v>123</v>
      </c>
      <c r="U139">
        <f t="shared" si="28"/>
        <v>6693</v>
      </c>
      <c r="V139">
        <f t="shared" si="28"/>
        <v>2251.8000000000002</v>
      </c>
      <c r="W139">
        <f t="shared" si="28"/>
        <v>678.3</v>
      </c>
      <c r="X139">
        <f t="shared" si="28"/>
        <v>887</v>
      </c>
      <c r="Y139">
        <f t="shared" si="28"/>
        <v>588.9</v>
      </c>
      <c r="Z139">
        <f t="shared" si="28"/>
        <v>377.20000000000005</v>
      </c>
      <c r="AA139" s="3">
        <f t="shared" si="31"/>
        <v>0.36143235071806495</v>
      </c>
      <c r="AB139">
        <f t="shared" si="32"/>
        <v>6693</v>
      </c>
      <c r="AC139">
        <f t="shared" si="33"/>
        <v>2189.25</v>
      </c>
      <c r="AD139">
        <f t="shared" si="34"/>
        <v>605.625</v>
      </c>
      <c r="AE139">
        <f t="shared" si="35"/>
        <v>665.25</v>
      </c>
      <c r="AF139">
        <f t="shared" si="36"/>
        <v>245.375</v>
      </c>
      <c r="AG139">
        <f t="shared" si="37"/>
        <v>0.32749118165784835</v>
      </c>
    </row>
    <row r="140" spans="1:33" x14ac:dyDescent="0.35">
      <c r="A140" t="s">
        <v>267</v>
      </c>
      <c r="B140" t="s">
        <v>268</v>
      </c>
      <c r="C140">
        <f>VLOOKUP(CONCATENATE("2001",'2001_60'!A140),aktivnepesseg!$C$2:$D$2226,2,FALSE)</f>
        <v>16260</v>
      </c>
      <c r="D140">
        <f t="shared" si="29"/>
        <v>12032</v>
      </c>
      <c r="E140">
        <f t="shared" si="30"/>
        <v>4228</v>
      </c>
      <c r="F140">
        <v>593</v>
      </c>
      <c r="G140">
        <v>337</v>
      </c>
      <c r="H140">
        <v>542</v>
      </c>
      <c r="I140">
        <v>584</v>
      </c>
      <c r="J140">
        <v>1369</v>
      </c>
      <c r="K140">
        <v>942</v>
      </c>
      <c r="L140">
        <v>715</v>
      </c>
      <c r="M140">
        <v>683</v>
      </c>
      <c r="N140">
        <v>699</v>
      </c>
      <c r="O140">
        <v>864</v>
      </c>
      <c r="P140">
        <v>2434</v>
      </c>
      <c r="Q140">
        <v>938</v>
      </c>
      <c r="R140">
        <v>548</v>
      </c>
      <c r="S140">
        <v>701</v>
      </c>
      <c r="T140">
        <v>83</v>
      </c>
      <c r="U140">
        <f t="shared" si="28"/>
        <v>4228</v>
      </c>
      <c r="V140">
        <f t="shared" si="28"/>
        <v>533.70000000000005</v>
      </c>
      <c r="W140">
        <f t="shared" si="28"/>
        <v>235.89999999999998</v>
      </c>
      <c r="X140">
        <f t="shared" si="28"/>
        <v>271</v>
      </c>
      <c r="Y140">
        <f t="shared" si="28"/>
        <v>175.2</v>
      </c>
      <c r="Z140">
        <f t="shared" si="28"/>
        <v>136.9</v>
      </c>
      <c r="AA140" s="3">
        <f t="shared" si="31"/>
        <v>0.34321648216482159</v>
      </c>
      <c r="AB140">
        <f t="shared" si="32"/>
        <v>4228</v>
      </c>
      <c r="AC140">
        <f t="shared" si="33"/>
        <v>518.875</v>
      </c>
      <c r="AD140">
        <f t="shared" si="34"/>
        <v>210.625</v>
      </c>
      <c r="AE140">
        <f t="shared" si="35"/>
        <v>203.25</v>
      </c>
      <c r="AF140">
        <f t="shared" si="36"/>
        <v>73</v>
      </c>
      <c r="AG140">
        <f t="shared" si="37"/>
        <v>0.3218788437884379</v>
      </c>
    </row>
    <row r="141" spans="1:33" x14ac:dyDescent="0.35">
      <c r="A141" t="s">
        <v>269</v>
      </c>
      <c r="B141" t="s">
        <v>270</v>
      </c>
      <c r="C141">
        <f>VLOOKUP(CONCATENATE("2001",'2001_60'!A141),aktivnepesseg!$C$2:$D$2226,2,FALSE)</f>
        <v>32126</v>
      </c>
      <c r="D141">
        <f t="shared" si="29"/>
        <v>19483</v>
      </c>
      <c r="E141">
        <f t="shared" si="30"/>
        <v>12643</v>
      </c>
      <c r="F141">
        <v>1015</v>
      </c>
      <c r="G141">
        <v>862</v>
      </c>
      <c r="H141">
        <v>1336</v>
      </c>
      <c r="I141">
        <v>1508</v>
      </c>
      <c r="J141">
        <v>2487</v>
      </c>
      <c r="K141">
        <v>2086</v>
      </c>
      <c r="L141">
        <v>1661</v>
      </c>
      <c r="M141">
        <v>1592</v>
      </c>
      <c r="N141">
        <v>1140</v>
      </c>
      <c r="O141">
        <v>976</v>
      </c>
      <c r="P141">
        <v>2714</v>
      </c>
      <c r="Q141">
        <v>978</v>
      </c>
      <c r="R141">
        <v>501</v>
      </c>
      <c r="S141">
        <v>541</v>
      </c>
      <c r="T141">
        <v>86</v>
      </c>
      <c r="U141">
        <f t="shared" si="28"/>
        <v>12643</v>
      </c>
      <c r="V141">
        <f t="shared" si="28"/>
        <v>913.5</v>
      </c>
      <c r="W141">
        <f t="shared" si="28"/>
        <v>603.4</v>
      </c>
      <c r="X141">
        <f t="shared" si="28"/>
        <v>668</v>
      </c>
      <c r="Y141">
        <f t="shared" si="28"/>
        <v>452.4</v>
      </c>
      <c r="Z141">
        <f t="shared" si="28"/>
        <v>248.70000000000002</v>
      </c>
      <c r="AA141" s="3">
        <f t="shared" si="31"/>
        <v>0.48337794932453465</v>
      </c>
      <c r="AB141">
        <f t="shared" si="32"/>
        <v>12643</v>
      </c>
      <c r="AC141">
        <f t="shared" si="33"/>
        <v>888.125</v>
      </c>
      <c r="AD141">
        <f t="shared" si="34"/>
        <v>538.75</v>
      </c>
      <c r="AE141">
        <f t="shared" si="35"/>
        <v>501</v>
      </c>
      <c r="AF141">
        <f t="shared" si="36"/>
        <v>188.5</v>
      </c>
      <c r="AG141">
        <f t="shared" si="37"/>
        <v>0.45942149660710951</v>
      </c>
    </row>
    <row r="142" spans="1:33" x14ac:dyDescent="0.35">
      <c r="A142" t="s">
        <v>271</v>
      </c>
      <c r="B142" t="s">
        <v>272</v>
      </c>
      <c r="C142">
        <f>VLOOKUP(CONCATENATE("2001",'2001_60'!A142),aktivnepesseg!$C$2:$D$2226,2,FALSE)</f>
        <v>30100</v>
      </c>
      <c r="D142">
        <f t="shared" si="29"/>
        <v>23156</v>
      </c>
      <c r="E142">
        <f t="shared" si="30"/>
        <v>6944</v>
      </c>
      <c r="F142">
        <v>1584</v>
      </c>
      <c r="G142">
        <v>807</v>
      </c>
      <c r="H142">
        <v>1281</v>
      </c>
      <c r="I142">
        <v>1430</v>
      </c>
      <c r="J142">
        <v>3830</v>
      </c>
      <c r="K142">
        <v>2139</v>
      </c>
      <c r="L142">
        <v>1538</v>
      </c>
      <c r="M142">
        <v>1323</v>
      </c>
      <c r="N142">
        <v>1080</v>
      </c>
      <c r="O142">
        <v>955</v>
      </c>
      <c r="P142">
        <v>2991</v>
      </c>
      <c r="Q142">
        <v>1363</v>
      </c>
      <c r="R142">
        <v>777</v>
      </c>
      <c r="S142">
        <v>1684</v>
      </c>
      <c r="T142">
        <v>374</v>
      </c>
      <c r="U142">
        <f t="shared" si="28"/>
        <v>6944</v>
      </c>
      <c r="V142">
        <f t="shared" si="28"/>
        <v>1425.6000000000001</v>
      </c>
      <c r="W142">
        <f t="shared" si="28"/>
        <v>564.9</v>
      </c>
      <c r="X142">
        <f t="shared" si="28"/>
        <v>640.5</v>
      </c>
      <c r="Y142">
        <f t="shared" si="28"/>
        <v>429</v>
      </c>
      <c r="Z142">
        <f t="shared" si="28"/>
        <v>383</v>
      </c>
      <c r="AA142" s="3">
        <f t="shared" si="31"/>
        <v>0.34508305647840531</v>
      </c>
      <c r="AB142">
        <f t="shared" si="32"/>
        <v>6944</v>
      </c>
      <c r="AC142">
        <f t="shared" si="33"/>
        <v>1386</v>
      </c>
      <c r="AD142">
        <f t="shared" si="34"/>
        <v>504.375</v>
      </c>
      <c r="AE142">
        <f t="shared" si="35"/>
        <v>480.375</v>
      </c>
      <c r="AF142">
        <f t="shared" si="36"/>
        <v>178.75</v>
      </c>
      <c r="AG142">
        <f t="shared" si="37"/>
        <v>0.31539867109634551</v>
      </c>
    </row>
    <row r="143" spans="1:33" x14ac:dyDescent="0.35">
      <c r="A143" t="s">
        <v>273</v>
      </c>
      <c r="B143" t="s">
        <v>274</v>
      </c>
      <c r="C143">
        <f>VLOOKUP(CONCATENATE("2001",'2001_60'!A143),aktivnepesseg!$C$2:$D$2226,2,FALSE)</f>
        <v>8529</v>
      </c>
      <c r="D143">
        <f t="shared" si="29"/>
        <v>6799</v>
      </c>
      <c r="E143">
        <f t="shared" si="30"/>
        <v>1730</v>
      </c>
      <c r="F143">
        <v>447</v>
      </c>
      <c r="G143">
        <v>217</v>
      </c>
      <c r="H143">
        <v>351</v>
      </c>
      <c r="I143">
        <v>373</v>
      </c>
      <c r="J143">
        <v>948</v>
      </c>
      <c r="K143">
        <v>562</v>
      </c>
      <c r="L143">
        <v>490</v>
      </c>
      <c r="M143">
        <v>483</v>
      </c>
      <c r="N143">
        <v>430</v>
      </c>
      <c r="O143">
        <v>457</v>
      </c>
      <c r="P143">
        <v>1220</v>
      </c>
      <c r="Q143">
        <v>430</v>
      </c>
      <c r="R143">
        <v>205</v>
      </c>
      <c r="S143">
        <v>173</v>
      </c>
      <c r="T143">
        <v>13</v>
      </c>
      <c r="U143">
        <f t="shared" si="28"/>
        <v>1730</v>
      </c>
      <c r="V143">
        <f t="shared" si="28"/>
        <v>402.3</v>
      </c>
      <c r="W143">
        <f t="shared" si="28"/>
        <v>151.89999999999998</v>
      </c>
      <c r="X143">
        <f t="shared" si="28"/>
        <v>175.5</v>
      </c>
      <c r="Y143">
        <f t="shared" si="28"/>
        <v>111.89999999999999</v>
      </c>
      <c r="Z143">
        <f t="shared" si="28"/>
        <v>94.800000000000011</v>
      </c>
      <c r="AA143" s="3">
        <f t="shared" si="31"/>
        <v>0.31262750615546964</v>
      </c>
      <c r="AB143">
        <f t="shared" si="32"/>
        <v>1730</v>
      </c>
      <c r="AC143">
        <f t="shared" si="33"/>
        <v>391.125</v>
      </c>
      <c r="AD143">
        <f t="shared" si="34"/>
        <v>135.625</v>
      </c>
      <c r="AE143">
        <f t="shared" si="35"/>
        <v>131.625</v>
      </c>
      <c r="AF143">
        <f t="shared" si="36"/>
        <v>46.625</v>
      </c>
      <c r="AG143">
        <f t="shared" si="37"/>
        <v>0.28549654121233436</v>
      </c>
    </row>
    <row r="144" spans="1:33" x14ac:dyDescent="0.35">
      <c r="A144" t="s">
        <v>275</v>
      </c>
      <c r="B144" t="s">
        <v>276</v>
      </c>
      <c r="C144">
        <f>VLOOKUP(CONCATENATE("2001",'2001_60'!A144),aktivnepesseg!$C$2:$D$2226,2,FALSE)</f>
        <v>35700</v>
      </c>
      <c r="D144">
        <f t="shared" si="29"/>
        <v>28729</v>
      </c>
      <c r="E144">
        <f t="shared" si="30"/>
        <v>6971</v>
      </c>
      <c r="F144">
        <v>1869</v>
      </c>
      <c r="G144">
        <v>781</v>
      </c>
      <c r="H144">
        <v>1451</v>
      </c>
      <c r="I144">
        <v>1686</v>
      </c>
      <c r="J144">
        <v>4279</v>
      </c>
      <c r="K144">
        <v>2606</v>
      </c>
      <c r="L144">
        <v>2232</v>
      </c>
      <c r="M144">
        <v>2276</v>
      </c>
      <c r="N144">
        <v>2198</v>
      </c>
      <c r="O144">
        <v>2045</v>
      </c>
      <c r="P144">
        <v>4566</v>
      </c>
      <c r="Q144">
        <v>1342</v>
      </c>
      <c r="R144">
        <v>634</v>
      </c>
      <c r="S144">
        <v>645</v>
      </c>
      <c r="T144">
        <v>119</v>
      </c>
      <c r="U144">
        <f t="shared" si="28"/>
        <v>6971</v>
      </c>
      <c r="V144">
        <f t="shared" si="28"/>
        <v>1682.1000000000001</v>
      </c>
      <c r="W144">
        <f t="shared" si="28"/>
        <v>546.69999999999993</v>
      </c>
      <c r="X144">
        <f t="shared" si="28"/>
        <v>725.5</v>
      </c>
      <c r="Y144">
        <f t="shared" si="28"/>
        <v>505.79999999999995</v>
      </c>
      <c r="Z144">
        <f t="shared" si="28"/>
        <v>427.90000000000003</v>
      </c>
      <c r="AA144" s="3">
        <f t="shared" si="31"/>
        <v>0.30417366946778712</v>
      </c>
      <c r="AB144">
        <f t="shared" si="32"/>
        <v>6971</v>
      </c>
      <c r="AC144">
        <f t="shared" si="33"/>
        <v>1635.375</v>
      </c>
      <c r="AD144">
        <f t="shared" si="34"/>
        <v>488.125</v>
      </c>
      <c r="AE144">
        <f t="shared" si="35"/>
        <v>544.125</v>
      </c>
      <c r="AF144">
        <f t="shared" si="36"/>
        <v>210.75</v>
      </c>
      <c r="AG144">
        <f t="shared" si="37"/>
        <v>0.27589285714285716</v>
      </c>
    </row>
    <row r="145" spans="1:33" x14ac:dyDescent="0.35">
      <c r="A145" t="s">
        <v>277</v>
      </c>
      <c r="B145" t="s">
        <v>278</v>
      </c>
      <c r="C145">
        <f>VLOOKUP(CONCATENATE("2001",'2001_60'!A145),aktivnepesseg!$C$2:$D$2226,2,FALSE)</f>
        <v>19167</v>
      </c>
      <c r="D145">
        <f t="shared" si="29"/>
        <v>12121</v>
      </c>
      <c r="E145">
        <f t="shared" si="30"/>
        <v>7046</v>
      </c>
      <c r="F145">
        <v>806</v>
      </c>
      <c r="G145">
        <v>516</v>
      </c>
      <c r="H145">
        <v>817</v>
      </c>
      <c r="I145">
        <v>965</v>
      </c>
      <c r="J145">
        <v>2268</v>
      </c>
      <c r="K145">
        <v>1065</v>
      </c>
      <c r="L145">
        <v>820</v>
      </c>
      <c r="M145">
        <v>694</v>
      </c>
      <c r="N145">
        <v>630</v>
      </c>
      <c r="O145">
        <v>618</v>
      </c>
      <c r="P145">
        <v>1747</v>
      </c>
      <c r="Q145">
        <v>607</v>
      </c>
      <c r="R145">
        <v>240</v>
      </c>
      <c r="S145">
        <v>298</v>
      </c>
      <c r="T145">
        <v>30</v>
      </c>
      <c r="U145">
        <f t="shared" si="28"/>
        <v>7046</v>
      </c>
      <c r="V145">
        <f t="shared" si="28"/>
        <v>725.4</v>
      </c>
      <c r="W145">
        <f t="shared" si="28"/>
        <v>361.2</v>
      </c>
      <c r="X145">
        <f t="shared" si="28"/>
        <v>408.5</v>
      </c>
      <c r="Y145">
        <f t="shared" si="28"/>
        <v>289.5</v>
      </c>
      <c r="Z145">
        <f t="shared" si="28"/>
        <v>226.8</v>
      </c>
      <c r="AA145" s="3">
        <f t="shared" si="31"/>
        <v>0.4725517817081441</v>
      </c>
      <c r="AB145">
        <f t="shared" si="32"/>
        <v>7046</v>
      </c>
      <c r="AC145">
        <f t="shared" si="33"/>
        <v>705.25</v>
      </c>
      <c r="AD145">
        <f t="shared" si="34"/>
        <v>322.5</v>
      </c>
      <c r="AE145">
        <f t="shared" si="35"/>
        <v>306.375</v>
      </c>
      <c r="AF145">
        <f t="shared" si="36"/>
        <v>120.625</v>
      </c>
      <c r="AG145">
        <f t="shared" si="37"/>
        <v>0.44350967809255493</v>
      </c>
    </row>
    <row r="146" spans="1:33" x14ac:dyDescent="0.35">
      <c r="A146" t="s">
        <v>279</v>
      </c>
      <c r="B146" t="s">
        <v>280</v>
      </c>
      <c r="C146">
        <f>VLOOKUP(CONCATENATE("2001",'2001_60'!A146),aktivnepesseg!$C$2:$D$2226,2,FALSE)</f>
        <v>112626</v>
      </c>
      <c r="D146">
        <f t="shared" si="29"/>
        <v>83953</v>
      </c>
      <c r="E146">
        <f t="shared" si="30"/>
        <v>28673</v>
      </c>
      <c r="F146">
        <v>5187</v>
      </c>
      <c r="G146">
        <v>2548</v>
      </c>
      <c r="H146">
        <v>4000</v>
      </c>
      <c r="I146">
        <v>4461</v>
      </c>
      <c r="J146">
        <v>12584</v>
      </c>
      <c r="K146">
        <v>7639</v>
      </c>
      <c r="L146">
        <v>5808</v>
      </c>
      <c r="M146">
        <v>5185</v>
      </c>
      <c r="N146">
        <v>4612</v>
      </c>
      <c r="O146">
        <v>4360</v>
      </c>
      <c r="P146">
        <v>13653</v>
      </c>
      <c r="Q146">
        <v>5894</v>
      </c>
      <c r="R146">
        <v>2825</v>
      </c>
      <c r="S146">
        <v>4147</v>
      </c>
      <c r="T146">
        <v>1050</v>
      </c>
      <c r="U146">
        <f t="shared" si="28"/>
        <v>28673</v>
      </c>
      <c r="V146">
        <f t="shared" si="28"/>
        <v>4668.3</v>
      </c>
      <c r="W146">
        <f t="shared" si="28"/>
        <v>1783.6</v>
      </c>
      <c r="X146">
        <f t="shared" si="28"/>
        <v>2000</v>
      </c>
      <c r="Y146">
        <f t="shared" si="28"/>
        <v>1338.3</v>
      </c>
      <c r="Z146">
        <f t="shared" si="28"/>
        <v>1258.4000000000001</v>
      </c>
      <c r="AA146" s="3">
        <f t="shared" si="31"/>
        <v>0.35268588070250212</v>
      </c>
      <c r="AB146">
        <f t="shared" si="32"/>
        <v>28673</v>
      </c>
      <c r="AC146">
        <f t="shared" si="33"/>
        <v>4538.625</v>
      </c>
      <c r="AD146">
        <f t="shared" si="34"/>
        <v>1592.5</v>
      </c>
      <c r="AE146">
        <f t="shared" si="35"/>
        <v>1500</v>
      </c>
      <c r="AF146">
        <f t="shared" si="36"/>
        <v>557.625</v>
      </c>
      <c r="AG146">
        <f t="shared" si="37"/>
        <v>0.32729343135688027</v>
      </c>
    </row>
    <row r="147" spans="1:33" x14ac:dyDescent="0.35">
      <c r="A147" t="s">
        <v>281</v>
      </c>
      <c r="B147" t="s">
        <v>282</v>
      </c>
      <c r="C147">
        <f>VLOOKUP(CONCATENATE("2001",'2001_60'!A147),aktivnepesseg!$C$2:$D$2226,2,FALSE)</f>
        <v>7262</v>
      </c>
      <c r="D147">
        <f t="shared" si="29"/>
        <v>5234</v>
      </c>
      <c r="E147">
        <f t="shared" si="30"/>
        <v>2028</v>
      </c>
      <c r="F147">
        <v>323</v>
      </c>
      <c r="G147">
        <v>185</v>
      </c>
      <c r="H147">
        <v>313</v>
      </c>
      <c r="I147">
        <v>388</v>
      </c>
      <c r="J147">
        <v>937</v>
      </c>
      <c r="K147">
        <v>592</v>
      </c>
      <c r="L147">
        <v>438</v>
      </c>
      <c r="M147">
        <v>390</v>
      </c>
      <c r="N147">
        <v>333</v>
      </c>
      <c r="O147">
        <v>260</v>
      </c>
      <c r="P147">
        <v>651</v>
      </c>
      <c r="Q147">
        <v>222</v>
      </c>
      <c r="R147">
        <v>90</v>
      </c>
      <c r="S147">
        <v>96</v>
      </c>
      <c r="T147">
        <v>16</v>
      </c>
      <c r="U147">
        <f t="shared" si="28"/>
        <v>2028</v>
      </c>
      <c r="V147">
        <f t="shared" si="28"/>
        <v>290.7</v>
      </c>
      <c r="W147">
        <f t="shared" si="28"/>
        <v>129.5</v>
      </c>
      <c r="X147">
        <f t="shared" si="28"/>
        <v>156.5</v>
      </c>
      <c r="Y147">
        <f t="shared" si="28"/>
        <v>116.39999999999999</v>
      </c>
      <c r="Z147">
        <f t="shared" si="28"/>
        <v>93.7</v>
      </c>
      <c r="AA147" s="3">
        <f t="shared" si="31"/>
        <v>0.38760671991186996</v>
      </c>
      <c r="AB147">
        <f t="shared" si="32"/>
        <v>2028</v>
      </c>
      <c r="AC147">
        <f t="shared" si="33"/>
        <v>282.625</v>
      </c>
      <c r="AD147">
        <f t="shared" si="34"/>
        <v>115.625</v>
      </c>
      <c r="AE147">
        <f t="shared" si="35"/>
        <v>117.375</v>
      </c>
      <c r="AF147">
        <f t="shared" si="36"/>
        <v>48.5</v>
      </c>
      <c r="AG147">
        <f t="shared" si="37"/>
        <v>0.35694367942715505</v>
      </c>
    </row>
    <row r="148" spans="1:33" x14ac:dyDescent="0.35">
      <c r="A148" t="s">
        <v>283</v>
      </c>
      <c r="B148" t="s">
        <v>284</v>
      </c>
      <c r="C148">
        <f>VLOOKUP(CONCATENATE("2001",'2001_60'!A148),aktivnepesseg!$C$2:$D$2226,2,FALSE)</f>
        <v>12762</v>
      </c>
      <c r="D148">
        <f t="shared" si="29"/>
        <v>8772</v>
      </c>
      <c r="E148">
        <f t="shared" si="30"/>
        <v>3990</v>
      </c>
      <c r="F148">
        <v>542</v>
      </c>
      <c r="G148">
        <v>312</v>
      </c>
      <c r="H148">
        <v>595</v>
      </c>
      <c r="I148">
        <v>686</v>
      </c>
      <c r="J148">
        <v>1327</v>
      </c>
      <c r="K148">
        <v>1117</v>
      </c>
      <c r="L148">
        <v>708</v>
      </c>
      <c r="M148">
        <v>604</v>
      </c>
      <c r="N148">
        <v>531</v>
      </c>
      <c r="O148">
        <v>459</v>
      </c>
      <c r="P148">
        <v>1183</v>
      </c>
      <c r="Q148">
        <v>384</v>
      </c>
      <c r="R148">
        <v>135</v>
      </c>
      <c r="S148">
        <v>176</v>
      </c>
      <c r="T148">
        <v>13</v>
      </c>
      <c r="U148">
        <f t="shared" si="28"/>
        <v>3990</v>
      </c>
      <c r="V148">
        <f t="shared" si="28"/>
        <v>487.8</v>
      </c>
      <c r="W148">
        <f t="shared" si="28"/>
        <v>218.39999999999998</v>
      </c>
      <c r="X148">
        <f t="shared" si="28"/>
        <v>297.5</v>
      </c>
      <c r="Y148">
        <f t="shared" si="28"/>
        <v>205.79999999999998</v>
      </c>
      <c r="Z148">
        <f t="shared" si="28"/>
        <v>132.70000000000002</v>
      </c>
      <c r="AA148" s="3">
        <f t="shared" si="31"/>
        <v>0.41781852374236012</v>
      </c>
      <c r="AB148">
        <f t="shared" si="32"/>
        <v>3990</v>
      </c>
      <c r="AC148">
        <f t="shared" si="33"/>
        <v>474.25</v>
      </c>
      <c r="AD148">
        <f t="shared" si="34"/>
        <v>195</v>
      </c>
      <c r="AE148">
        <f t="shared" si="35"/>
        <v>223.125</v>
      </c>
      <c r="AF148">
        <f t="shared" si="36"/>
        <v>85.75</v>
      </c>
      <c r="AG148">
        <f t="shared" si="37"/>
        <v>0.38929047171289766</v>
      </c>
    </row>
    <row r="149" spans="1:33" x14ac:dyDescent="0.35">
      <c r="A149" t="s">
        <v>285</v>
      </c>
      <c r="B149" t="s">
        <v>286</v>
      </c>
      <c r="C149">
        <f>VLOOKUP(CONCATENATE("2001",'2001_60'!A149),aktivnepesseg!$C$2:$D$2226,2,FALSE)</f>
        <v>26053</v>
      </c>
      <c r="D149">
        <f t="shared" si="29"/>
        <v>18849</v>
      </c>
      <c r="E149">
        <f t="shared" si="30"/>
        <v>7204</v>
      </c>
      <c r="F149">
        <v>1054</v>
      </c>
      <c r="G149">
        <v>515</v>
      </c>
      <c r="H149">
        <v>930</v>
      </c>
      <c r="I149">
        <v>952</v>
      </c>
      <c r="J149">
        <v>3582</v>
      </c>
      <c r="K149">
        <v>1620</v>
      </c>
      <c r="L149">
        <v>1021</v>
      </c>
      <c r="M149">
        <v>969</v>
      </c>
      <c r="N149">
        <v>922</v>
      </c>
      <c r="O149">
        <v>836</v>
      </c>
      <c r="P149">
        <v>2751</v>
      </c>
      <c r="Q149">
        <v>1406</v>
      </c>
      <c r="R149">
        <v>677</v>
      </c>
      <c r="S149">
        <v>1098</v>
      </c>
      <c r="T149">
        <v>516</v>
      </c>
      <c r="U149">
        <f t="shared" si="28"/>
        <v>7204</v>
      </c>
      <c r="V149">
        <f t="shared" si="28"/>
        <v>948.6</v>
      </c>
      <c r="W149">
        <f t="shared" si="28"/>
        <v>360.5</v>
      </c>
      <c r="X149">
        <f t="shared" si="28"/>
        <v>465</v>
      </c>
      <c r="Y149">
        <f t="shared" si="28"/>
        <v>285.59999999999997</v>
      </c>
      <c r="Z149">
        <f t="shared" si="28"/>
        <v>358.20000000000005</v>
      </c>
      <c r="AA149" s="3">
        <f t="shared" si="31"/>
        <v>0.36932023183510543</v>
      </c>
      <c r="AB149">
        <f t="shared" si="32"/>
        <v>7204</v>
      </c>
      <c r="AC149">
        <f t="shared" si="33"/>
        <v>922.25</v>
      </c>
      <c r="AD149">
        <f t="shared" si="34"/>
        <v>321.875</v>
      </c>
      <c r="AE149">
        <f t="shared" si="35"/>
        <v>348.75</v>
      </c>
      <c r="AF149">
        <f t="shared" si="36"/>
        <v>119</v>
      </c>
      <c r="AG149">
        <f t="shared" si="37"/>
        <v>0.34222066556634551</v>
      </c>
    </row>
    <row r="150" spans="1:33" x14ac:dyDescent="0.35">
      <c r="A150" t="s">
        <v>287</v>
      </c>
      <c r="B150" t="s">
        <v>288</v>
      </c>
      <c r="C150">
        <f>VLOOKUP(CONCATENATE("2001",'2001_60'!A150),aktivnepesseg!$C$2:$D$2226,2,FALSE)</f>
        <v>11410</v>
      </c>
      <c r="D150">
        <f t="shared" si="29"/>
        <v>6623</v>
      </c>
      <c r="E150">
        <f t="shared" si="30"/>
        <v>4787</v>
      </c>
      <c r="F150">
        <v>344</v>
      </c>
      <c r="G150">
        <v>309</v>
      </c>
      <c r="H150">
        <v>478</v>
      </c>
      <c r="I150">
        <v>524</v>
      </c>
      <c r="J150">
        <v>831</v>
      </c>
      <c r="K150">
        <v>756</v>
      </c>
      <c r="L150">
        <v>514</v>
      </c>
      <c r="M150">
        <v>417</v>
      </c>
      <c r="N150">
        <v>350</v>
      </c>
      <c r="O150">
        <v>346</v>
      </c>
      <c r="P150">
        <v>1021</v>
      </c>
      <c r="Q150">
        <v>381</v>
      </c>
      <c r="R150">
        <v>160</v>
      </c>
      <c r="S150">
        <v>172</v>
      </c>
      <c r="T150">
        <v>20</v>
      </c>
      <c r="U150">
        <f t="shared" si="28"/>
        <v>4787</v>
      </c>
      <c r="V150">
        <f t="shared" si="28"/>
        <v>309.60000000000002</v>
      </c>
      <c r="W150">
        <f t="shared" si="28"/>
        <v>216.29999999999998</v>
      </c>
      <c r="X150">
        <f t="shared" si="28"/>
        <v>239</v>
      </c>
      <c r="Y150">
        <f t="shared" si="28"/>
        <v>157.19999999999999</v>
      </c>
      <c r="Z150">
        <f t="shared" si="28"/>
        <v>83.100000000000009</v>
      </c>
      <c r="AA150" s="3">
        <f t="shared" si="31"/>
        <v>0.50764241893076256</v>
      </c>
      <c r="AB150">
        <f t="shared" si="32"/>
        <v>4787</v>
      </c>
      <c r="AC150">
        <f t="shared" si="33"/>
        <v>301</v>
      </c>
      <c r="AD150">
        <f t="shared" si="34"/>
        <v>193.125</v>
      </c>
      <c r="AE150">
        <f t="shared" si="35"/>
        <v>179.25</v>
      </c>
      <c r="AF150">
        <f t="shared" si="36"/>
        <v>65.5</v>
      </c>
      <c r="AG150">
        <f t="shared" si="37"/>
        <v>0.48430105170902715</v>
      </c>
    </row>
    <row r="151" spans="1:33" x14ac:dyDescent="0.35">
      <c r="A151" t="s">
        <v>289</v>
      </c>
      <c r="B151" t="s">
        <v>290</v>
      </c>
      <c r="C151">
        <f>VLOOKUP(CONCATENATE("2001",'2001_60'!A151),aktivnepesseg!$C$2:$D$2226,2,FALSE)</f>
        <v>23842</v>
      </c>
      <c r="D151">
        <f t="shared" si="29"/>
        <v>16952</v>
      </c>
      <c r="E151">
        <f t="shared" si="30"/>
        <v>6890</v>
      </c>
      <c r="F151">
        <v>1485</v>
      </c>
      <c r="G151">
        <v>796</v>
      </c>
      <c r="H151">
        <v>1325</v>
      </c>
      <c r="I151">
        <v>1436</v>
      </c>
      <c r="J151">
        <v>2643</v>
      </c>
      <c r="K151">
        <v>1771</v>
      </c>
      <c r="L151">
        <v>1257</v>
      </c>
      <c r="M151">
        <v>1080</v>
      </c>
      <c r="N151">
        <v>941</v>
      </c>
      <c r="O151">
        <v>733</v>
      </c>
      <c r="P151">
        <v>2083</v>
      </c>
      <c r="Q151">
        <v>807</v>
      </c>
      <c r="R151">
        <v>292</v>
      </c>
      <c r="S151">
        <v>270</v>
      </c>
      <c r="T151">
        <v>33</v>
      </c>
      <c r="U151">
        <f t="shared" si="28"/>
        <v>6890</v>
      </c>
      <c r="V151">
        <f t="shared" si="28"/>
        <v>1336.5</v>
      </c>
      <c r="W151">
        <f t="shared" si="28"/>
        <v>557.19999999999993</v>
      </c>
      <c r="X151">
        <f t="shared" si="28"/>
        <v>662.5</v>
      </c>
      <c r="Y151">
        <f t="shared" si="28"/>
        <v>430.8</v>
      </c>
      <c r="Z151">
        <f t="shared" si="28"/>
        <v>264.3</v>
      </c>
      <c r="AA151" s="3">
        <f t="shared" si="31"/>
        <v>0.42535441657579059</v>
      </c>
      <c r="AB151">
        <f t="shared" si="32"/>
        <v>6890</v>
      </c>
      <c r="AC151">
        <f t="shared" si="33"/>
        <v>1299.375</v>
      </c>
      <c r="AD151">
        <f t="shared" si="34"/>
        <v>497.5</v>
      </c>
      <c r="AE151">
        <f t="shared" si="35"/>
        <v>496.875</v>
      </c>
      <c r="AF151">
        <f t="shared" si="36"/>
        <v>179.5</v>
      </c>
      <c r="AG151">
        <f t="shared" si="37"/>
        <v>0.39272082878953107</v>
      </c>
    </row>
    <row r="152" spans="1:33" x14ac:dyDescent="0.35">
      <c r="A152" t="s">
        <v>291</v>
      </c>
      <c r="B152" t="s">
        <v>292</v>
      </c>
      <c r="C152">
        <f>VLOOKUP(CONCATENATE("2001",'2001_60'!A152),aktivnepesseg!$C$2:$D$2226,2,FALSE)</f>
        <v>19530</v>
      </c>
      <c r="D152">
        <f t="shared" si="29"/>
        <v>13464</v>
      </c>
      <c r="E152">
        <f t="shared" si="30"/>
        <v>6066</v>
      </c>
      <c r="F152">
        <v>1015</v>
      </c>
      <c r="G152">
        <v>527</v>
      </c>
      <c r="H152">
        <v>784</v>
      </c>
      <c r="I152">
        <v>976</v>
      </c>
      <c r="J152">
        <v>2749</v>
      </c>
      <c r="K152">
        <v>1260</v>
      </c>
      <c r="L152">
        <v>886</v>
      </c>
      <c r="M152">
        <v>763</v>
      </c>
      <c r="N152">
        <v>616</v>
      </c>
      <c r="O152">
        <v>560</v>
      </c>
      <c r="P152">
        <v>1778</v>
      </c>
      <c r="Q152">
        <v>798</v>
      </c>
      <c r="R152">
        <v>329</v>
      </c>
      <c r="S152">
        <v>357</v>
      </c>
      <c r="T152">
        <v>66</v>
      </c>
      <c r="U152">
        <f t="shared" si="28"/>
        <v>6066</v>
      </c>
      <c r="V152">
        <f t="shared" si="28"/>
        <v>913.5</v>
      </c>
      <c r="W152">
        <f t="shared" si="28"/>
        <v>368.9</v>
      </c>
      <c r="X152">
        <f t="shared" si="28"/>
        <v>392</v>
      </c>
      <c r="Y152">
        <f t="shared" si="28"/>
        <v>292.8</v>
      </c>
      <c r="Z152">
        <f t="shared" si="28"/>
        <v>274.90000000000003</v>
      </c>
      <c r="AA152" s="3">
        <f t="shared" si="31"/>
        <v>0.42540194572452639</v>
      </c>
      <c r="AB152">
        <f t="shared" si="32"/>
        <v>6066</v>
      </c>
      <c r="AC152">
        <f t="shared" si="33"/>
        <v>888.125</v>
      </c>
      <c r="AD152">
        <f t="shared" si="34"/>
        <v>329.375</v>
      </c>
      <c r="AE152">
        <f t="shared" si="35"/>
        <v>294</v>
      </c>
      <c r="AF152">
        <f t="shared" si="36"/>
        <v>122</v>
      </c>
      <c r="AG152">
        <f t="shared" si="37"/>
        <v>0.39423963133640555</v>
      </c>
    </row>
    <row r="153" spans="1:33" x14ac:dyDescent="0.35">
      <c r="A153" t="s">
        <v>293</v>
      </c>
      <c r="B153" t="s">
        <v>294</v>
      </c>
      <c r="C153">
        <f>VLOOKUP(CONCATENATE("2001",'2001_60'!A153),aktivnepesseg!$C$2:$D$2226,2,FALSE)</f>
        <v>14836</v>
      </c>
      <c r="D153">
        <f t="shared" si="29"/>
        <v>9903</v>
      </c>
      <c r="E153">
        <f t="shared" si="30"/>
        <v>4933</v>
      </c>
      <c r="F153">
        <v>530</v>
      </c>
      <c r="G153">
        <v>334</v>
      </c>
      <c r="H153">
        <v>600</v>
      </c>
      <c r="I153">
        <v>633</v>
      </c>
      <c r="J153">
        <v>1515</v>
      </c>
      <c r="K153">
        <v>868</v>
      </c>
      <c r="L153">
        <v>621</v>
      </c>
      <c r="M153">
        <v>704</v>
      </c>
      <c r="N153">
        <v>630</v>
      </c>
      <c r="O153">
        <v>616</v>
      </c>
      <c r="P153">
        <v>1688</v>
      </c>
      <c r="Q153">
        <v>567</v>
      </c>
      <c r="R153">
        <v>268</v>
      </c>
      <c r="S153">
        <v>305</v>
      </c>
      <c r="T153">
        <v>24</v>
      </c>
      <c r="U153">
        <f t="shared" si="28"/>
        <v>4933</v>
      </c>
      <c r="V153">
        <f t="shared" si="28"/>
        <v>477</v>
      </c>
      <c r="W153">
        <f t="shared" si="28"/>
        <v>233.79999999999998</v>
      </c>
      <c r="X153">
        <f t="shared" si="28"/>
        <v>300</v>
      </c>
      <c r="Y153">
        <f t="shared" si="28"/>
        <v>189.9</v>
      </c>
      <c r="Z153">
        <f t="shared" si="28"/>
        <v>151.5</v>
      </c>
      <c r="AA153" s="3">
        <f t="shared" si="31"/>
        <v>0.42364518738204365</v>
      </c>
      <c r="AB153">
        <f t="shared" si="32"/>
        <v>4933</v>
      </c>
      <c r="AC153">
        <f t="shared" si="33"/>
        <v>463.75</v>
      </c>
      <c r="AD153">
        <f t="shared" si="34"/>
        <v>208.75</v>
      </c>
      <c r="AE153">
        <f t="shared" si="35"/>
        <v>225</v>
      </c>
      <c r="AF153">
        <f t="shared" si="36"/>
        <v>79.125</v>
      </c>
      <c r="AG153">
        <f t="shared" si="37"/>
        <v>0.39833007549204635</v>
      </c>
    </row>
    <row r="154" spans="1:33" x14ac:dyDescent="0.35">
      <c r="A154" t="s">
        <v>295</v>
      </c>
      <c r="B154" t="s">
        <v>296</v>
      </c>
      <c r="C154">
        <f>VLOOKUP(CONCATENATE("2001",'2001_60'!A154),aktivnepesseg!$C$2:$D$2226,2,FALSE)</f>
        <v>39887</v>
      </c>
      <c r="D154">
        <f t="shared" si="29"/>
        <v>27450</v>
      </c>
      <c r="E154">
        <f t="shared" si="30"/>
        <v>12437</v>
      </c>
      <c r="F154">
        <v>2355</v>
      </c>
      <c r="G154">
        <v>1116</v>
      </c>
      <c r="H154">
        <v>1700</v>
      </c>
      <c r="I154">
        <v>1731</v>
      </c>
      <c r="J154">
        <v>3795</v>
      </c>
      <c r="K154">
        <v>2527</v>
      </c>
      <c r="L154">
        <v>2043</v>
      </c>
      <c r="M154">
        <v>1923</v>
      </c>
      <c r="N154">
        <v>1623</v>
      </c>
      <c r="O154">
        <v>1354</v>
      </c>
      <c r="P154">
        <v>3767</v>
      </c>
      <c r="Q154">
        <v>1483</v>
      </c>
      <c r="R154">
        <v>705</v>
      </c>
      <c r="S154">
        <v>1113</v>
      </c>
      <c r="T154">
        <v>215</v>
      </c>
      <c r="U154">
        <f t="shared" si="28"/>
        <v>12437</v>
      </c>
      <c r="V154">
        <f t="shared" si="28"/>
        <v>2119.5</v>
      </c>
      <c r="W154">
        <f t="shared" si="28"/>
        <v>781.19999999999993</v>
      </c>
      <c r="X154">
        <f t="shared" si="28"/>
        <v>850</v>
      </c>
      <c r="Y154">
        <f t="shared" si="28"/>
        <v>519.29999999999995</v>
      </c>
      <c r="Z154">
        <f t="shared" si="28"/>
        <v>379.5</v>
      </c>
      <c r="AA154" s="3">
        <f t="shared" si="31"/>
        <v>0.42837265274400183</v>
      </c>
      <c r="AB154">
        <f t="shared" si="32"/>
        <v>12437</v>
      </c>
      <c r="AC154">
        <f t="shared" si="33"/>
        <v>2060.625</v>
      </c>
      <c r="AD154">
        <f t="shared" si="34"/>
        <v>697.5</v>
      </c>
      <c r="AE154">
        <f t="shared" si="35"/>
        <v>637.5</v>
      </c>
      <c r="AF154">
        <f t="shared" si="36"/>
        <v>216.375</v>
      </c>
      <c r="AG154">
        <f t="shared" si="37"/>
        <v>0.40236167172261639</v>
      </c>
    </row>
    <row r="155" spans="1:33" x14ac:dyDescent="0.35">
      <c r="A155" t="s">
        <v>297</v>
      </c>
      <c r="B155" t="s">
        <v>298</v>
      </c>
      <c r="C155">
        <f>VLOOKUP(CONCATENATE("2001",'2001_60'!A155),aktivnepesseg!$C$2:$D$2226,2,FALSE)</f>
        <v>16658</v>
      </c>
      <c r="D155">
        <f t="shared" si="29"/>
        <v>12221</v>
      </c>
      <c r="E155">
        <f t="shared" si="30"/>
        <v>4437</v>
      </c>
      <c r="F155">
        <v>1119</v>
      </c>
      <c r="G155">
        <v>407</v>
      </c>
      <c r="H155">
        <v>705</v>
      </c>
      <c r="I155">
        <v>846</v>
      </c>
      <c r="J155">
        <v>1766</v>
      </c>
      <c r="K155">
        <v>1144</v>
      </c>
      <c r="L155">
        <v>928</v>
      </c>
      <c r="M155">
        <v>892</v>
      </c>
      <c r="N155">
        <v>740</v>
      </c>
      <c r="O155">
        <v>679</v>
      </c>
      <c r="P155">
        <v>1819</v>
      </c>
      <c r="Q155">
        <v>609</v>
      </c>
      <c r="R155">
        <v>277</v>
      </c>
      <c r="S155">
        <v>258</v>
      </c>
      <c r="T155">
        <v>32</v>
      </c>
      <c r="U155">
        <f t="shared" si="28"/>
        <v>4437</v>
      </c>
      <c r="V155">
        <f t="shared" si="28"/>
        <v>1007.1</v>
      </c>
      <c r="W155">
        <f t="shared" si="28"/>
        <v>284.89999999999998</v>
      </c>
      <c r="X155">
        <f t="shared" si="28"/>
        <v>352.5</v>
      </c>
      <c r="Y155">
        <f t="shared" si="28"/>
        <v>253.79999999999998</v>
      </c>
      <c r="Z155">
        <f t="shared" si="28"/>
        <v>176.60000000000002</v>
      </c>
      <c r="AA155" s="3">
        <f t="shared" si="31"/>
        <v>0.39091727698403173</v>
      </c>
      <c r="AB155">
        <f t="shared" si="32"/>
        <v>4437</v>
      </c>
      <c r="AC155">
        <f t="shared" si="33"/>
        <v>979.125</v>
      </c>
      <c r="AD155">
        <f t="shared" si="34"/>
        <v>254.375</v>
      </c>
      <c r="AE155">
        <f t="shared" si="35"/>
        <v>264.375</v>
      </c>
      <c r="AF155">
        <f t="shared" si="36"/>
        <v>105.75</v>
      </c>
      <c r="AG155">
        <f t="shared" si="37"/>
        <v>0.36262606555408811</v>
      </c>
    </row>
    <row r="156" spans="1:33" x14ac:dyDescent="0.35">
      <c r="A156" t="s">
        <v>299</v>
      </c>
      <c r="B156" t="s">
        <v>300</v>
      </c>
      <c r="C156">
        <f>VLOOKUP(CONCATENATE("2001",'2001_60'!A156),aktivnepesseg!$C$2:$D$2226,2,FALSE)</f>
        <v>13650</v>
      </c>
      <c r="D156">
        <f t="shared" si="29"/>
        <v>8772</v>
      </c>
      <c r="E156">
        <f t="shared" si="30"/>
        <v>4878</v>
      </c>
      <c r="F156">
        <v>1001</v>
      </c>
      <c r="G156">
        <v>477</v>
      </c>
      <c r="H156">
        <v>870</v>
      </c>
      <c r="I156">
        <v>869</v>
      </c>
      <c r="J156">
        <v>1307</v>
      </c>
      <c r="K156">
        <v>1002</v>
      </c>
      <c r="L156">
        <v>628</v>
      </c>
      <c r="M156">
        <v>512</v>
      </c>
      <c r="N156">
        <v>385</v>
      </c>
      <c r="O156">
        <v>324</v>
      </c>
      <c r="P156">
        <v>961</v>
      </c>
      <c r="Q156">
        <v>254</v>
      </c>
      <c r="R156">
        <v>87</v>
      </c>
      <c r="S156">
        <v>86</v>
      </c>
      <c r="T156">
        <v>9</v>
      </c>
      <c r="U156">
        <f t="shared" si="28"/>
        <v>4878</v>
      </c>
      <c r="V156">
        <f t="shared" si="28"/>
        <v>900.9</v>
      </c>
      <c r="W156">
        <f t="shared" si="28"/>
        <v>333.9</v>
      </c>
      <c r="X156">
        <f t="shared" si="28"/>
        <v>435</v>
      </c>
      <c r="Y156">
        <f t="shared" si="28"/>
        <v>260.7</v>
      </c>
      <c r="Z156">
        <f t="shared" si="28"/>
        <v>130.70000000000002</v>
      </c>
      <c r="AA156" s="3">
        <f t="shared" si="31"/>
        <v>0.50836630036630026</v>
      </c>
      <c r="AB156">
        <f t="shared" si="32"/>
        <v>4878</v>
      </c>
      <c r="AC156">
        <f t="shared" si="33"/>
        <v>875.875</v>
      </c>
      <c r="AD156">
        <f t="shared" si="34"/>
        <v>298.125</v>
      </c>
      <c r="AE156">
        <f t="shared" si="35"/>
        <v>326.25</v>
      </c>
      <c r="AF156">
        <f t="shared" si="36"/>
        <v>108.625</v>
      </c>
      <c r="AG156">
        <f t="shared" si="37"/>
        <v>0.47522893772893771</v>
      </c>
    </row>
    <row r="157" spans="1:33" x14ac:dyDescent="0.35">
      <c r="A157" t="s">
        <v>301</v>
      </c>
      <c r="B157" t="s">
        <v>302</v>
      </c>
      <c r="C157">
        <f>VLOOKUP(CONCATENATE("2001",'2001_60'!A157),aktivnepesseg!$C$2:$D$2226,2,FALSE)</f>
        <v>15107</v>
      </c>
      <c r="D157">
        <f t="shared" si="29"/>
        <v>11050</v>
      </c>
      <c r="E157">
        <f t="shared" si="30"/>
        <v>4057</v>
      </c>
      <c r="F157">
        <v>741</v>
      </c>
      <c r="G157">
        <v>513</v>
      </c>
      <c r="H157">
        <v>762</v>
      </c>
      <c r="I157">
        <v>836</v>
      </c>
      <c r="J157">
        <v>1757</v>
      </c>
      <c r="K157">
        <v>1308</v>
      </c>
      <c r="L157">
        <v>963</v>
      </c>
      <c r="M157">
        <v>801</v>
      </c>
      <c r="N157">
        <v>563</v>
      </c>
      <c r="O157">
        <v>489</v>
      </c>
      <c r="P157">
        <v>1330</v>
      </c>
      <c r="Q157">
        <v>523</v>
      </c>
      <c r="R157">
        <v>214</v>
      </c>
      <c r="S157">
        <v>231</v>
      </c>
      <c r="T157">
        <v>19</v>
      </c>
      <c r="U157">
        <f t="shared" si="28"/>
        <v>4057</v>
      </c>
      <c r="V157">
        <f t="shared" si="28"/>
        <v>666.9</v>
      </c>
      <c r="W157">
        <f t="shared" si="28"/>
        <v>359.09999999999997</v>
      </c>
      <c r="X157">
        <f t="shared" si="28"/>
        <v>381</v>
      </c>
      <c r="Y157">
        <f t="shared" si="28"/>
        <v>250.79999999999998</v>
      </c>
      <c r="Z157">
        <f t="shared" si="28"/>
        <v>175.70000000000002</v>
      </c>
      <c r="AA157" s="3">
        <f t="shared" si="31"/>
        <v>0.38991858079036207</v>
      </c>
      <c r="AB157">
        <f t="shared" si="32"/>
        <v>4057</v>
      </c>
      <c r="AC157">
        <f t="shared" si="33"/>
        <v>648.375</v>
      </c>
      <c r="AD157">
        <f t="shared" si="34"/>
        <v>320.625</v>
      </c>
      <c r="AE157">
        <f t="shared" si="35"/>
        <v>285.75</v>
      </c>
      <c r="AF157">
        <f t="shared" si="36"/>
        <v>104.5</v>
      </c>
      <c r="AG157">
        <f t="shared" si="37"/>
        <v>0.35852584894419803</v>
      </c>
    </row>
    <row r="158" spans="1:33" x14ac:dyDescent="0.35">
      <c r="A158" t="s">
        <v>303</v>
      </c>
      <c r="B158" t="s">
        <v>304</v>
      </c>
      <c r="C158">
        <f>VLOOKUP(CONCATENATE("2001",'2001_60'!A158),aktivnepesseg!$C$2:$D$2226,2,FALSE)</f>
        <v>23610</v>
      </c>
      <c r="D158">
        <f t="shared" si="29"/>
        <v>21335</v>
      </c>
      <c r="E158">
        <f t="shared" si="30"/>
        <v>2275</v>
      </c>
      <c r="F158">
        <v>1650</v>
      </c>
      <c r="G158">
        <v>423</v>
      </c>
      <c r="H158">
        <v>828</v>
      </c>
      <c r="I158">
        <v>972</v>
      </c>
      <c r="J158">
        <v>2453</v>
      </c>
      <c r="K158">
        <v>1835</v>
      </c>
      <c r="L158">
        <v>1583</v>
      </c>
      <c r="M158">
        <v>1727</v>
      </c>
      <c r="N158">
        <v>1837</v>
      </c>
      <c r="O158">
        <v>1757</v>
      </c>
      <c r="P158">
        <v>3954</v>
      </c>
      <c r="Q158">
        <v>1241</v>
      </c>
      <c r="R158">
        <v>461</v>
      </c>
      <c r="S158">
        <v>526</v>
      </c>
      <c r="T158">
        <v>88</v>
      </c>
      <c r="U158">
        <f t="shared" si="28"/>
        <v>2275</v>
      </c>
      <c r="V158">
        <f t="shared" si="28"/>
        <v>1485</v>
      </c>
      <c r="W158">
        <f t="shared" si="28"/>
        <v>296.09999999999997</v>
      </c>
      <c r="X158">
        <f t="shared" si="28"/>
        <v>414</v>
      </c>
      <c r="Y158">
        <f t="shared" si="28"/>
        <v>291.59999999999997</v>
      </c>
      <c r="Z158">
        <f t="shared" si="28"/>
        <v>245.3</v>
      </c>
      <c r="AA158" s="3">
        <f t="shared" si="31"/>
        <v>0.2120711562897078</v>
      </c>
      <c r="AB158">
        <f t="shared" si="32"/>
        <v>2275</v>
      </c>
      <c r="AC158">
        <f t="shared" si="33"/>
        <v>1443.75</v>
      </c>
      <c r="AD158">
        <f t="shared" si="34"/>
        <v>264.375</v>
      </c>
      <c r="AE158">
        <f t="shared" si="35"/>
        <v>310.5</v>
      </c>
      <c r="AF158">
        <f t="shared" si="36"/>
        <v>121.5</v>
      </c>
      <c r="AG158">
        <f t="shared" si="37"/>
        <v>0.18700232952138923</v>
      </c>
    </row>
    <row r="159" spans="1:33" x14ac:dyDescent="0.35">
      <c r="A159" t="s">
        <v>305</v>
      </c>
      <c r="B159" t="s">
        <v>306</v>
      </c>
      <c r="C159">
        <f>VLOOKUP(CONCATENATE("2001",'2001_60'!A159),aktivnepesseg!$C$2:$D$2226,2,FALSE)</f>
        <v>14922</v>
      </c>
      <c r="D159">
        <f t="shared" si="29"/>
        <v>11133</v>
      </c>
      <c r="E159">
        <f t="shared" si="30"/>
        <v>3789</v>
      </c>
      <c r="F159">
        <v>779</v>
      </c>
      <c r="G159">
        <v>389</v>
      </c>
      <c r="H159">
        <v>693</v>
      </c>
      <c r="I159">
        <v>752</v>
      </c>
      <c r="J159">
        <v>1487</v>
      </c>
      <c r="K159">
        <v>1208</v>
      </c>
      <c r="L159">
        <v>940</v>
      </c>
      <c r="M159">
        <v>799</v>
      </c>
      <c r="N159">
        <v>609</v>
      </c>
      <c r="O159">
        <v>538</v>
      </c>
      <c r="P159">
        <v>1679</v>
      </c>
      <c r="Q159">
        <v>658</v>
      </c>
      <c r="R159">
        <v>258</v>
      </c>
      <c r="S159">
        <v>313</v>
      </c>
      <c r="T159">
        <v>31</v>
      </c>
      <c r="U159">
        <f t="shared" si="28"/>
        <v>3789</v>
      </c>
      <c r="V159">
        <f t="shared" si="28"/>
        <v>701.1</v>
      </c>
      <c r="W159">
        <f t="shared" si="28"/>
        <v>272.29999999999995</v>
      </c>
      <c r="X159">
        <f t="shared" si="28"/>
        <v>346.5</v>
      </c>
      <c r="Y159">
        <f t="shared" si="28"/>
        <v>225.6</v>
      </c>
      <c r="Z159">
        <f t="shared" si="28"/>
        <v>148.70000000000002</v>
      </c>
      <c r="AA159" s="3">
        <f t="shared" si="31"/>
        <v>0.36745744538265651</v>
      </c>
      <c r="AB159">
        <f t="shared" si="32"/>
        <v>3789</v>
      </c>
      <c r="AC159">
        <f t="shared" si="33"/>
        <v>681.625</v>
      </c>
      <c r="AD159">
        <f t="shared" si="34"/>
        <v>243.125</v>
      </c>
      <c r="AE159">
        <f t="shared" si="35"/>
        <v>259.875</v>
      </c>
      <c r="AF159">
        <f t="shared" si="36"/>
        <v>94</v>
      </c>
      <c r="AG159">
        <f t="shared" si="37"/>
        <v>0.33960762632354913</v>
      </c>
    </row>
    <row r="160" spans="1:33" x14ac:dyDescent="0.35">
      <c r="A160" t="s">
        <v>307</v>
      </c>
      <c r="B160" t="s">
        <v>308</v>
      </c>
      <c r="C160">
        <f>VLOOKUP(CONCATENATE("2001",'2001_60'!A160),aktivnepesseg!$C$2:$D$2226,2,FALSE)</f>
        <v>9026</v>
      </c>
      <c r="D160">
        <f t="shared" si="29"/>
        <v>5243</v>
      </c>
      <c r="E160">
        <f t="shared" si="30"/>
        <v>3783</v>
      </c>
      <c r="F160">
        <v>484</v>
      </c>
      <c r="G160">
        <v>285</v>
      </c>
      <c r="H160">
        <v>426</v>
      </c>
      <c r="I160">
        <v>466</v>
      </c>
      <c r="J160">
        <v>879</v>
      </c>
      <c r="K160">
        <v>654</v>
      </c>
      <c r="L160">
        <v>373</v>
      </c>
      <c r="M160">
        <v>322</v>
      </c>
      <c r="N160">
        <v>231</v>
      </c>
      <c r="O160">
        <v>266</v>
      </c>
      <c r="P160">
        <v>589</v>
      </c>
      <c r="Q160">
        <v>149</v>
      </c>
      <c r="R160">
        <v>54</v>
      </c>
      <c r="S160">
        <v>60</v>
      </c>
      <c r="T160">
        <v>5</v>
      </c>
      <c r="U160">
        <f t="shared" si="28"/>
        <v>3783</v>
      </c>
      <c r="V160">
        <f t="shared" si="28"/>
        <v>435.6</v>
      </c>
      <c r="W160">
        <f t="shared" si="28"/>
        <v>199.5</v>
      </c>
      <c r="X160">
        <f t="shared" si="28"/>
        <v>213</v>
      </c>
      <c r="Y160">
        <f t="shared" si="28"/>
        <v>139.79999999999998</v>
      </c>
      <c r="Z160">
        <f t="shared" si="28"/>
        <v>87.9</v>
      </c>
      <c r="AA160" s="3">
        <f t="shared" si="31"/>
        <v>0.5383115444272103</v>
      </c>
      <c r="AB160">
        <f t="shared" si="32"/>
        <v>3783</v>
      </c>
      <c r="AC160">
        <f t="shared" si="33"/>
        <v>423.5</v>
      </c>
      <c r="AD160">
        <f t="shared" si="34"/>
        <v>178.125</v>
      </c>
      <c r="AE160">
        <f t="shared" si="35"/>
        <v>159.75</v>
      </c>
      <c r="AF160">
        <f t="shared" si="36"/>
        <v>58.25</v>
      </c>
      <c r="AG160">
        <f t="shared" si="37"/>
        <v>0.50992964768446714</v>
      </c>
    </row>
    <row r="161" spans="1:33" x14ac:dyDescent="0.35">
      <c r="A161" t="s">
        <v>309</v>
      </c>
      <c r="B161" t="s">
        <v>310</v>
      </c>
      <c r="C161">
        <f>VLOOKUP(CONCATENATE("2001",'2001_60'!A161),aktivnepesseg!$C$2:$D$2226,2,FALSE)</f>
        <v>22148</v>
      </c>
      <c r="D161">
        <f t="shared" si="29"/>
        <v>14535</v>
      </c>
      <c r="E161">
        <f t="shared" si="30"/>
        <v>7613</v>
      </c>
      <c r="F161">
        <v>1177</v>
      </c>
      <c r="G161">
        <v>605</v>
      </c>
      <c r="H161">
        <v>1026</v>
      </c>
      <c r="I161">
        <v>1137</v>
      </c>
      <c r="J161">
        <v>2489</v>
      </c>
      <c r="K161">
        <v>1510</v>
      </c>
      <c r="L161">
        <v>1094</v>
      </c>
      <c r="M161">
        <v>944</v>
      </c>
      <c r="N161">
        <v>756</v>
      </c>
      <c r="O161">
        <v>606</v>
      </c>
      <c r="P161">
        <v>1978</v>
      </c>
      <c r="Q161">
        <v>670</v>
      </c>
      <c r="R161">
        <v>279</v>
      </c>
      <c r="S161">
        <v>234</v>
      </c>
      <c r="T161">
        <v>30</v>
      </c>
      <c r="U161">
        <f t="shared" si="28"/>
        <v>7613</v>
      </c>
      <c r="V161">
        <f t="shared" si="28"/>
        <v>1059.3</v>
      </c>
      <c r="W161">
        <f t="shared" si="28"/>
        <v>423.5</v>
      </c>
      <c r="X161">
        <f t="shared" si="28"/>
        <v>513</v>
      </c>
      <c r="Y161">
        <f t="shared" si="28"/>
        <v>341.09999999999997</v>
      </c>
      <c r="Z161">
        <f t="shared" si="28"/>
        <v>248.9</v>
      </c>
      <c r="AA161" s="3">
        <f t="shared" si="31"/>
        <v>0.46048401661549571</v>
      </c>
      <c r="AB161">
        <f t="shared" si="32"/>
        <v>7613</v>
      </c>
      <c r="AC161">
        <f t="shared" si="33"/>
        <v>1029.875</v>
      </c>
      <c r="AD161">
        <f t="shared" si="34"/>
        <v>378.125</v>
      </c>
      <c r="AE161">
        <f t="shared" si="35"/>
        <v>384.75</v>
      </c>
      <c r="AF161">
        <f t="shared" si="36"/>
        <v>142.125</v>
      </c>
      <c r="AG161">
        <f t="shared" si="37"/>
        <v>0.43109422972728917</v>
      </c>
    </row>
    <row r="162" spans="1:33" x14ac:dyDescent="0.35">
      <c r="A162" t="s">
        <v>311</v>
      </c>
      <c r="B162" t="s">
        <v>312</v>
      </c>
      <c r="C162">
        <f>VLOOKUP(CONCATENATE("2001",'2001_60'!A162),aktivnepesseg!$C$2:$D$2226,2,FALSE)</f>
        <v>28501</v>
      </c>
      <c r="D162">
        <f t="shared" si="29"/>
        <v>23114</v>
      </c>
      <c r="E162">
        <f t="shared" si="30"/>
        <v>5387</v>
      </c>
      <c r="F162">
        <v>1988</v>
      </c>
      <c r="G162">
        <v>931</v>
      </c>
      <c r="H162">
        <v>1588</v>
      </c>
      <c r="I162">
        <v>1607</v>
      </c>
      <c r="J162">
        <v>4387</v>
      </c>
      <c r="K162">
        <v>2128</v>
      </c>
      <c r="L162">
        <v>1566</v>
      </c>
      <c r="M162">
        <v>1368</v>
      </c>
      <c r="N162">
        <v>1169</v>
      </c>
      <c r="O162">
        <v>1014</v>
      </c>
      <c r="P162">
        <v>2800</v>
      </c>
      <c r="Q162">
        <v>1092</v>
      </c>
      <c r="R162">
        <v>571</v>
      </c>
      <c r="S162">
        <v>706</v>
      </c>
      <c r="T162">
        <v>199</v>
      </c>
      <c r="U162">
        <f t="shared" si="28"/>
        <v>5387</v>
      </c>
      <c r="V162">
        <f t="shared" si="28"/>
        <v>1789.2</v>
      </c>
      <c r="W162">
        <f t="shared" si="28"/>
        <v>651.69999999999993</v>
      </c>
      <c r="X162">
        <f t="shared" si="28"/>
        <v>794</v>
      </c>
      <c r="Y162">
        <f t="shared" si="28"/>
        <v>482.09999999999997</v>
      </c>
      <c r="Z162">
        <f t="shared" si="28"/>
        <v>438.70000000000005</v>
      </c>
      <c r="AA162" s="3">
        <f t="shared" si="31"/>
        <v>0.33481983088312695</v>
      </c>
      <c r="AB162">
        <f t="shared" si="32"/>
        <v>5387</v>
      </c>
      <c r="AC162">
        <f t="shared" si="33"/>
        <v>1739.5</v>
      </c>
      <c r="AD162">
        <f t="shared" si="34"/>
        <v>581.875</v>
      </c>
      <c r="AE162">
        <f t="shared" si="35"/>
        <v>595.5</v>
      </c>
      <c r="AF162">
        <f t="shared" si="36"/>
        <v>200.875</v>
      </c>
      <c r="AG162">
        <f t="shared" si="37"/>
        <v>0.2984018104627908</v>
      </c>
    </row>
    <row r="163" spans="1:33" x14ac:dyDescent="0.35">
      <c r="A163" t="s">
        <v>313</v>
      </c>
      <c r="B163" t="s">
        <v>314</v>
      </c>
      <c r="C163">
        <f>VLOOKUP(CONCATENATE("2001",'2001_60'!A163),aktivnepesseg!$C$2:$D$2226,2,FALSE)</f>
        <v>55457</v>
      </c>
      <c r="D163">
        <f t="shared" si="29"/>
        <v>42138</v>
      </c>
      <c r="E163">
        <f t="shared" si="30"/>
        <v>13319</v>
      </c>
      <c r="F163">
        <v>2783</v>
      </c>
      <c r="G163">
        <v>1135</v>
      </c>
      <c r="H163">
        <v>2065</v>
      </c>
      <c r="I163">
        <v>2226</v>
      </c>
      <c r="J163">
        <v>6600</v>
      </c>
      <c r="K163">
        <v>3548</v>
      </c>
      <c r="L163">
        <v>2684</v>
      </c>
      <c r="M163">
        <v>2731</v>
      </c>
      <c r="N163">
        <v>2469</v>
      </c>
      <c r="O163">
        <v>2229</v>
      </c>
      <c r="P163">
        <v>7362</v>
      </c>
      <c r="Q163">
        <v>3116</v>
      </c>
      <c r="R163">
        <v>1231</v>
      </c>
      <c r="S163">
        <v>1575</v>
      </c>
      <c r="T163">
        <v>384</v>
      </c>
      <c r="U163">
        <f t="shared" si="28"/>
        <v>13319</v>
      </c>
      <c r="V163">
        <f t="shared" si="28"/>
        <v>2504.7000000000003</v>
      </c>
      <c r="W163">
        <f t="shared" si="28"/>
        <v>794.5</v>
      </c>
      <c r="X163">
        <f t="shared" si="28"/>
        <v>1032.5</v>
      </c>
      <c r="Y163">
        <f t="shared" si="28"/>
        <v>667.8</v>
      </c>
      <c r="Z163">
        <f t="shared" si="28"/>
        <v>660</v>
      </c>
      <c r="AA163" s="3">
        <f t="shared" si="31"/>
        <v>0.34222009845465856</v>
      </c>
      <c r="AB163">
        <f t="shared" si="32"/>
        <v>13319</v>
      </c>
      <c r="AC163">
        <f t="shared" si="33"/>
        <v>2435.125</v>
      </c>
      <c r="AD163">
        <f t="shared" si="34"/>
        <v>709.375</v>
      </c>
      <c r="AE163">
        <f t="shared" si="35"/>
        <v>774.375</v>
      </c>
      <c r="AF163">
        <f t="shared" si="36"/>
        <v>278.25</v>
      </c>
      <c r="AG163">
        <f t="shared" si="37"/>
        <v>0.31585056890924501</v>
      </c>
    </row>
    <row r="164" spans="1:33" x14ac:dyDescent="0.35">
      <c r="A164" t="s">
        <v>315</v>
      </c>
      <c r="B164" t="s">
        <v>316</v>
      </c>
      <c r="C164">
        <f>VLOOKUP(CONCATENATE("2001",'2001_60'!A164),aktivnepesseg!$C$2:$D$2226,2,FALSE)</f>
        <v>9247</v>
      </c>
      <c r="D164">
        <f t="shared" si="29"/>
        <v>7109</v>
      </c>
      <c r="E164">
        <f t="shared" si="30"/>
        <v>2138</v>
      </c>
      <c r="F164">
        <v>462</v>
      </c>
      <c r="G164">
        <v>216</v>
      </c>
      <c r="H164">
        <v>396</v>
      </c>
      <c r="I164">
        <v>494</v>
      </c>
      <c r="J164">
        <v>1234</v>
      </c>
      <c r="K164">
        <v>728</v>
      </c>
      <c r="L164">
        <v>634</v>
      </c>
      <c r="M164">
        <v>590</v>
      </c>
      <c r="N164">
        <v>422</v>
      </c>
      <c r="O164">
        <v>344</v>
      </c>
      <c r="P164">
        <v>1090</v>
      </c>
      <c r="Q164">
        <v>287</v>
      </c>
      <c r="R164">
        <v>91</v>
      </c>
      <c r="S164">
        <v>111</v>
      </c>
      <c r="T164">
        <v>10</v>
      </c>
      <c r="U164">
        <f t="shared" si="28"/>
        <v>2138</v>
      </c>
      <c r="V164">
        <f t="shared" si="28"/>
        <v>415.8</v>
      </c>
      <c r="W164">
        <f t="shared" si="28"/>
        <v>151.19999999999999</v>
      </c>
      <c r="X164">
        <f t="shared" si="28"/>
        <v>198</v>
      </c>
      <c r="Y164">
        <f t="shared" si="28"/>
        <v>148.19999999999999</v>
      </c>
      <c r="Z164">
        <f t="shared" si="28"/>
        <v>123.4</v>
      </c>
      <c r="AA164" s="3">
        <f t="shared" si="31"/>
        <v>0.34331134421974696</v>
      </c>
      <c r="AB164">
        <f t="shared" si="32"/>
        <v>2138</v>
      </c>
      <c r="AC164">
        <f t="shared" si="33"/>
        <v>404.25</v>
      </c>
      <c r="AD164">
        <f t="shared" si="34"/>
        <v>135</v>
      </c>
      <c r="AE164">
        <f t="shared" si="35"/>
        <v>148.5</v>
      </c>
      <c r="AF164">
        <f t="shared" si="36"/>
        <v>61.75</v>
      </c>
      <c r="AG164">
        <f t="shared" si="37"/>
        <v>0.31226343679031038</v>
      </c>
    </row>
    <row r="165" spans="1:33" x14ac:dyDescent="0.35">
      <c r="A165" t="s">
        <v>317</v>
      </c>
      <c r="B165" t="s">
        <v>318</v>
      </c>
      <c r="C165">
        <f>VLOOKUP(CONCATENATE("2001",'2001_60'!A165),aktivnepesseg!$C$2:$D$2226,2,FALSE)</f>
        <v>17610</v>
      </c>
      <c r="D165">
        <f t="shared" si="29"/>
        <v>13934</v>
      </c>
      <c r="E165">
        <f t="shared" si="30"/>
        <v>3676</v>
      </c>
      <c r="F165">
        <v>1158</v>
      </c>
      <c r="G165">
        <v>556</v>
      </c>
      <c r="H165">
        <v>935</v>
      </c>
      <c r="I165">
        <v>1196</v>
      </c>
      <c r="J165">
        <v>2562</v>
      </c>
      <c r="K165">
        <v>1576</v>
      </c>
      <c r="L165">
        <v>1094</v>
      </c>
      <c r="M165">
        <v>855</v>
      </c>
      <c r="N165">
        <v>729</v>
      </c>
      <c r="O165">
        <v>639</v>
      </c>
      <c r="P165">
        <v>1549</v>
      </c>
      <c r="Q165">
        <v>511</v>
      </c>
      <c r="R165">
        <v>219</v>
      </c>
      <c r="S165">
        <v>292</v>
      </c>
      <c r="T165">
        <v>63</v>
      </c>
      <c r="U165">
        <f t="shared" si="28"/>
        <v>3676</v>
      </c>
      <c r="V165">
        <f t="shared" si="28"/>
        <v>1042.2</v>
      </c>
      <c r="W165">
        <f t="shared" si="28"/>
        <v>389.2</v>
      </c>
      <c r="X165">
        <f t="shared" si="28"/>
        <v>467.5</v>
      </c>
      <c r="Y165">
        <f t="shared" si="28"/>
        <v>358.8</v>
      </c>
      <c r="Z165">
        <f t="shared" si="28"/>
        <v>256.2</v>
      </c>
      <c r="AA165" s="3">
        <f t="shared" si="31"/>
        <v>0.35149914821124362</v>
      </c>
      <c r="AB165">
        <f t="shared" si="32"/>
        <v>3676</v>
      </c>
      <c r="AC165">
        <f t="shared" si="33"/>
        <v>1013.25</v>
      </c>
      <c r="AD165">
        <f t="shared" si="34"/>
        <v>347.5</v>
      </c>
      <c r="AE165">
        <f t="shared" si="35"/>
        <v>350.625</v>
      </c>
      <c r="AF165">
        <f t="shared" si="36"/>
        <v>149.5</v>
      </c>
      <c r="AG165">
        <f t="shared" si="37"/>
        <v>0.31441652470187392</v>
      </c>
    </row>
    <row r="166" spans="1:33" x14ac:dyDescent="0.35">
      <c r="A166" t="s">
        <v>319</v>
      </c>
      <c r="B166" t="s">
        <v>320</v>
      </c>
      <c r="C166">
        <f>VLOOKUP(CONCATENATE("2001",'2001_60'!A166),aktivnepesseg!$C$2:$D$2226,2,FALSE)</f>
        <v>11564</v>
      </c>
      <c r="D166">
        <f t="shared" si="29"/>
        <v>7076</v>
      </c>
      <c r="E166">
        <f t="shared" si="30"/>
        <v>4488</v>
      </c>
      <c r="F166">
        <v>546</v>
      </c>
      <c r="G166">
        <v>333</v>
      </c>
      <c r="H166">
        <v>549</v>
      </c>
      <c r="I166">
        <v>552</v>
      </c>
      <c r="J166">
        <v>1266</v>
      </c>
      <c r="K166">
        <v>695</v>
      </c>
      <c r="L166">
        <v>531</v>
      </c>
      <c r="M166">
        <v>626</v>
      </c>
      <c r="N166">
        <v>445</v>
      </c>
      <c r="O166">
        <v>328</v>
      </c>
      <c r="P166">
        <v>719</v>
      </c>
      <c r="Q166">
        <v>276</v>
      </c>
      <c r="R166">
        <v>79</v>
      </c>
      <c r="S166">
        <v>124</v>
      </c>
      <c r="T166">
        <v>7</v>
      </c>
      <c r="U166">
        <f t="shared" si="28"/>
        <v>4488</v>
      </c>
      <c r="V166">
        <f t="shared" si="28"/>
        <v>491.40000000000003</v>
      </c>
      <c r="W166">
        <f t="shared" si="28"/>
        <v>233.1</v>
      </c>
      <c r="X166">
        <f t="shared" si="28"/>
        <v>274.5</v>
      </c>
      <c r="Y166">
        <f t="shared" si="28"/>
        <v>165.6</v>
      </c>
      <c r="Z166">
        <f t="shared" si="28"/>
        <v>126.60000000000001</v>
      </c>
      <c r="AA166" s="3">
        <f t="shared" si="31"/>
        <v>0.49975786924939475</v>
      </c>
      <c r="AB166">
        <f t="shared" si="32"/>
        <v>4488</v>
      </c>
      <c r="AC166">
        <f t="shared" si="33"/>
        <v>477.75</v>
      </c>
      <c r="AD166">
        <f t="shared" si="34"/>
        <v>208.125</v>
      </c>
      <c r="AE166">
        <f t="shared" si="35"/>
        <v>205.875</v>
      </c>
      <c r="AF166">
        <f t="shared" si="36"/>
        <v>69</v>
      </c>
      <c r="AG166">
        <f t="shared" si="37"/>
        <v>0.47118211691456241</v>
      </c>
    </row>
    <row r="167" spans="1:33" x14ac:dyDescent="0.35">
      <c r="A167" t="s">
        <v>321</v>
      </c>
      <c r="B167" t="s">
        <v>322</v>
      </c>
      <c r="C167">
        <f>VLOOKUP(CONCATENATE("2001",'2001_60'!A167),aktivnepesseg!$C$2:$D$2226,2,FALSE)</f>
        <v>122943</v>
      </c>
      <c r="D167">
        <f t="shared" si="29"/>
        <v>91351</v>
      </c>
      <c r="E167">
        <f t="shared" si="30"/>
        <v>31592</v>
      </c>
      <c r="F167">
        <v>7078</v>
      </c>
      <c r="G167">
        <v>2995</v>
      </c>
      <c r="H167">
        <v>5079</v>
      </c>
      <c r="I167">
        <v>4813</v>
      </c>
      <c r="J167">
        <v>13211</v>
      </c>
      <c r="K167">
        <v>8118</v>
      </c>
      <c r="L167">
        <v>6093</v>
      </c>
      <c r="M167">
        <v>5477</v>
      </c>
      <c r="N167">
        <v>4982</v>
      </c>
      <c r="O167">
        <v>4551</v>
      </c>
      <c r="P167">
        <v>14367</v>
      </c>
      <c r="Q167">
        <v>6162</v>
      </c>
      <c r="R167">
        <v>3006</v>
      </c>
      <c r="S167">
        <v>4322</v>
      </c>
      <c r="T167">
        <v>1097</v>
      </c>
      <c r="U167">
        <f t="shared" si="28"/>
        <v>31592</v>
      </c>
      <c r="V167">
        <f t="shared" si="28"/>
        <v>6370.2</v>
      </c>
      <c r="W167">
        <f t="shared" si="28"/>
        <v>2096.5</v>
      </c>
      <c r="X167">
        <f t="shared" si="28"/>
        <v>2539.5</v>
      </c>
      <c r="Y167">
        <f t="shared" si="28"/>
        <v>1443.8999999999999</v>
      </c>
      <c r="Z167">
        <f t="shared" si="28"/>
        <v>1321.1000000000001</v>
      </c>
      <c r="AA167" s="3">
        <f t="shared" si="31"/>
        <v>0.36897749363526183</v>
      </c>
      <c r="AB167">
        <f t="shared" si="32"/>
        <v>31592</v>
      </c>
      <c r="AC167">
        <f t="shared" si="33"/>
        <v>6193.25</v>
      </c>
      <c r="AD167">
        <f t="shared" si="34"/>
        <v>1871.875</v>
      </c>
      <c r="AE167">
        <f t="shared" si="35"/>
        <v>1904.625</v>
      </c>
      <c r="AF167">
        <f t="shared" si="36"/>
        <v>601.625</v>
      </c>
      <c r="AG167">
        <f t="shared" si="37"/>
        <v>0.34295059499117475</v>
      </c>
    </row>
    <row r="168" spans="1:33" x14ac:dyDescent="0.35">
      <c r="A168" t="s">
        <v>323</v>
      </c>
      <c r="B168" t="s">
        <v>324</v>
      </c>
      <c r="C168">
        <f>VLOOKUP(CONCATENATE("2001",'2001_60'!A168),aktivnepesseg!$C$2:$D$2226,2,FALSE)</f>
        <v>18354</v>
      </c>
      <c r="D168">
        <f t="shared" si="29"/>
        <v>13665</v>
      </c>
      <c r="E168">
        <f t="shared" si="30"/>
        <v>4689</v>
      </c>
      <c r="F168">
        <v>1204</v>
      </c>
      <c r="G168">
        <v>698</v>
      </c>
      <c r="H168">
        <v>921</v>
      </c>
      <c r="I168">
        <v>1145</v>
      </c>
      <c r="J168">
        <v>2133</v>
      </c>
      <c r="K168">
        <v>1441</v>
      </c>
      <c r="L168">
        <v>1054</v>
      </c>
      <c r="M168">
        <v>921</v>
      </c>
      <c r="N168">
        <v>784</v>
      </c>
      <c r="O168">
        <v>626</v>
      </c>
      <c r="P168">
        <v>1611</v>
      </c>
      <c r="Q168">
        <v>590</v>
      </c>
      <c r="R168">
        <v>281</v>
      </c>
      <c r="S168">
        <v>228</v>
      </c>
      <c r="T168">
        <v>28</v>
      </c>
      <c r="U168">
        <f t="shared" ref="U168:Z204" si="38">E168*E$5</f>
        <v>4689</v>
      </c>
      <c r="V168">
        <f t="shared" si="38"/>
        <v>1083.6000000000001</v>
      </c>
      <c r="W168">
        <f t="shared" si="38"/>
        <v>488.59999999999997</v>
      </c>
      <c r="X168">
        <f t="shared" si="38"/>
        <v>460.5</v>
      </c>
      <c r="Y168">
        <f t="shared" si="38"/>
        <v>343.5</v>
      </c>
      <c r="Z168">
        <f t="shared" si="38"/>
        <v>213.3</v>
      </c>
      <c r="AA168" s="3">
        <f t="shared" si="31"/>
        <v>0.39656205731720612</v>
      </c>
      <c r="AB168">
        <f t="shared" si="32"/>
        <v>4689</v>
      </c>
      <c r="AC168">
        <f t="shared" si="33"/>
        <v>1053.5</v>
      </c>
      <c r="AD168">
        <f t="shared" si="34"/>
        <v>436.25</v>
      </c>
      <c r="AE168">
        <f t="shared" si="35"/>
        <v>345.375</v>
      </c>
      <c r="AF168">
        <f t="shared" si="36"/>
        <v>143.125</v>
      </c>
      <c r="AG168">
        <f t="shared" si="37"/>
        <v>0.36325869020377027</v>
      </c>
    </row>
    <row r="169" spans="1:33" x14ac:dyDescent="0.35">
      <c r="A169" t="s">
        <v>325</v>
      </c>
      <c r="B169" t="s">
        <v>326</v>
      </c>
      <c r="C169">
        <f>VLOOKUP(CONCATENATE("2001",'2001_60'!A169),aktivnepesseg!$C$2:$D$2226,2,FALSE)</f>
        <v>95885</v>
      </c>
      <c r="D169">
        <f t="shared" si="29"/>
        <v>77907</v>
      </c>
      <c r="E169">
        <f t="shared" si="30"/>
        <v>17978</v>
      </c>
      <c r="F169">
        <v>5434</v>
      </c>
      <c r="G169">
        <v>2077</v>
      </c>
      <c r="H169">
        <v>3394</v>
      </c>
      <c r="I169">
        <v>3629</v>
      </c>
      <c r="J169">
        <v>10742</v>
      </c>
      <c r="K169">
        <v>5945</v>
      </c>
      <c r="L169">
        <v>4543</v>
      </c>
      <c r="M169">
        <v>4477</v>
      </c>
      <c r="N169">
        <v>4160</v>
      </c>
      <c r="O169">
        <v>4007</v>
      </c>
      <c r="P169">
        <v>13666</v>
      </c>
      <c r="Q169">
        <v>6206</v>
      </c>
      <c r="R169">
        <v>3519</v>
      </c>
      <c r="S169">
        <v>4861</v>
      </c>
      <c r="T169">
        <v>1247</v>
      </c>
      <c r="U169">
        <f t="shared" si="38"/>
        <v>17978</v>
      </c>
      <c r="V169">
        <f t="shared" si="38"/>
        <v>4890.6000000000004</v>
      </c>
      <c r="W169">
        <f t="shared" si="38"/>
        <v>1453.8999999999999</v>
      </c>
      <c r="X169">
        <f t="shared" si="38"/>
        <v>1697</v>
      </c>
      <c r="Y169">
        <f t="shared" si="38"/>
        <v>1088.7</v>
      </c>
      <c r="Z169">
        <f t="shared" si="38"/>
        <v>1074.2</v>
      </c>
      <c r="AA169" s="3">
        <f t="shared" si="31"/>
        <v>0.29391875684413621</v>
      </c>
      <c r="AB169">
        <f t="shared" si="32"/>
        <v>17978</v>
      </c>
      <c r="AC169">
        <f t="shared" si="33"/>
        <v>4754.75</v>
      </c>
      <c r="AD169">
        <f t="shared" si="34"/>
        <v>1298.125</v>
      </c>
      <c r="AE169">
        <f t="shared" si="35"/>
        <v>1272.75</v>
      </c>
      <c r="AF169">
        <f t="shared" si="36"/>
        <v>453.625</v>
      </c>
      <c r="AG169">
        <f t="shared" si="37"/>
        <v>0.26862647963706521</v>
      </c>
    </row>
    <row r="170" spans="1:33" x14ac:dyDescent="0.35">
      <c r="A170" t="s">
        <v>327</v>
      </c>
      <c r="B170" t="s">
        <v>328</v>
      </c>
      <c r="C170">
        <f>VLOOKUP(CONCATENATE("2001",'2001_60'!A170),aktivnepesseg!$C$2:$D$2226,2,FALSE)</f>
        <v>37482</v>
      </c>
      <c r="D170">
        <f t="shared" si="29"/>
        <v>29745</v>
      </c>
      <c r="E170">
        <f t="shared" si="30"/>
        <v>7737</v>
      </c>
      <c r="F170">
        <v>2257</v>
      </c>
      <c r="G170">
        <v>1003</v>
      </c>
      <c r="H170">
        <v>1501</v>
      </c>
      <c r="I170">
        <v>1733</v>
      </c>
      <c r="J170">
        <v>4666</v>
      </c>
      <c r="K170">
        <v>2737</v>
      </c>
      <c r="L170">
        <v>2245</v>
      </c>
      <c r="M170">
        <v>1945</v>
      </c>
      <c r="N170">
        <v>1682</v>
      </c>
      <c r="O170">
        <v>1471</v>
      </c>
      <c r="P170">
        <v>4302</v>
      </c>
      <c r="Q170">
        <v>1673</v>
      </c>
      <c r="R170">
        <v>870</v>
      </c>
      <c r="S170">
        <v>1362</v>
      </c>
      <c r="T170">
        <v>298</v>
      </c>
      <c r="U170">
        <f t="shared" si="38"/>
        <v>7737</v>
      </c>
      <c r="V170">
        <f t="shared" si="38"/>
        <v>2031.3</v>
      </c>
      <c r="W170">
        <f t="shared" si="38"/>
        <v>702.09999999999991</v>
      </c>
      <c r="X170">
        <f t="shared" si="38"/>
        <v>750.5</v>
      </c>
      <c r="Y170">
        <f t="shared" si="38"/>
        <v>519.9</v>
      </c>
      <c r="Z170">
        <f t="shared" si="38"/>
        <v>466.6</v>
      </c>
      <c r="AA170" s="3">
        <f t="shared" si="31"/>
        <v>0.32568699642495064</v>
      </c>
      <c r="AB170">
        <f t="shared" si="32"/>
        <v>7737</v>
      </c>
      <c r="AC170">
        <f t="shared" si="33"/>
        <v>1974.875</v>
      </c>
      <c r="AD170">
        <f t="shared" si="34"/>
        <v>626.875</v>
      </c>
      <c r="AE170">
        <f t="shared" si="35"/>
        <v>562.875</v>
      </c>
      <c r="AF170">
        <f t="shared" si="36"/>
        <v>216.625</v>
      </c>
      <c r="AG170">
        <f t="shared" si="37"/>
        <v>0.29662904860999945</v>
      </c>
    </row>
    <row r="171" spans="1:33" x14ac:dyDescent="0.35">
      <c r="A171" t="s">
        <v>329</v>
      </c>
      <c r="B171" t="s">
        <v>330</v>
      </c>
      <c r="C171">
        <f>VLOOKUP(CONCATENATE("2001",'2001_60'!A171),aktivnepesseg!$C$2:$D$2226,2,FALSE)</f>
        <v>40577</v>
      </c>
      <c r="D171">
        <f t="shared" si="29"/>
        <v>29916</v>
      </c>
      <c r="E171">
        <f t="shared" si="30"/>
        <v>10661</v>
      </c>
      <c r="F171">
        <v>1836</v>
      </c>
      <c r="G171">
        <v>884</v>
      </c>
      <c r="H171">
        <v>1423</v>
      </c>
      <c r="I171">
        <v>1585</v>
      </c>
      <c r="J171">
        <v>5438</v>
      </c>
      <c r="K171">
        <v>2416</v>
      </c>
      <c r="L171">
        <v>1654</v>
      </c>
      <c r="M171">
        <v>1560</v>
      </c>
      <c r="N171">
        <v>1427</v>
      </c>
      <c r="O171">
        <v>1359</v>
      </c>
      <c r="P171">
        <v>4323</v>
      </c>
      <c r="Q171">
        <v>2097</v>
      </c>
      <c r="R171">
        <v>1053</v>
      </c>
      <c r="S171">
        <v>1924</v>
      </c>
      <c r="T171">
        <v>937</v>
      </c>
      <c r="U171">
        <f t="shared" si="38"/>
        <v>10661</v>
      </c>
      <c r="V171">
        <f t="shared" si="38"/>
        <v>1652.4</v>
      </c>
      <c r="W171">
        <f t="shared" si="38"/>
        <v>618.79999999999995</v>
      </c>
      <c r="X171">
        <f t="shared" si="38"/>
        <v>711.5</v>
      </c>
      <c r="Y171">
        <f t="shared" si="38"/>
        <v>475.5</v>
      </c>
      <c r="Z171">
        <f t="shared" si="38"/>
        <v>543.80000000000007</v>
      </c>
      <c r="AA171" s="3">
        <f t="shared" si="31"/>
        <v>0.36136234812824997</v>
      </c>
      <c r="AB171">
        <f t="shared" si="32"/>
        <v>10661</v>
      </c>
      <c r="AC171">
        <f t="shared" si="33"/>
        <v>1606.5</v>
      </c>
      <c r="AD171">
        <f t="shared" si="34"/>
        <v>552.5</v>
      </c>
      <c r="AE171">
        <f t="shared" si="35"/>
        <v>533.625</v>
      </c>
      <c r="AF171">
        <f t="shared" si="36"/>
        <v>198.125</v>
      </c>
      <c r="AG171">
        <f t="shared" si="37"/>
        <v>0.33397614412105381</v>
      </c>
    </row>
    <row r="172" spans="1:33" x14ac:dyDescent="0.35">
      <c r="A172" t="s">
        <v>331</v>
      </c>
      <c r="B172" t="s">
        <v>332</v>
      </c>
      <c r="C172">
        <f>VLOOKUP(CONCATENATE("2001",'2001_60'!A172),aktivnepesseg!$C$2:$D$2226,2,FALSE)</f>
        <v>25893</v>
      </c>
      <c r="D172">
        <f t="shared" si="29"/>
        <v>20733</v>
      </c>
      <c r="E172">
        <f t="shared" si="30"/>
        <v>5160</v>
      </c>
      <c r="F172">
        <v>1929</v>
      </c>
      <c r="G172">
        <v>638</v>
      </c>
      <c r="H172">
        <v>1358</v>
      </c>
      <c r="I172">
        <v>1472</v>
      </c>
      <c r="J172">
        <v>3051</v>
      </c>
      <c r="K172">
        <v>2308</v>
      </c>
      <c r="L172">
        <v>1723</v>
      </c>
      <c r="M172">
        <v>1446</v>
      </c>
      <c r="N172">
        <v>1259</v>
      </c>
      <c r="O172">
        <v>1103</v>
      </c>
      <c r="P172">
        <v>2633</v>
      </c>
      <c r="Q172">
        <v>947</v>
      </c>
      <c r="R172">
        <v>383</v>
      </c>
      <c r="S172">
        <v>413</v>
      </c>
      <c r="T172">
        <v>70</v>
      </c>
      <c r="U172">
        <f t="shared" si="38"/>
        <v>5160</v>
      </c>
      <c r="V172">
        <f t="shared" si="38"/>
        <v>1736.1000000000001</v>
      </c>
      <c r="W172">
        <f t="shared" si="38"/>
        <v>446.59999999999997</v>
      </c>
      <c r="X172">
        <f t="shared" si="38"/>
        <v>679</v>
      </c>
      <c r="Y172">
        <f t="shared" si="38"/>
        <v>441.59999999999997</v>
      </c>
      <c r="Z172">
        <f t="shared" si="38"/>
        <v>305.10000000000002</v>
      </c>
      <c r="AA172" s="3">
        <f t="shared" si="31"/>
        <v>0.33863978681496937</v>
      </c>
      <c r="AB172">
        <f t="shared" si="32"/>
        <v>5160</v>
      </c>
      <c r="AC172">
        <f t="shared" si="33"/>
        <v>1687.875</v>
      </c>
      <c r="AD172">
        <f t="shared" si="34"/>
        <v>398.75</v>
      </c>
      <c r="AE172">
        <f t="shared" si="35"/>
        <v>509.25</v>
      </c>
      <c r="AF172">
        <f t="shared" si="36"/>
        <v>184</v>
      </c>
      <c r="AG172">
        <f t="shared" si="37"/>
        <v>0.30664175645927472</v>
      </c>
    </row>
    <row r="173" spans="1:33" x14ac:dyDescent="0.35">
      <c r="A173" t="s">
        <v>333</v>
      </c>
      <c r="B173" t="s">
        <v>334</v>
      </c>
      <c r="C173">
        <f>VLOOKUP(CONCATENATE("2001",'2001_60'!A173),aktivnepesseg!$C$2:$D$2226,2,FALSE)</f>
        <v>9304</v>
      </c>
      <c r="D173">
        <f t="shared" si="29"/>
        <v>7199</v>
      </c>
      <c r="E173">
        <f t="shared" si="30"/>
        <v>2105</v>
      </c>
      <c r="F173">
        <v>314</v>
      </c>
      <c r="G173">
        <v>172</v>
      </c>
      <c r="H173">
        <v>310</v>
      </c>
      <c r="I173">
        <v>341</v>
      </c>
      <c r="J173">
        <v>947</v>
      </c>
      <c r="K173">
        <v>640</v>
      </c>
      <c r="L173">
        <v>621</v>
      </c>
      <c r="M173">
        <v>545</v>
      </c>
      <c r="N173">
        <v>454</v>
      </c>
      <c r="O173">
        <v>412</v>
      </c>
      <c r="P173">
        <v>1202</v>
      </c>
      <c r="Q173">
        <v>549</v>
      </c>
      <c r="R173">
        <v>273</v>
      </c>
      <c r="S173">
        <v>358</v>
      </c>
      <c r="T173">
        <v>61</v>
      </c>
      <c r="U173">
        <f t="shared" si="38"/>
        <v>2105</v>
      </c>
      <c r="V173">
        <f t="shared" si="38"/>
        <v>282.60000000000002</v>
      </c>
      <c r="W173">
        <f t="shared" si="38"/>
        <v>120.39999999999999</v>
      </c>
      <c r="X173">
        <f t="shared" si="38"/>
        <v>155</v>
      </c>
      <c r="Y173">
        <f t="shared" si="38"/>
        <v>102.3</v>
      </c>
      <c r="Z173">
        <f t="shared" si="38"/>
        <v>94.7</v>
      </c>
      <c r="AA173" s="3">
        <f t="shared" si="31"/>
        <v>0.30739466895958728</v>
      </c>
      <c r="AB173">
        <f t="shared" si="32"/>
        <v>2105</v>
      </c>
      <c r="AC173">
        <f t="shared" si="33"/>
        <v>274.75</v>
      </c>
      <c r="AD173">
        <f t="shared" si="34"/>
        <v>107.5</v>
      </c>
      <c r="AE173">
        <f t="shared" si="35"/>
        <v>116.25</v>
      </c>
      <c r="AF173">
        <f t="shared" si="36"/>
        <v>42.625</v>
      </c>
      <c r="AG173">
        <f t="shared" si="37"/>
        <v>0.28440724419604474</v>
      </c>
    </row>
    <row r="174" spans="1:33" x14ac:dyDescent="0.35">
      <c r="A174" t="s">
        <v>335</v>
      </c>
      <c r="B174" t="s">
        <v>336</v>
      </c>
      <c r="C174">
        <f>VLOOKUP(CONCATENATE("2001",'2001_60'!A174),aktivnepesseg!$C$2:$D$2226,2,FALSE)</f>
        <v>9395</v>
      </c>
      <c r="D174">
        <f t="shared" si="29"/>
        <v>6259</v>
      </c>
      <c r="E174">
        <f t="shared" si="30"/>
        <v>3136</v>
      </c>
      <c r="F174">
        <v>431</v>
      </c>
      <c r="G174">
        <v>266</v>
      </c>
      <c r="H174">
        <v>409</v>
      </c>
      <c r="I174">
        <v>483</v>
      </c>
      <c r="J174">
        <v>957</v>
      </c>
      <c r="K174">
        <v>700</v>
      </c>
      <c r="L174">
        <v>494</v>
      </c>
      <c r="M174">
        <v>443</v>
      </c>
      <c r="N174">
        <v>397</v>
      </c>
      <c r="O174">
        <v>306</v>
      </c>
      <c r="P174">
        <v>898</v>
      </c>
      <c r="Q174">
        <v>285</v>
      </c>
      <c r="R174">
        <v>91</v>
      </c>
      <c r="S174">
        <v>93</v>
      </c>
      <c r="T174">
        <v>6</v>
      </c>
      <c r="U174">
        <f t="shared" si="38"/>
        <v>3136</v>
      </c>
      <c r="V174">
        <f t="shared" si="38"/>
        <v>387.90000000000003</v>
      </c>
      <c r="W174">
        <f t="shared" si="38"/>
        <v>186.2</v>
      </c>
      <c r="X174">
        <f t="shared" si="38"/>
        <v>204.5</v>
      </c>
      <c r="Y174">
        <f t="shared" si="38"/>
        <v>144.9</v>
      </c>
      <c r="Z174">
        <f t="shared" si="38"/>
        <v>95.7</v>
      </c>
      <c r="AA174" s="3">
        <f t="shared" si="31"/>
        <v>0.44227780734433209</v>
      </c>
      <c r="AB174">
        <f t="shared" si="32"/>
        <v>3136</v>
      </c>
      <c r="AC174">
        <f t="shared" si="33"/>
        <v>377.125</v>
      </c>
      <c r="AD174">
        <f t="shared" si="34"/>
        <v>166.25</v>
      </c>
      <c r="AE174">
        <f t="shared" si="35"/>
        <v>153.375</v>
      </c>
      <c r="AF174">
        <f t="shared" si="36"/>
        <v>60.375</v>
      </c>
      <c r="AG174">
        <f t="shared" si="37"/>
        <v>0.41438265034592869</v>
      </c>
    </row>
    <row r="175" spans="1:33" x14ac:dyDescent="0.35">
      <c r="A175" t="s">
        <v>337</v>
      </c>
      <c r="B175" t="s">
        <v>338</v>
      </c>
      <c r="C175">
        <f>VLOOKUP(CONCATENATE("2001",'2001_60'!A175),aktivnepesseg!$C$2:$D$2226,2,FALSE)</f>
        <v>23664</v>
      </c>
      <c r="D175">
        <f t="shared" si="29"/>
        <v>15118</v>
      </c>
      <c r="E175">
        <f t="shared" si="30"/>
        <v>8546</v>
      </c>
      <c r="F175">
        <v>1193</v>
      </c>
      <c r="G175">
        <v>727</v>
      </c>
      <c r="H175">
        <v>1098</v>
      </c>
      <c r="I175">
        <v>1145</v>
      </c>
      <c r="J175">
        <v>2318</v>
      </c>
      <c r="K175">
        <v>1360</v>
      </c>
      <c r="L175">
        <v>1037</v>
      </c>
      <c r="M175">
        <v>1001</v>
      </c>
      <c r="N175">
        <v>848</v>
      </c>
      <c r="O175">
        <v>745</v>
      </c>
      <c r="P175">
        <v>2189</v>
      </c>
      <c r="Q175">
        <v>782</v>
      </c>
      <c r="R175">
        <v>294</v>
      </c>
      <c r="S175">
        <v>331</v>
      </c>
      <c r="T175">
        <v>50</v>
      </c>
      <c r="U175">
        <f t="shared" si="38"/>
        <v>8546</v>
      </c>
      <c r="V175">
        <f t="shared" si="38"/>
        <v>1073.7</v>
      </c>
      <c r="W175">
        <f t="shared" si="38"/>
        <v>508.9</v>
      </c>
      <c r="X175">
        <f t="shared" si="38"/>
        <v>549</v>
      </c>
      <c r="Y175">
        <f t="shared" si="38"/>
        <v>343.5</v>
      </c>
      <c r="Z175">
        <f t="shared" si="38"/>
        <v>231.8</v>
      </c>
      <c r="AA175" s="3">
        <f t="shared" si="31"/>
        <v>0.47552822853279242</v>
      </c>
      <c r="AB175">
        <f t="shared" si="32"/>
        <v>8546</v>
      </c>
      <c r="AC175">
        <f t="shared" si="33"/>
        <v>1043.875</v>
      </c>
      <c r="AD175">
        <f t="shared" si="34"/>
        <v>454.375</v>
      </c>
      <c r="AE175">
        <f t="shared" si="35"/>
        <v>411.75</v>
      </c>
      <c r="AF175">
        <f t="shared" si="36"/>
        <v>143.125</v>
      </c>
      <c r="AG175">
        <f t="shared" si="37"/>
        <v>0.44790081981068292</v>
      </c>
    </row>
    <row r="176" spans="1:33" x14ac:dyDescent="0.35">
      <c r="A176" t="s">
        <v>339</v>
      </c>
      <c r="B176" t="s">
        <v>340</v>
      </c>
      <c r="C176">
        <f>VLOOKUP(CONCATENATE("2001",'2001_60'!A176),aktivnepesseg!$C$2:$D$2226,2,FALSE)</f>
        <v>50751</v>
      </c>
      <c r="D176">
        <f t="shared" si="29"/>
        <v>35424</v>
      </c>
      <c r="E176">
        <f t="shared" si="30"/>
        <v>15327</v>
      </c>
      <c r="F176">
        <v>2080</v>
      </c>
      <c r="G176">
        <v>1124</v>
      </c>
      <c r="H176">
        <v>1914</v>
      </c>
      <c r="I176">
        <v>2022</v>
      </c>
      <c r="J176">
        <v>6654</v>
      </c>
      <c r="K176">
        <v>2734</v>
      </c>
      <c r="L176">
        <v>1951</v>
      </c>
      <c r="M176">
        <v>2028</v>
      </c>
      <c r="N176">
        <v>1704</v>
      </c>
      <c r="O176">
        <v>1464</v>
      </c>
      <c r="P176">
        <v>5442</v>
      </c>
      <c r="Q176">
        <v>2805</v>
      </c>
      <c r="R176">
        <v>1376</v>
      </c>
      <c r="S176">
        <v>1681</v>
      </c>
      <c r="T176">
        <v>445</v>
      </c>
      <c r="U176">
        <f t="shared" si="38"/>
        <v>15327</v>
      </c>
      <c r="V176">
        <f t="shared" si="38"/>
        <v>1872</v>
      </c>
      <c r="W176">
        <f t="shared" si="38"/>
        <v>786.8</v>
      </c>
      <c r="X176">
        <f t="shared" si="38"/>
        <v>957</v>
      </c>
      <c r="Y176">
        <f t="shared" si="38"/>
        <v>606.6</v>
      </c>
      <c r="Z176">
        <f t="shared" si="38"/>
        <v>665.40000000000009</v>
      </c>
      <c r="AA176" s="3">
        <f t="shared" si="31"/>
        <v>0.39831333372741423</v>
      </c>
      <c r="AB176">
        <f t="shared" si="32"/>
        <v>15327</v>
      </c>
      <c r="AC176">
        <f t="shared" si="33"/>
        <v>1820</v>
      </c>
      <c r="AD176">
        <f t="shared" si="34"/>
        <v>702.5</v>
      </c>
      <c r="AE176">
        <f t="shared" si="35"/>
        <v>717.75</v>
      </c>
      <c r="AF176">
        <f t="shared" si="36"/>
        <v>252.75</v>
      </c>
      <c r="AG176">
        <f t="shared" si="37"/>
        <v>0.37083013142598176</v>
      </c>
    </row>
    <row r="177" spans="1:33" x14ac:dyDescent="0.35">
      <c r="A177" t="s">
        <v>341</v>
      </c>
      <c r="B177" t="s">
        <v>342</v>
      </c>
      <c r="C177">
        <f>VLOOKUP(CONCATENATE("2001",'2001_60'!A177),aktivnepesseg!$C$2:$D$2226,2,FALSE)</f>
        <v>16130</v>
      </c>
      <c r="D177">
        <f t="shared" si="29"/>
        <v>10145</v>
      </c>
      <c r="E177">
        <f t="shared" si="30"/>
        <v>5985</v>
      </c>
      <c r="F177">
        <v>780</v>
      </c>
      <c r="G177">
        <v>450</v>
      </c>
      <c r="H177">
        <v>794</v>
      </c>
      <c r="I177">
        <v>964</v>
      </c>
      <c r="J177">
        <v>1813</v>
      </c>
      <c r="K177">
        <v>1169</v>
      </c>
      <c r="L177">
        <v>829</v>
      </c>
      <c r="M177">
        <v>676</v>
      </c>
      <c r="N177">
        <v>534</v>
      </c>
      <c r="O177">
        <v>418</v>
      </c>
      <c r="P177">
        <v>1101</v>
      </c>
      <c r="Q177">
        <v>324</v>
      </c>
      <c r="R177">
        <v>143</v>
      </c>
      <c r="S177">
        <v>125</v>
      </c>
      <c r="T177">
        <v>25</v>
      </c>
      <c r="U177">
        <f t="shared" si="38"/>
        <v>5985</v>
      </c>
      <c r="V177">
        <f t="shared" si="38"/>
        <v>702</v>
      </c>
      <c r="W177">
        <f t="shared" si="38"/>
        <v>315</v>
      </c>
      <c r="X177">
        <f t="shared" si="38"/>
        <v>397</v>
      </c>
      <c r="Y177">
        <f t="shared" si="38"/>
        <v>289.2</v>
      </c>
      <c r="Z177">
        <f t="shared" si="38"/>
        <v>181.3</v>
      </c>
      <c r="AA177" s="3">
        <f t="shared" si="31"/>
        <v>0.48787972721636702</v>
      </c>
      <c r="AB177">
        <f t="shared" si="32"/>
        <v>5985</v>
      </c>
      <c r="AC177">
        <f t="shared" si="33"/>
        <v>682.5</v>
      </c>
      <c r="AD177">
        <f t="shared" si="34"/>
        <v>281.25</v>
      </c>
      <c r="AE177">
        <f t="shared" si="35"/>
        <v>297.75</v>
      </c>
      <c r="AF177">
        <f t="shared" si="36"/>
        <v>120.5</v>
      </c>
      <c r="AG177">
        <f t="shared" si="37"/>
        <v>0.45672659640421576</v>
      </c>
    </row>
    <row r="178" spans="1:33" x14ac:dyDescent="0.35">
      <c r="A178" t="s">
        <v>343</v>
      </c>
      <c r="B178" t="s">
        <v>344</v>
      </c>
      <c r="C178">
        <f>VLOOKUP(CONCATENATE("2001",'2001_60'!A178),aktivnepesseg!$C$2:$D$2226,2,FALSE)</f>
        <v>9832</v>
      </c>
      <c r="D178">
        <f t="shared" si="29"/>
        <v>5831</v>
      </c>
      <c r="E178">
        <f t="shared" si="30"/>
        <v>4001</v>
      </c>
      <c r="F178">
        <v>449</v>
      </c>
      <c r="G178">
        <v>293</v>
      </c>
      <c r="H178">
        <v>460</v>
      </c>
      <c r="I178">
        <v>450</v>
      </c>
      <c r="J178">
        <v>747</v>
      </c>
      <c r="K178">
        <v>652</v>
      </c>
      <c r="L178">
        <v>418</v>
      </c>
      <c r="M178">
        <v>435</v>
      </c>
      <c r="N178">
        <v>392</v>
      </c>
      <c r="O178">
        <v>314</v>
      </c>
      <c r="P178">
        <v>762</v>
      </c>
      <c r="Q178">
        <v>246</v>
      </c>
      <c r="R178">
        <v>91</v>
      </c>
      <c r="S178">
        <v>110</v>
      </c>
      <c r="T178">
        <v>12</v>
      </c>
      <c r="U178">
        <f t="shared" si="38"/>
        <v>4001</v>
      </c>
      <c r="V178">
        <f t="shared" si="38"/>
        <v>404.1</v>
      </c>
      <c r="W178">
        <f t="shared" si="38"/>
        <v>205.1</v>
      </c>
      <c r="X178">
        <f t="shared" si="38"/>
        <v>230</v>
      </c>
      <c r="Y178">
        <f t="shared" si="38"/>
        <v>135</v>
      </c>
      <c r="Z178">
        <f t="shared" si="38"/>
        <v>74.7</v>
      </c>
      <c r="AA178" s="3">
        <f t="shared" si="31"/>
        <v>0.51361879576891789</v>
      </c>
      <c r="AB178">
        <f t="shared" si="32"/>
        <v>4001</v>
      </c>
      <c r="AC178">
        <f t="shared" si="33"/>
        <v>392.875</v>
      </c>
      <c r="AD178">
        <f t="shared" si="34"/>
        <v>183.125</v>
      </c>
      <c r="AE178">
        <f t="shared" si="35"/>
        <v>172.5</v>
      </c>
      <c r="AF178">
        <f t="shared" si="36"/>
        <v>56.25</v>
      </c>
      <c r="AG178">
        <f t="shared" si="37"/>
        <v>0.48878661513425548</v>
      </c>
    </row>
    <row r="179" spans="1:33" x14ac:dyDescent="0.35">
      <c r="A179" t="s">
        <v>345</v>
      </c>
      <c r="B179" t="s">
        <v>346</v>
      </c>
      <c r="C179">
        <f>VLOOKUP(CONCATENATE("2001",'2001_60'!A179),aktivnepesseg!$C$2:$D$2226,2,FALSE)</f>
        <v>13894</v>
      </c>
      <c r="D179">
        <f t="shared" si="29"/>
        <v>9669</v>
      </c>
      <c r="E179">
        <f t="shared" si="30"/>
        <v>4225</v>
      </c>
      <c r="F179">
        <v>499</v>
      </c>
      <c r="G179">
        <v>228</v>
      </c>
      <c r="H179">
        <v>438</v>
      </c>
      <c r="I179">
        <v>530</v>
      </c>
      <c r="J179">
        <v>1451</v>
      </c>
      <c r="K179">
        <v>796</v>
      </c>
      <c r="L179">
        <v>602</v>
      </c>
      <c r="M179">
        <v>542</v>
      </c>
      <c r="N179">
        <v>568</v>
      </c>
      <c r="O179">
        <v>547</v>
      </c>
      <c r="P179">
        <v>1970</v>
      </c>
      <c r="Q179">
        <v>769</v>
      </c>
      <c r="R179">
        <v>305</v>
      </c>
      <c r="S179">
        <v>342</v>
      </c>
      <c r="T179">
        <v>82</v>
      </c>
      <c r="U179">
        <f t="shared" si="38"/>
        <v>4225</v>
      </c>
      <c r="V179">
        <f t="shared" si="38"/>
        <v>449.1</v>
      </c>
      <c r="W179">
        <f t="shared" si="38"/>
        <v>159.6</v>
      </c>
      <c r="X179">
        <f t="shared" si="38"/>
        <v>219</v>
      </c>
      <c r="Y179">
        <f t="shared" si="38"/>
        <v>159</v>
      </c>
      <c r="Z179">
        <f t="shared" si="38"/>
        <v>145.1</v>
      </c>
      <c r="AA179" s="3">
        <f t="shared" si="31"/>
        <v>0.38554771843961427</v>
      </c>
      <c r="AB179">
        <f t="shared" si="32"/>
        <v>4225</v>
      </c>
      <c r="AC179">
        <f t="shared" si="33"/>
        <v>436.625</v>
      </c>
      <c r="AD179">
        <f t="shared" si="34"/>
        <v>142.5</v>
      </c>
      <c r="AE179">
        <f t="shared" si="35"/>
        <v>164.25</v>
      </c>
      <c r="AF179">
        <f t="shared" si="36"/>
        <v>66.25</v>
      </c>
      <c r="AG179">
        <f t="shared" si="37"/>
        <v>0.36235965164819345</v>
      </c>
    </row>
    <row r="180" spans="1:33" x14ac:dyDescent="0.35">
      <c r="A180" t="s">
        <v>347</v>
      </c>
      <c r="B180" t="s">
        <v>348</v>
      </c>
      <c r="C180">
        <f>VLOOKUP(CONCATENATE("2001",'2001_60'!A180),aktivnepesseg!$C$2:$D$2226,2,FALSE)</f>
        <v>73496</v>
      </c>
      <c r="D180">
        <f t="shared" si="29"/>
        <v>58106</v>
      </c>
      <c r="E180">
        <f t="shared" si="30"/>
        <v>15390</v>
      </c>
      <c r="F180">
        <v>3862</v>
      </c>
      <c r="G180">
        <v>1905</v>
      </c>
      <c r="H180">
        <v>2881</v>
      </c>
      <c r="I180">
        <v>3200</v>
      </c>
      <c r="J180">
        <v>7932</v>
      </c>
      <c r="K180">
        <v>5384</v>
      </c>
      <c r="L180">
        <v>4372</v>
      </c>
      <c r="M180">
        <v>3915</v>
      </c>
      <c r="N180">
        <v>3427</v>
      </c>
      <c r="O180">
        <v>2866</v>
      </c>
      <c r="P180">
        <v>8900</v>
      </c>
      <c r="Q180">
        <v>3822</v>
      </c>
      <c r="R180">
        <v>2015</v>
      </c>
      <c r="S180">
        <v>2985</v>
      </c>
      <c r="T180">
        <v>640</v>
      </c>
      <c r="U180">
        <f t="shared" si="38"/>
        <v>15390</v>
      </c>
      <c r="V180">
        <f t="shared" si="38"/>
        <v>3475.8</v>
      </c>
      <c r="W180">
        <f t="shared" si="38"/>
        <v>1333.5</v>
      </c>
      <c r="X180">
        <f t="shared" si="38"/>
        <v>1440.5</v>
      </c>
      <c r="Y180">
        <f t="shared" si="38"/>
        <v>960</v>
      </c>
      <c r="Z180">
        <f t="shared" si="38"/>
        <v>793.2</v>
      </c>
      <c r="AA180" s="3">
        <f t="shared" si="31"/>
        <v>0.31828943071731797</v>
      </c>
      <c r="AB180">
        <f t="shared" si="32"/>
        <v>15390</v>
      </c>
      <c r="AC180">
        <f t="shared" si="33"/>
        <v>3379.25</v>
      </c>
      <c r="AD180">
        <f t="shared" si="34"/>
        <v>1190.625</v>
      </c>
      <c r="AE180">
        <f t="shared" si="35"/>
        <v>1080.375</v>
      </c>
      <c r="AF180">
        <f t="shared" si="36"/>
        <v>400</v>
      </c>
      <c r="AG180">
        <f t="shared" si="37"/>
        <v>0.29171995754871011</v>
      </c>
    </row>
    <row r="181" spans="1:33" x14ac:dyDescent="0.35">
      <c r="A181" t="s">
        <v>349</v>
      </c>
      <c r="B181" t="s">
        <v>350</v>
      </c>
      <c r="C181">
        <f>VLOOKUP(CONCATENATE("2001",'2001_60'!A181),aktivnepesseg!$C$2:$D$2226,2,FALSE)</f>
        <v>68491</v>
      </c>
      <c r="D181">
        <f t="shared" si="29"/>
        <v>60727</v>
      </c>
      <c r="E181">
        <f t="shared" si="30"/>
        <v>7764</v>
      </c>
      <c r="F181">
        <v>4134</v>
      </c>
      <c r="G181">
        <v>1377</v>
      </c>
      <c r="H181">
        <v>2289</v>
      </c>
      <c r="I181">
        <v>2520</v>
      </c>
      <c r="J181">
        <v>7333</v>
      </c>
      <c r="K181">
        <v>4802</v>
      </c>
      <c r="L181">
        <v>4141</v>
      </c>
      <c r="M181">
        <v>4192</v>
      </c>
      <c r="N181">
        <v>3955</v>
      </c>
      <c r="O181">
        <v>3808</v>
      </c>
      <c r="P181">
        <v>12185</v>
      </c>
      <c r="Q181">
        <v>4657</v>
      </c>
      <c r="R181">
        <v>2107</v>
      </c>
      <c r="S181">
        <v>2692</v>
      </c>
      <c r="T181">
        <v>535</v>
      </c>
      <c r="U181">
        <f t="shared" si="38"/>
        <v>7764</v>
      </c>
      <c r="V181">
        <f t="shared" si="38"/>
        <v>3720.6</v>
      </c>
      <c r="W181">
        <f t="shared" si="38"/>
        <v>963.9</v>
      </c>
      <c r="X181">
        <f t="shared" si="38"/>
        <v>1144.5</v>
      </c>
      <c r="Y181">
        <f t="shared" si="38"/>
        <v>756</v>
      </c>
      <c r="Z181">
        <f t="shared" si="38"/>
        <v>733.30000000000007</v>
      </c>
      <c r="AA181" s="3">
        <f t="shared" si="31"/>
        <v>0.22020849454672875</v>
      </c>
      <c r="AB181">
        <f t="shared" si="32"/>
        <v>7764</v>
      </c>
      <c r="AC181">
        <f t="shared" si="33"/>
        <v>3617.25</v>
      </c>
      <c r="AD181">
        <f t="shared" si="34"/>
        <v>860.625</v>
      </c>
      <c r="AE181">
        <f t="shared" si="35"/>
        <v>858.375</v>
      </c>
      <c r="AF181">
        <f t="shared" si="36"/>
        <v>315</v>
      </c>
      <c r="AG181">
        <f t="shared" si="37"/>
        <v>0.1958688002803288</v>
      </c>
    </row>
    <row r="182" spans="1:33" x14ac:dyDescent="0.35">
      <c r="A182" t="s">
        <v>351</v>
      </c>
      <c r="B182" t="s">
        <v>352</v>
      </c>
      <c r="C182">
        <f>VLOOKUP(CONCATENATE("2001",'2001_60'!A182),aktivnepesseg!$C$2:$D$2226,2,FALSE)</f>
        <v>8256</v>
      </c>
      <c r="D182">
        <f t="shared" si="29"/>
        <v>6364</v>
      </c>
      <c r="E182">
        <f t="shared" si="30"/>
        <v>1892</v>
      </c>
      <c r="F182">
        <v>567</v>
      </c>
      <c r="G182">
        <v>217</v>
      </c>
      <c r="H182">
        <v>372</v>
      </c>
      <c r="I182">
        <v>494</v>
      </c>
      <c r="J182">
        <v>810</v>
      </c>
      <c r="K182">
        <v>614</v>
      </c>
      <c r="L182">
        <v>616</v>
      </c>
      <c r="M182">
        <v>622</v>
      </c>
      <c r="N182">
        <v>379</v>
      </c>
      <c r="O182">
        <v>368</v>
      </c>
      <c r="P182">
        <v>860</v>
      </c>
      <c r="Q182">
        <v>253</v>
      </c>
      <c r="R182">
        <v>80</v>
      </c>
      <c r="S182">
        <v>93</v>
      </c>
      <c r="T182">
        <v>19</v>
      </c>
      <c r="U182">
        <f t="shared" si="38"/>
        <v>1892</v>
      </c>
      <c r="V182">
        <f t="shared" si="38"/>
        <v>510.3</v>
      </c>
      <c r="W182">
        <f t="shared" si="38"/>
        <v>151.89999999999998</v>
      </c>
      <c r="X182">
        <f t="shared" si="38"/>
        <v>186</v>
      </c>
      <c r="Y182">
        <f t="shared" si="38"/>
        <v>148.19999999999999</v>
      </c>
      <c r="Z182">
        <f t="shared" si="38"/>
        <v>81</v>
      </c>
      <c r="AA182" s="3">
        <f t="shared" si="31"/>
        <v>0.35966569767441864</v>
      </c>
      <c r="AB182">
        <f t="shared" si="32"/>
        <v>1892</v>
      </c>
      <c r="AC182">
        <f t="shared" si="33"/>
        <v>496.125</v>
      </c>
      <c r="AD182">
        <f t="shared" si="34"/>
        <v>135.625</v>
      </c>
      <c r="AE182">
        <f t="shared" si="35"/>
        <v>139.5</v>
      </c>
      <c r="AF182">
        <f t="shared" si="36"/>
        <v>61.75</v>
      </c>
      <c r="AG182">
        <f t="shared" si="37"/>
        <v>0.33006298449612403</v>
      </c>
    </row>
    <row r="183" spans="1:33" x14ac:dyDescent="0.35">
      <c r="A183" t="s">
        <v>353</v>
      </c>
      <c r="B183" t="s">
        <v>354</v>
      </c>
      <c r="C183">
        <f>VLOOKUP(CONCATENATE("2001",'2001_60'!A183),aktivnepesseg!$C$2:$D$2226,2,FALSE)</f>
        <v>23591</v>
      </c>
      <c r="D183">
        <f t="shared" si="29"/>
        <v>16561</v>
      </c>
      <c r="E183">
        <f t="shared" si="30"/>
        <v>7030</v>
      </c>
      <c r="F183">
        <v>1437</v>
      </c>
      <c r="G183">
        <v>734</v>
      </c>
      <c r="H183">
        <v>1148</v>
      </c>
      <c r="I183">
        <v>1508</v>
      </c>
      <c r="J183">
        <v>2733</v>
      </c>
      <c r="K183">
        <v>1768</v>
      </c>
      <c r="L183">
        <v>1322</v>
      </c>
      <c r="M183">
        <v>1131</v>
      </c>
      <c r="N183">
        <v>896</v>
      </c>
      <c r="O183">
        <v>818</v>
      </c>
      <c r="P183">
        <v>1991</v>
      </c>
      <c r="Q183">
        <v>573</v>
      </c>
      <c r="R183">
        <v>197</v>
      </c>
      <c r="S183">
        <v>269</v>
      </c>
      <c r="T183">
        <v>36</v>
      </c>
      <c r="U183">
        <f t="shared" si="38"/>
        <v>7030</v>
      </c>
      <c r="V183">
        <f t="shared" si="38"/>
        <v>1293.3</v>
      </c>
      <c r="W183">
        <f t="shared" si="38"/>
        <v>513.79999999999995</v>
      </c>
      <c r="X183">
        <f t="shared" si="38"/>
        <v>574</v>
      </c>
      <c r="Y183">
        <f t="shared" si="38"/>
        <v>452.4</v>
      </c>
      <c r="Z183">
        <f t="shared" si="38"/>
        <v>273.3</v>
      </c>
      <c r="AA183" s="3">
        <f t="shared" si="31"/>
        <v>0.42968928828790631</v>
      </c>
      <c r="AB183">
        <f t="shared" si="32"/>
        <v>7030</v>
      </c>
      <c r="AC183">
        <f t="shared" si="33"/>
        <v>1257.375</v>
      </c>
      <c r="AD183">
        <f t="shared" si="34"/>
        <v>458.75</v>
      </c>
      <c r="AE183">
        <f t="shared" si="35"/>
        <v>430.5</v>
      </c>
      <c r="AF183">
        <f t="shared" si="36"/>
        <v>188.5</v>
      </c>
      <c r="AG183">
        <f t="shared" si="37"/>
        <v>0.39697872069857149</v>
      </c>
    </row>
    <row r="184" spans="1:33" x14ac:dyDescent="0.35">
      <c r="A184" t="s">
        <v>355</v>
      </c>
      <c r="B184" t="s">
        <v>356</v>
      </c>
      <c r="C184">
        <f>VLOOKUP(CONCATENATE("2001",'2001_60'!A184),aktivnepesseg!$C$2:$D$2226,2,FALSE)</f>
        <v>21522</v>
      </c>
      <c r="D184">
        <f t="shared" si="29"/>
        <v>16897</v>
      </c>
      <c r="E184">
        <f t="shared" si="30"/>
        <v>4625</v>
      </c>
      <c r="F184">
        <v>1472</v>
      </c>
      <c r="G184">
        <v>582</v>
      </c>
      <c r="H184">
        <v>1056</v>
      </c>
      <c r="I184">
        <v>1132</v>
      </c>
      <c r="J184">
        <v>2800</v>
      </c>
      <c r="K184">
        <v>1617</v>
      </c>
      <c r="L184">
        <v>1245</v>
      </c>
      <c r="M184">
        <v>1191</v>
      </c>
      <c r="N184">
        <v>922</v>
      </c>
      <c r="O184">
        <v>780</v>
      </c>
      <c r="P184">
        <v>2354</v>
      </c>
      <c r="Q184">
        <v>883</v>
      </c>
      <c r="R184">
        <v>360</v>
      </c>
      <c r="S184">
        <v>439</v>
      </c>
      <c r="T184">
        <v>64</v>
      </c>
      <c r="U184">
        <f t="shared" si="38"/>
        <v>4625</v>
      </c>
      <c r="V184">
        <f t="shared" si="38"/>
        <v>1324.8</v>
      </c>
      <c r="W184">
        <f t="shared" si="38"/>
        <v>407.4</v>
      </c>
      <c r="X184">
        <f t="shared" si="38"/>
        <v>528</v>
      </c>
      <c r="Y184">
        <f t="shared" si="38"/>
        <v>339.59999999999997</v>
      </c>
      <c r="Z184">
        <f t="shared" si="38"/>
        <v>280</v>
      </c>
      <c r="AA184" s="3">
        <f t="shared" si="31"/>
        <v>0.34870365207694454</v>
      </c>
      <c r="AB184">
        <f t="shared" si="32"/>
        <v>4625</v>
      </c>
      <c r="AC184">
        <f t="shared" si="33"/>
        <v>1288</v>
      </c>
      <c r="AD184">
        <f t="shared" si="34"/>
        <v>363.75</v>
      </c>
      <c r="AE184">
        <f t="shared" si="35"/>
        <v>396</v>
      </c>
      <c r="AF184">
        <f t="shared" si="36"/>
        <v>141.5</v>
      </c>
      <c r="AG184">
        <f t="shared" si="37"/>
        <v>0.31661787937923985</v>
      </c>
    </row>
    <row r="185" spans="1:33" x14ac:dyDescent="0.35">
      <c r="A185" t="s">
        <v>357</v>
      </c>
      <c r="B185" t="s">
        <v>358</v>
      </c>
      <c r="C185">
        <f>VLOOKUP(CONCATENATE("2001",'2001_60'!A185),aktivnepesseg!$C$2:$D$2226,2,FALSE)</f>
        <v>53161</v>
      </c>
      <c r="D185">
        <f t="shared" si="29"/>
        <v>40453</v>
      </c>
      <c r="E185">
        <f t="shared" si="30"/>
        <v>12708</v>
      </c>
      <c r="F185">
        <v>2275</v>
      </c>
      <c r="G185">
        <v>1196</v>
      </c>
      <c r="H185">
        <v>1851</v>
      </c>
      <c r="I185">
        <v>2144</v>
      </c>
      <c r="J185">
        <v>5786</v>
      </c>
      <c r="K185">
        <v>3375</v>
      </c>
      <c r="L185">
        <v>2561</v>
      </c>
      <c r="M185">
        <v>2406</v>
      </c>
      <c r="N185">
        <v>2199</v>
      </c>
      <c r="O185">
        <v>2114</v>
      </c>
      <c r="P185">
        <v>7276</v>
      </c>
      <c r="Q185">
        <v>3316</v>
      </c>
      <c r="R185">
        <v>1626</v>
      </c>
      <c r="S185">
        <v>1960</v>
      </c>
      <c r="T185">
        <v>368</v>
      </c>
      <c r="U185">
        <f t="shared" si="38"/>
        <v>12708</v>
      </c>
      <c r="V185">
        <f t="shared" si="38"/>
        <v>2047.5</v>
      </c>
      <c r="W185">
        <f t="shared" si="38"/>
        <v>837.19999999999993</v>
      </c>
      <c r="X185">
        <f t="shared" si="38"/>
        <v>925.5</v>
      </c>
      <c r="Y185">
        <f t="shared" si="38"/>
        <v>643.19999999999993</v>
      </c>
      <c r="Z185">
        <f t="shared" si="38"/>
        <v>578.6</v>
      </c>
      <c r="AA185" s="3">
        <f t="shared" si="31"/>
        <v>0.33370327871936195</v>
      </c>
      <c r="AB185">
        <f t="shared" si="32"/>
        <v>12708</v>
      </c>
      <c r="AC185">
        <f t="shared" si="33"/>
        <v>1990.625</v>
      </c>
      <c r="AD185">
        <f t="shared" si="34"/>
        <v>747.5</v>
      </c>
      <c r="AE185">
        <f t="shared" si="35"/>
        <v>694.125</v>
      </c>
      <c r="AF185">
        <f t="shared" si="36"/>
        <v>268</v>
      </c>
      <c r="AG185">
        <f t="shared" si="37"/>
        <v>0.30865201933748426</v>
      </c>
    </row>
    <row r="186" spans="1:33" x14ac:dyDescent="0.35">
      <c r="A186" t="s">
        <v>359</v>
      </c>
      <c r="B186" t="s">
        <v>360</v>
      </c>
      <c r="C186">
        <f>VLOOKUP(CONCATENATE("2001",'2001_60'!A186),aktivnepesseg!$C$2:$D$2226,2,FALSE)</f>
        <v>23693</v>
      </c>
      <c r="D186">
        <f t="shared" si="29"/>
        <v>18189</v>
      </c>
      <c r="E186">
        <f t="shared" si="30"/>
        <v>5504</v>
      </c>
      <c r="F186">
        <v>1272</v>
      </c>
      <c r="G186">
        <v>566</v>
      </c>
      <c r="H186">
        <v>846</v>
      </c>
      <c r="I186">
        <v>954</v>
      </c>
      <c r="J186">
        <v>3075</v>
      </c>
      <c r="K186">
        <v>1491</v>
      </c>
      <c r="L186">
        <v>1269</v>
      </c>
      <c r="M186">
        <v>1190</v>
      </c>
      <c r="N186">
        <v>954</v>
      </c>
      <c r="O186">
        <v>922</v>
      </c>
      <c r="P186">
        <v>2783</v>
      </c>
      <c r="Q186">
        <v>1224</v>
      </c>
      <c r="R186">
        <v>622</v>
      </c>
      <c r="S186">
        <v>824</v>
      </c>
      <c r="T186">
        <v>197</v>
      </c>
      <c r="U186">
        <f t="shared" si="38"/>
        <v>5504</v>
      </c>
      <c r="V186">
        <f t="shared" si="38"/>
        <v>1144.8</v>
      </c>
      <c r="W186">
        <f t="shared" si="38"/>
        <v>396.2</v>
      </c>
      <c r="X186">
        <f t="shared" si="38"/>
        <v>423</v>
      </c>
      <c r="Y186">
        <f t="shared" si="38"/>
        <v>286.2</v>
      </c>
      <c r="Z186">
        <f t="shared" si="38"/>
        <v>307.5</v>
      </c>
      <c r="AA186" s="3">
        <f t="shared" si="31"/>
        <v>0.34025661587810746</v>
      </c>
      <c r="AB186">
        <f t="shared" si="32"/>
        <v>5504</v>
      </c>
      <c r="AC186">
        <f t="shared" si="33"/>
        <v>1113</v>
      </c>
      <c r="AD186">
        <f t="shared" si="34"/>
        <v>353.75</v>
      </c>
      <c r="AE186">
        <f t="shared" si="35"/>
        <v>317.25</v>
      </c>
      <c r="AF186">
        <f t="shared" si="36"/>
        <v>119.25</v>
      </c>
      <c r="AG186">
        <f t="shared" si="37"/>
        <v>0.31263453340649139</v>
      </c>
    </row>
    <row r="187" spans="1:33" x14ac:dyDescent="0.35">
      <c r="A187" t="s">
        <v>361</v>
      </c>
      <c r="B187" t="s">
        <v>362</v>
      </c>
      <c r="C187">
        <f>VLOOKUP(CONCATENATE("2001",'2001_60'!A187),aktivnepesseg!$C$2:$D$2226,2,FALSE)</f>
        <v>8239</v>
      </c>
      <c r="D187">
        <f t="shared" si="29"/>
        <v>6557</v>
      </c>
      <c r="E187">
        <f t="shared" si="30"/>
        <v>1682</v>
      </c>
      <c r="F187">
        <v>468</v>
      </c>
      <c r="G187">
        <v>175</v>
      </c>
      <c r="H187">
        <v>312</v>
      </c>
      <c r="I187">
        <v>369</v>
      </c>
      <c r="J187">
        <v>865</v>
      </c>
      <c r="K187">
        <v>504</v>
      </c>
      <c r="L187">
        <v>442</v>
      </c>
      <c r="M187">
        <v>472</v>
      </c>
      <c r="N187">
        <v>500</v>
      </c>
      <c r="O187">
        <v>511</v>
      </c>
      <c r="P187">
        <v>1183</v>
      </c>
      <c r="Q187">
        <v>394</v>
      </c>
      <c r="R187">
        <v>197</v>
      </c>
      <c r="S187">
        <v>153</v>
      </c>
      <c r="T187">
        <v>12</v>
      </c>
      <c r="U187">
        <f t="shared" si="38"/>
        <v>1682</v>
      </c>
      <c r="V187">
        <f t="shared" si="38"/>
        <v>421.2</v>
      </c>
      <c r="W187">
        <f t="shared" si="38"/>
        <v>122.49999999999999</v>
      </c>
      <c r="X187">
        <f t="shared" si="38"/>
        <v>156</v>
      </c>
      <c r="Y187">
        <f t="shared" si="38"/>
        <v>110.7</v>
      </c>
      <c r="Z187">
        <f t="shared" si="38"/>
        <v>86.5</v>
      </c>
      <c r="AA187" s="3">
        <f t="shared" si="31"/>
        <v>0.31301128777764287</v>
      </c>
      <c r="AB187">
        <f t="shared" si="32"/>
        <v>1682</v>
      </c>
      <c r="AC187">
        <f t="shared" si="33"/>
        <v>409.5</v>
      </c>
      <c r="AD187">
        <f t="shared" si="34"/>
        <v>109.375</v>
      </c>
      <c r="AE187">
        <f t="shared" si="35"/>
        <v>117</v>
      </c>
      <c r="AF187">
        <f t="shared" si="36"/>
        <v>46.125</v>
      </c>
      <c r="AG187">
        <f t="shared" si="37"/>
        <v>0.28692802524578226</v>
      </c>
    </row>
    <row r="188" spans="1:33" x14ac:dyDescent="0.35">
      <c r="A188" t="s">
        <v>363</v>
      </c>
      <c r="B188" t="s">
        <v>364</v>
      </c>
      <c r="C188">
        <f>VLOOKUP(CONCATENATE("2001",'2001_60'!A188),aktivnepesseg!$C$2:$D$2226,2,FALSE)</f>
        <v>11583</v>
      </c>
      <c r="D188">
        <f t="shared" si="29"/>
        <v>8288</v>
      </c>
      <c r="E188">
        <f t="shared" si="30"/>
        <v>3295</v>
      </c>
      <c r="F188">
        <v>734</v>
      </c>
      <c r="G188">
        <v>422</v>
      </c>
      <c r="H188">
        <v>616</v>
      </c>
      <c r="I188">
        <v>785</v>
      </c>
      <c r="J188">
        <v>1314</v>
      </c>
      <c r="K188">
        <v>850</v>
      </c>
      <c r="L188">
        <v>576</v>
      </c>
      <c r="M188">
        <v>528</v>
      </c>
      <c r="N188">
        <v>424</v>
      </c>
      <c r="O188">
        <v>334</v>
      </c>
      <c r="P188">
        <v>1016</v>
      </c>
      <c r="Q188">
        <v>348</v>
      </c>
      <c r="R188">
        <v>168</v>
      </c>
      <c r="S188">
        <v>154</v>
      </c>
      <c r="T188">
        <v>19</v>
      </c>
      <c r="U188">
        <f t="shared" si="38"/>
        <v>3295</v>
      </c>
      <c r="V188">
        <f t="shared" si="38"/>
        <v>660.6</v>
      </c>
      <c r="W188">
        <f t="shared" si="38"/>
        <v>295.39999999999998</v>
      </c>
      <c r="X188">
        <f t="shared" si="38"/>
        <v>308</v>
      </c>
      <c r="Y188">
        <f t="shared" si="38"/>
        <v>235.5</v>
      </c>
      <c r="Z188">
        <f t="shared" si="38"/>
        <v>131.4</v>
      </c>
      <c r="AA188" s="3">
        <f t="shared" si="31"/>
        <v>0.42526979193645859</v>
      </c>
      <c r="AB188">
        <f t="shared" si="32"/>
        <v>3295</v>
      </c>
      <c r="AC188">
        <f t="shared" si="33"/>
        <v>642.25</v>
      </c>
      <c r="AD188">
        <f t="shared" si="34"/>
        <v>263.75</v>
      </c>
      <c r="AE188">
        <f t="shared" si="35"/>
        <v>231</v>
      </c>
      <c r="AF188">
        <f t="shared" si="36"/>
        <v>98.125</v>
      </c>
      <c r="AG188">
        <f t="shared" si="37"/>
        <v>0.39110118276784944</v>
      </c>
    </row>
    <row r="189" spans="1:33" x14ac:dyDescent="0.35">
      <c r="A189" t="s">
        <v>365</v>
      </c>
      <c r="B189" t="s">
        <v>366</v>
      </c>
      <c r="C189">
        <f>VLOOKUP(CONCATENATE("2001",'2001_60'!A189),aktivnepesseg!$C$2:$D$2226,2,FALSE)</f>
        <v>13208</v>
      </c>
      <c r="D189">
        <f t="shared" si="29"/>
        <v>9669</v>
      </c>
      <c r="E189">
        <f t="shared" si="30"/>
        <v>3539</v>
      </c>
      <c r="F189">
        <v>1091</v>
      </c>
      <c r="G189">
        <v>379</v>
      </c>
      <c r="H189">
        <v>694</v>
      </c>
      <c r="I189">
        <v>775</v>
      </c>
      <c r="J189">
        <v>1716</v>
      </c>
      <c r="K189">
        <v>976</v>
      </c>
      <c r="L189">
        <v>670</v>
      </c>
      <c r="M189">
        <v>579</v>
      </c>
      <c r="N189">
        <v>430</v>
      </c>
      <c r="O189">
        <v>370</v>
      </c>
      <c r="P189">
        <v>1271</v>
      </c>
      <c r="Q189">
        <v>377</v>
      </c>
      <c r="R189">
        <v>155</v>
      </c>
      <c r="S189">
        <v>165</v>
      </c>
      <c r="T189">
        <v>21</v>
      </c>
      <c r="U189">
        <f t="shared" si="38"/>
        <v>3539</v>
      </c>
      <c r="V189">
        <f t="shared" si="38"/>
        <v>981.9</v>
      </c>
      <c r="W189">
        <f t="shared" si="38"/>
        <v>265.3</v>
      </c>
      <c r="X189">
        <f t="shared" si="38"/>
        <v>347</v>
      </c>
      <c r="Y189">
        <f t="shared" si="38"/>
        <v>232.5</v>
      </c>
      <c r="Z189">
        <f t="shared" si="38"/>
        <v>171.60000000000002</v>
      </c>
      <c r="AA189" s="3">
        <f t="shared" si="31"/>
        <v>0.41923834039975771</v>
      </c>
      <c r="AB189">
        <f t="shared" si="32"/>
        <v>3539</v>
      </c>
      <c r="AC189">
        <f t="shared" si="33"/>
        <v>954.625</v>
      </c>
      <c r="AD189">
        <f t="shared" si="34"/>
        <v>236.875</v>
      </c>
      <c r="AE189">
        <f t="shared" si="35"/>
        <v>260.25</v>
      </c>
      <c r="AF189">
        <f t="shared" si="36"/>
        <v>96.875</v>
      </c>
      <c r="AG189">
        <f t="shared" si="37"/>
        <v>0.38519268625075714</v>
      </c>
    </row>
    <row r="190" spans="1:33" x14ac:dyDescent="0.35">
      <c r="A190" t="s">
        <v>367</v>
      </c>
      <c r="B190" t="s">
        <v>368</v>
      </c>
      <c r="C190">
        <f>VLOOKUP(CONCATENATE("2001",'2001_60'!A190),aktivnepesseg!$C$2:$D$2226,2,FALSE)</f>
        <v>19555</v>
      </c>
      <c r="D190">
        <f t="shared" si="29"/>
        <v>14611</v>
      </c>
      <c r="E190">
        <f t="shared" si="30"/>
        <v>4944</v>
      </c>
      <c r="F190">
        <v>990</v>
      </c>
      <c r="G190">
        <v>581</v>
      </c>
      <c r="H190">
        <v>738</v>
      </c>
      <c r="I190">
        <v>713</v>
      </c>
      <c r="J190">
        <v>1489</v>
      </c>
      <c r="K190">
        <v>993</v>
      </c>
      <c r="L190">
        <v>802</v>
      </c>
      <c r="M190">
        <v>734</v>
      </c>
      <c r="N190">
        <v>641</v>
      </c>
      <c r="O190">
        <v>571</v>
      </c>
      <c r="P190">
        <v>2274</v>
      </c>
      <c r="Q190">
        <v>1727</v>
      </c>
      <c r="R190">
        <v>869</v>
      </c>
      <c r="S190">
        <v>1239</v>
      </c>
      <c r="T190">
        <v>250</v>
      </c>
      <c r="U190">
        <f t="shared" si="38"/>
        <v>4944</v>
      </c>
      <c r="V190">
        <f t="shared" si="38"/>
        <v>891</v>
      </c>
      <c r="W190">
        <f t="shared" si="38"/>
        <v>406.7</v>
      </c>
      <c r="X190">
        <f t="shared" si="38"/>
        <v>369</v>
      </c>
      <c r="Y190">
        <f t="shared" si="38"/>
        <v>213.9</v>
      </c>
      <c r="Z190">
        <f t="shared" si="38"/>
        <v>148.9</v>
      </c>
      <c r="AA190" s="3">
        <f t="shared" si="31"/>
        <v>0.35660956277166961</v>
      </c>
      <c r="AB190">
        <f t="shared" si="32"/>
        <v>4944</v>
      </c>
      <c r="AC190">
        <f t="shared" si="33"/>
        <v>866.25</v>
      </c>
      <c r="AD190">
        <f t="shared" si="34"/>
        <v>363.125</v>
      </c>
      <c r="AE190">
        <f t="shared" si="35"/>
        <v>276.75</v>
      </c>
      <c r="AF190">
        <f t="shared" si="36"/>
        <v>89.125</v>
      </c>
      <c r="AG190">
        <f t="shared" si="37"/>
        <v>0.33440296599335206</v>
      </c>
    </row>
    <row r="191" spans="1:33" x14ac:dyDescent="0.35">
      <c r="A191" t="s">
        <v>369</v>
      </c>
      <c r="B191" t="s">
        <v>370</v>
      </c>
      <c r="C191">
        <f>VLOOKUP(CONCATENATE("2001",'2001_60'!A191),aktivnepesseg!$C$2:$D$2226,2,FALSE)</f>
        <v>15514</v>
      </c>
      <c r="D191">
        <f t="shared" si="29"/>
        <v>10254</v>
      </c>
      <c r="E191">
        <f t="shared" si="30"/>
        <v>5260</v>
      </c>
      <c r="F191">
        <v>705</v>
      </c>
      <c r="G191">
        <v>443</v>
      </c>
      <c r="H191">
        <v>668</v>
      </c>
      <c r="I191">
        <v>760</v>
      </c>
      <c r="J191">
        <v>1302</v>
      </c>
      <c r="K191">
        <v>1047</v>
      </c>
      <c r="L191">
        <v>722</v>
      </c>
      <c r="M191">
        <v>647</v>
      </c>
      <c r="N191">
        <v>569</v>
      </c>
      <c r="O191">
        <v>470</v>
      </c>
      <c r="P191">
        <v>1604</v>
      </c>
      <c r="Q191">
        <v>699</v>
      </c>
      <c r="R191">
        <v>267</v>
      </c>
      <c r="S191">
        <v>307</v>
      </c>
      <c r="T191">
        <v>44</v>
      </c>
      <c r="U191">
        <f t="shared" si="38"/>
        <v>5260</v>
      </c>
      <c r="V191">
        <f t="shared" si="38"/>
        <v>634.5</v>
      </c>
      <c r="W191">
        <f t="shared" si="38"/>
        <v>310.09999999999997</v>
      </c>
      <c r="X191">
        <f t="shared" si="38"/>
        <v>334</v>
      </c>
      <c r="Y191">
        <f t="shared" si="38"/>
        <v>228</v>
      </c>
      <c r="Z191">
        <f t="shared" si="38"/>
        <v>130.20000000000002</v>
      </c>
      <c r="AA191" s="3">
        <f t="shared" si="31"/>
        <v>0.44455330669073095</v>
      </c>
      <c r="AB191">
        <f t="shared" si="32"/>
        <v>5260</v>
      </c>
      <c r="AC191">
        <f t="shared" si="33"/>
        <v>616.875</v>
      </c>
      <c r="AD191">
        <f t="shared" si="34"/>
        <v>276.875</v>
      </c>
      <c r="AE191">
        <f t="shared" si="35"/>
        <v>250.5</v>
      </c>
      <c r="AF191">
        <f t="shared" si="36"/>
        <v>95</v>
      </c>
      <c r="AG191">
        <f t="shared" si="37"/>
        <v>0.41892806497357227</v>
      </c>
    </row>
    <row r="192" spans="1:33" x14ac:dyDescent="0.35">
      <c r="A192" t="s">
        <v>371</v>
      </c>
      <c r="B192" t="s">
        <v>372</v>
      </c>
      <c r="C192">
        <f>VLOOKUP(CONCATENATE("2001",'2001_60'!A192),aktivnepesseg!$C$2:$D$2226,2,FALSE)</f>
        <v>7994</v>
      </c>
      <c r="D192">
        <f t="shared" si="29"/>
        <v>5214</v>
      </c>
      <c r="E192">
        <f t="shared" si="30"/>
        <v>2780</v>
      </c>
      <c r="F192">
        <v>530</v>
      </c>
      <c r="G192">
        <v>221</v>
      </c>
      <c r="H192">
        <v>361</v>
      </c>
      <c r="I192">
        <v>428</v>
      </c>
      <c r="J192">
        <v>820</v>
      </c>
      <c r="K192">
        <v>539</v>
      </c>
      <c r="L192">
        <v>318</v>
      </c>
      <c r="M192">
        <v>365</v>
      </c>
      <c r="N192">
        <v>270</v>
      </c>
      <c r="O192">
        <v>220</v>
      </c>
      <c r="P192">
        <v>658</v>
      </c>
      <c r="Q192">
        <v>271</v>
      </c>
      <c r="R192">
        <v>87</v>
      </c>
      <c r="S192">
        <v>108</v>
      </c>
      <c r="T192">
        <v>18</v>
      </c>
      <c r="U192">
        <f t="shared" si="38"/>
        <v>2780</v>
      </c>
      <c r="V192">
        <f t="shared" si="38"/>
        <v>477</v>
      </c>
      <c r="W192">
        <f t="shared" si="38"/>
        <v>154.69999999999999</v>
      </c>
      <c r="X192">
        <f t="shared" si="38"/>
        <v>180.5</v>
      </c>
      <c r="Y192">
        <f t="shared" si="38"/>
        <v>128.4</v>
      </c>
      <c r="Z192">
        <f t="shared" si="38"/>
        <v>82</v>
      </c>
      <c r="AA192" s="3">
        <f t="shared" si="31"/>
        <v>0.47568176132099071</v>
      </c>
      <c r="AB192">
        <f t="shared" si="32"/>
        <v>2780</v>
      </c>
      <c r="AC192">
        <f t="shared" si="33"/>
        <v>463.75</v>
      </c>
      <c r="AD192">
        <f t="shared" si="34"/>
        <v>138.125</v>
      </c>
      <c r="AE192">
        <f t="shared" si="35"/>
        <v>135.375</v>
      </c>
      <c r="AF192">
        <f t="shared" si="36"/>
        <v>53.5</v>
      </c>
      <c r="AG192">
        <f t="shared" si="37"/>
        <v>0.44667875906930199</v>
      </c>
    </row>
    <row r="193" spans="1:33" x14ac:dyDescent="0.35">
      <c r="A193" t="s">
        <v>373</v>
      </c>
      <c r="B193" t="s">
        <v>374</v>
      </c>
      <c r="C193">
        <f>VLOOKUP(CONCATENATE("2001",'2001_60'!A193),aktivnepesseg!$C$2:$D$2226,2,FALSE)</f>
        <v>11161</v>
      </c>
      <c r="D193">
        <f t="shared" si="29"/>
        <v>8593</v>
      </c>
      <c r="E193">
        <f t="shared" si="30"/>
        <v>2568</v>
      </c>
      <c r="F193">
        <v>622</v>
      </c>
      <c r="G193">
        <v>352</v>
      </c>
      <c r="H193">
        <v>513</v>
      </c>
      <c r="I193">
        <v>593</v>
      </c>
      <c r="J193">
        <v>1367</v>
      </c>
      <c r="K193">
        <v>822</v>
      </c>
      <c r="L193">
        <v>681</v>
      </c>
      <c r="M193">
        <v>567</v>
      </c>
      <c r="N193">
        <v>523</v>
      </c>
      <c r="O193">
        <v>477</v>
      </c>
      <c r="P193">
        <v>1164</v>
      </c>
      <c r="Q193">
        <v>352</v>
      </c>
      <c r="R193">
        <v>186</v>
      </c>
      <c r="S193">
        <v>320</v>
      </c>
      <c r="T193">
        <v>54</v>
      </c>
      <c r="U193">
        <f t="shared" si="38"/>
        <v>2568</v>
      </c>
      <c r="V193">
        <f t="shared" si="38"/>
        <v>559.80000000000007</v>
      </c>
      <c r="W193">
        <f t="shared" si="38"/>
        <v>246.39999999999998</v>
      </c>
      <c r="X193">
        <f t="shared" si="38"/>
        <v>256.5</v>
      </c>
      <c r="Y193">
        <f t="shared" si="38"/>
        <v>177.9</v>
      </c>
      <c r="Z193">
        <f t="shared" si="38"/>
        <v>136.70000000000002</v>
      </c>
      <c r="AA193" s="3">
        <f t="shared" si="31"/>
        <v>0.35348983066033512</v>
      </c>
      <c r="AB193">
        <f t="shared" si="32"/>
        <v>2568</v>
      </c>
      <c r="AC193">
        <f t="shared" si="33"/>
        <v>544.25</v>
      </c>
      <c r="AD193">
        <f t="shared" si="34"/>
        <v>220</v>
      </c>
      <c r="AE193">
        <f t="shared" si="35"/>
        <v>192.375</v>
      </c>
      <c r="AF193">
        <f t="shared" si="36"/>
        <v>74.125</v>
      </c>
      <c r="AG193">
        <f t="shared" si="37"/>
        <v>0.32243974554251409</v>
      </c>
    </row>
    <row r="194" spans="1:33" x14ac:dyDescent="0.35">
      <c r="A194" t="s">
        <v>375</v>
      </c>
      <c r="B194" t="s">
        <v>376</v>
      </c>
      <c r="C194">
        <f>VLOOKUP(CONCATENATE("2001",'2001_60'!A194),aktivnepesseg!$C$2:$D$2226,2,FALSE)</f>
        <v>22281</v>
      </c>
      <c r="D194">
        <f t="shared" si="29"/>
        <v>15796</v>
      </c>
      <c r="E194">
        <f t="shared" si="30"/>
        <v>6485</v>
      </c>
      <c r="F194">
        <v>1167</v>
      </c>
      <c r="G194">
        <v>654</v>
      </c>
      <c r="H194">
        <v>983</v>
      </c>
      <c r="I194">
        <v>1197</v>
      </c>
      <c r="J194">
        <v>2447</v>
      </c>
      <c r="K194">
        <v>1725</v>
      </c>
      <c r="L194">
        <v>1548</v>
      </c>
      <c r="M194">
        <v>1146</v>
      </c>
      <c r="N194">
        <v>933</v>
      </c>
      <c r="O194">
        <v>723</v>
      </c>
      <c r="P194">
        <v>1910</v>
      </c>
      <c r="Q194">
        <v>695</v>
      </c>
      <c r="R194">
        <v>309</v>
      </c>
      <c r="S194">
        <v>304</v>
      </c>
      <c r="T194">
        <v>55</v>
      </c>
      <c r="U194">
        <f t="shared" si="38"/>
        <v>6485</v>
      </c>
      <c r="V194">
        <f t="shared" si="38"/>
        <v>1050.3</v>
      </c>
      <c r="W194">
        <f t="shared" si="38"/>
        <v>457.79999999999995</v>
      </c>
      <c r="X194">
        <f t="shared" si="38"/>
        <v>491.5</v>
      </c>
      <c r="Y194">
        <f t="shared" si="38"/>
        <v>359.09999999999997</v>
      </c>
      <c r="Z194">
        <f t="shared" si="38"/>
        <v>244.70000000000002</v>
      </c>
      <c r="AA194" s="3">
        <f t="shared" si="31"/>
        <v>0.40789910686234915</v>
      </c>
      <c r="AB194">
        <f t="shared" si="32"/>
        <v>6485</v>
      </c>
      <c r="AC194">
        <f t="shared" si="33"/>
        <v>1021.125</v>
      </c>
      <c r="AD194">
        <f t="shared" si="34"/>
        <v>408.75</v>
      </c>
      <c r="AE194">
        <f t="shared" si="35"/>
        <v>368.625</v>
      </c>
      <c r="AF194">
        <f t="shared" si="36"/>
        <v>149.625</v>
      </c>
      <c r="AG194">
        <f t="shared" si="37"/>
        <v>0.37848952021902071</v>
      </c>
    </row>
    <row r="195" spans="1:33" x14ac:dyDescent="0.35">
      <c r="A195" t="s">
        <v>377</v>
      </c>
      <c r="B195" t="s">
        <v>378</v>
      </c>
      <c r="C195">
        <f>VLOOKUP(CONCATENATE("2001",'2001_60'!A195),aktivnepesseg!$C$2:$D$2226,2,FALSE)</f>
        <v>38974</v>
      </c>
      <c r="D195">
        <f t="shared" si="29"/>
        <v>28019</v>
      </c>
      <c r="E195">
        <f t="shared" si="30"/>
        <v>10955</v>
      </c>
      <c r="F195">
        <v>1461</v>
      </c>
      <c r="G195">
        <v>833</v>
      </c>
      <c r="H195">
        <v>1369</v>
      </c>
      <c r="I195">
        <v>1574</v>
      </c>
      <c r="J195">
        <v>4190</v>
      </c>
      <c r="K195">
        <v>2233</v>
      </c>
      <c r="L195">
        <v>1718</v>
      </c>
      <c r="M195">
        <v>1693</v>
      </c>
      <c r="N195">
        <v>1566</v>
      </c>
      <c r="O195">
        <v>1466</v>
      </c>
      <c r="P195">
        <v>4896</v>
      </c>
      <c r="Q195">
        <v>2256</v>
      </c>
      <c r="R195">
        <v>1028</v>
      </c>
      <c r="S195">
        <v>1416</v>
      </c>
      <c r="T195">
        <v>320</v>
      </c>
      <c r="U195">
        <f t="shared" si="38"/>
        <v>10955</v>
      </c>
      <c r="V195">
        <f t="shared" si="38"/>
        <v>1314.9</v>
      </c>
      <c r="W195">
        <f t="shared" si="38"/>
        <v>583.09999999999991</v>
      </c>
      <c r="X195">
        <f t="shared" si="38"/>
        <v>684.5</v>
      </c>
      <c r="Y195">
        <f t="shared" si="38"/>
        <v>472.2</v>
      </c>
      <c r="Z195">
        <f t="shared" si="38"/>
        <v>419</v>
      </c>
      <c r="AA195" s="3">
        <f t="shared" si="31"/>
        <v>0.37021347565043367</v>
      </c>
      <c r="AB195">
        <f t="shared" si="32"/>
        <v>10955</v>
      </c>
      <c r="AC195">
        <f t="shared" si="33"/>
        <v>1278.375</v>
      </c>
      <c r="AD195">
        <f t="shared" si="34"/>
        <v>520.625</v>
      </c>
      <c r="AE195">
        <f t="shared" si="35"/>
        <v>513.375</v>
      </c>
      <c r="AF195">
        <f t="shared" si="36"/>
        <v>196.75</v>
      </c>
      <c r="AG195">
        <f t="shared" si="37"/>
        <v>0.34546428388156208</v>
      </c>
    </row>
    <row r="196" spans="1:33" x14ac:dyDescent="0.35">
      <c r="A196" t="s">
        <v>379</v>
      </c>
      <c r="B196" t="s">
        <v>380</v>
      </c>
      <c r="C196">
        <f>VLOOKUP(CONCATENATE("2001",'2001_60'!A196),aktivnepesseg!$C$2:$D$2226,2,FALSE)</f>
        <v>23326</v>
      </c>
      <c r="D196">
        <f t="shared" si="29"/>
        <v>19106</v>
      </c>
      <c r="E196">
        <f t="shared" si="30"/>
        <v>4220</v>
      </c>
      <c r="F196">
        <v>1467</v>
      </c>
      <c r="G196">
        <v>539</v>
      </c>
      <c r="H196">
        <v>836</v>
      </c>
      <c r="I196">
        <v>814</v>
      </c>
      <c r="J196">
        <v>2123</v>
      </c>
      <c r="K196">
        <v>1510</v>
      </c>
      <c r="L196">
        <v>1258</v>
      </c>
      <c r="M196">
        <v>1231</v>
      </c>
      <c r="N196">
        <v>1204</v>
      </c>
      <c r="O196">
        <v>1155</v>
      </c>
      <c r="P196">
        <v>3785</v>
      </c>
      <c r="Q196">
        <v>1662</v>
      </c>
      <c r="R196">
        <v>732</v>
      </c>
      <c r="S196">
        <v>677</v>
      </c>
      <c r="T196">
        <v>113</v>
      </c>
      <c r="U196">
        <f t="shared" si="38"/>
        <v>4220</v>
      </c>
      <c r="V196">
        <f t="shared" si="38"/>
        <v>1320.3</v>
      </c>
      <c r="W196">
        <f t="shared" si="38"/>
        <v>377.29999999999995</v>
      </c>
      <c r="X196">
        <f t="shared" si="38"/>
        <v>418</v>
      </c>
      <c r="Y196">
        <f t="shared" si="38"/>
        <v>244.2</v>
      </c>
      <c r="Z196">
        <f t="shared" si="38"/>
        <v>212.3</v>
      </c>
      <c r="AA196" s="3">
        <f t="shared" si="31"/>
        <v>0.29118151419017407</v>
      </c>
      <c r="AB196">
        <f t="shared" si="32"/>
        <v>4220</v>
      </c>
      <c r="AC196">
        <f t="shared" si="33"/>
        <v>1283.625</v>
      </c>
      <c r="AD196">
        <f t="shared" si="34"/>
        <v>336.875</v>
      </c>
      <c r="AE196">
        <f t="shared" si="35"/>
        <v>313.5</v>
      </c>
      <c r="AF196">
        <f t="shared" si="36"/>
        <v>101.75</v>
      </c>
      <c r="AG196">
        <f t="shared" si="37"/>
        <v>0.26818785904141301</v>
      </c>
    </row>
    <row r="197" spans="1:33" x14ac:dyDescent="0.35">
      <c r="A197" t="s">
        <v>381</v>
      </c>
      <c r="B197" t="s">
        <v>382</v>
      </c>
      <c r="C197">
        <f>VLOOKUP(CONCATENATE("2001",'2001_60'!A197),aktivnepesseg!$C$2:$D$2226,2,FALSE)</f>
        <v>20454</v>
      </c>
      <c r="D197">
        <f t="shared" si="29"/>
        <v>12349</v>
      </c>
      <c r="E197">
        <f t="shared" si="30"/>
        <v>8105</v>
      </c>
      <c r="F197">
        <v>1096</v>
      </c>
      <c r="G197">
        <v>706</v>
      </c>
      <c r="H197">
        <v>1062</v>
      </c>
      <c r="I197">
        <v>1419</v>
      </c>
      <c r="J197">
        <v>1958</v>
      </c>
      <c r="K197">
        <v>1175</v>
      </c>
      <c r="L197">
        <v>784</v>
      </c>
      <c r="M197">
        <v>649</v>
      </c>
      <c r="N197">
        <v>510</v>
      </c>
      <c r="O197">
        <v>421</v>
      </c>
      <c r="P197">
        <v>1532</v>
      </c>
      <c r="Q197">
        <v>615</v>
      </c>
      <c r="R197">
        <v>203</v>
      </c>
      <c r="S197">
        <v>205</v>
      </c>
      <c r="T197">
        <v>14</v>
      </c>
      <c r="U197">
        <f t="shared" si="38"/>
        <v>8105</v>
      </c>
      <c r="V197">
        <f t="shared" si="38"/>
        <v>986.4</v>
      </c>
      <c r="W197">
        <f t="shared" si="38"/>
        <v>494.2</v>
      </c>
      <c r="X197">
        <f t="shared" si="38"/>
        <v>531</v>
      </c>
      <c r="Y197">
        <f t="shared" si="38"/>
        <v>425.7</v>
      </c>
      <c r="Z197">
        <f t="shared" si="38"/>
        <v>195.8</v>
      </c>
      <c r="AA197" s="3">
        <f t="shared" si="31"/>
        <v>0.52498777745184322</v>
      </c>
      <c r="AB197">
        <f t="shared" si="32"/>
        <v>8105</v>
      </c>
      <c r="AC197">
        <f t="shared" si="33"/>
        <v>959</v>
      </c>
      <c r="AD197">
        <f t="shared" si="34"/>
        <v>441.25</v>
      </c>
      <c r="AE197">
        <f t="shared" si="35"/>
        <v>398.25</v>
      </c>
      <c r="AF197">
        <f t="shared" si="36"/>
        <v>177.375</v>
      </c>
      <c r="AG197">
        <f t="shared" si="37"/>
        <v>0.49285592060232719</v>
      </c>
    </row>
    <row r="198" spans="1:33" x14ac:dyDescent="0.35">
      <c r="A198" t="s">
        <v>383</v>
      </c>
      <c r="B198" t="s">
        <v>384</v>
      </c>
      <c r="C198">
        <f>VLOOKUP(CONCATENATE("2001",'2001_60'!A198),aktivnepesseg!$C$2:$D$2226,2,FALSE)</f>
        <v>8223</v>
      </c>
      <c r="D198">
        <f t="shared" si="29"/>
        <v>6641</v>
      </c>
      <c r="E198">
        <f t="shared" si="30"/>
        <v>1582</v>
      </c>
      <c r="F198">
        <v>386</v>
      </c>
      <c r="G198">
        <v>158</v>
      </c>
      <c r="H198">
        <v>328</v>
      </c>
      <c r="I198">
        <v>412</v>
      </c>
      <c r="J198">
        <v>961</v>
      </c>
      <c r="K198">
        <v>666</v>
      </c>
      <c r="L198">
        <v>567</v>
      </c>
      <c r="M198">
        <v>608</v>
      </c>
      <c r="N198">
        <v>605</v>
      </c>
      <c r="O198">
        <v>525</v>
      </c>
      <c r="P198">
        <v>1027</v>
      </c>
      <c r="Q198">
        <v>221</v>
      </c>
      <c r="R198">
        <v>87</v>
      </c>
      <c r="S198">
        <v>82</v>
      </c>
      <c r="T198">
        <v>8</v>
      </c>
      <c r="U198">
        <f t="shared" si="38"/>
        <v>1582</v>
      </c>
      <c r="V198">
        <f t="shared" si="38"/>
        <v>347.40000000000003</v>
      </c>
      <c r="W198">
        <f t="shared" si="38"/>
        <v>110.6</v>
      </c>
      <c r="X198">
        <f t="shared" si="38"/>
        <v>164</v>
      </c>
      <c r="Y198">
        <f t="shared" si="38"/>
        <v>123.6</v>
      </c>
      <c r="Z198">
        <f t="shared" si="38"/>
        <v>96.100000000000009</v>
      </c>
      <c r="AA198" s="3">
        <f t="shared" si="31"/>
        <v>0.29474644290404961</v>
      </c>
      <c r="AB198">
        <f t="shared" si="32"/>
        <v>1582</v>
      </c>
      <c r="AC198">
        <f t="shared" si="33"/>
        <v>337.75</v>
      </c>
      <c r="AD198">
        <f t="shared" si="34"/>
        <v>98.75</v>
      </c>
      <c r="AE198">
        <f t="shared" si="35"/>
        <v>123</v>
      </c>
      <c r="AF198">
        <f t="shared" si="36"/>
        <v>51.5</v>
      </c>
      <c r="AG198">
        <f t="shared" si="37"/>
        <v>0.26669098869025903</v>
      </c>
    </row>
    <row r="199" spans="1:33" x14ac:dyDescent="0.35">
      <c r="A199" t="s">
        <v>385</v>
      </c>
      <c r="B199" t="s">
        <v>386</v>
      </c>
      <c r="C199">
        <f>VLOOKUP(CONCATENATE("2001",'2001_60'!A199),aktivnepesseg!$C$2:$D$2226,2,FALSE)</f>
        <v>24669</v>
      </c>
      <c r="D199">
        <f t="shared" si="29"/>
        <v>17413</v>
      </c>
      <c r="E199">
        <f t="shared" si="30"/>
        <v>7256</v>
      </c>
      <c r="F199">
        <v>1035</v>
      </c>
      <c r="G199">
        <v>534</v>
      </c>
      <c r="H199">
        <v>823</v>
      </c>
      <c r="I199">
        <v>995</v>
      </c>
      <c r="J199">
        <v>3021</v>
      </c>
      <c r="K199">
        <v>1334</v>
      </c>
      <c r="L199">
        <v>961</v>
      </c>
      <c r="M199">
        <v>954</v>
      </c>
      <c r="N199">
        <v>856</v>
      </c>
      <c r="O199">
        <v>793</v>
      </c>
      <c r="P199">
        <v>2908</v>
      </c>
      <c r="Q199">
        <v>1513</v>
      </c>
      <c r="R199">
        <v>665</v>
      </c>
      <c r="S199">
        <v>821</v>
      </c>
      <c r="T199">
        <v>200</v>
      </c>
      <c r="U199">
        <f t="shared" si="38"/>
        <v>7256</v>
      </c>
      <c r="V199">
        <f t="shared" si="38"/>
        <v>931.5</v>
      </c>
      <c r="W199">
        <f t="shared" si="38"/>
        <v>373.79999999999995</v>
      </c>
      <c r="X199">
        <f t="shared" si="38"/>
        <v>411.5</v>
      </c>
      <c r="Y199">
        <f t="shared" si="38"/>
        <v>298.5</v>
      </c>
      <c r="Z199">
        <f t="shared" si="38"/>
        <v>302.10000000000002</v>
      </c>
      <c r="AA199" s="3">
        <f t="shared" si="31"/>
        <v>0.38807410109854473</v>
      </c>
      <c r="AB199">
        <f t="shared" si="32"/>
        <v>7256</v>
      </c>
      <c r="AC199">
        <f t="shared" si="33"/>
        <v>905.625</v>
      </c>
      <c r="AD199">
        <f t="shared" si="34"/>
        <v>333.75</v>
      </c>
      <c r="AE199">
        <f t="shared" si="35"/>
        <v>308.625</v>
      </c>
      <c r="AF199">
        <f t="shared" si="36"/>
        <v>124.375</v>
      </c>
      <c r="AG199">
        <f t="shared" si="37"/>
        <v>0.36192691231910495</v>
      </c>
    </row>
    <row r="200" spans="1:33" x14ac:dyDescent="0.35">
      <c r="A200" t="s">
        <v>387</v>
      </c>
      <c r="B200" t="s">
        <v>388</v>
      </c>
      <c r="C200">
        <f>VLOOKUP(CONCATENATE("2001",'2001_60'!A200),aktivnepesseg!$C$2:$D$2226,2,FALSE)</f>
        <v>51935</v>
      </c>
      <c r="D200">
        <f>SUM(F200:T200)</f>
        <v>44111</v>
      </c>
      <c r="E200">
        <f>C200-D200</f>
        <v>7824</v>
      </c>
      <c r="F200">
        <v>4203</v>
      </c>
      <c r="G200">
        <v>1237</v>
      </c>
      <c r="H200">
        <v>1746</v>
      </c>
      <c r="I200">
        <v>2011</v>
      </c>
      <c r="J200">
        <v>6051</v>
      </c>
      <c r="K200">
        <v>3373</v>
      </c>
      <c r="L200">
        <v>2630</v>
      </c>
      <c r="M200">
        <v>2691</v>
      </c>
      <c r="N200">
        <v>2361</v>
      </c>
      <c r="O200">
        <v>2184</v>
      </c>
      <c r="P200">
        <v>7493</v>
      </c>
      <c r="Q200">
        <v>3245</v>
      </c>
      <c r="R200">
        <v>1682</v>
      </c>
      <c r="S200">
        <v>2626</v>
      </c>
      <c r="T200">
        <v>578</v>
      </c>
      <c r="U200">
        <f t="shared" si="38"/>
        <v>7824</v>
      </c>
      <c r="V200">
        <f t="shared" si="38"/>
        <v>3782.7000000000003</v>
      </c>
      <c r="W200">
        <f t="shared" si="38"/>
        <v>865.9</v>
      </c>
      <c r="X200">
        <f t="shared" si="38"/>
        <v>873</v>
      </c>
      <c r="Y200">
        <f t="shared" si="38"/>
        <v>603.29999999999995</v>
      </c>
      <c r="Z200">
        <f t="shared" si="38"/>
        <v>605.1</v>
      </c>
      <c r="AA200" s="3">
        <f t="shared" si="31"/>
        <v>0.28023490902089149</v>
      </c>
      <c r="AB200">
        <f t="shared" si="32"/>
        <v>7824</v>
      </c>
      <c r="AC200">
        <f t="shared" si="33"/>
        <v>3677.625</v>
      </c>
      <c r="AD200">
        <f t="shared" si="34"/>
        <v>773.125</v>
      </c>
      <c r="AE200">
        <f t="shared" si="35"/>
        <v>654.75</v>
      </c>
      <c r="AF200">
        <f t="shared" si="36"/>
        <v>251.375</v>
      </c>
      <c r="AG200">
        <f t="shared" si="37"/>
        <v>0.25379560989698663</v>
      </c>
    </row>
    <row r="201" spans="1:33" x14ac:dyDescent="0.35">
      <c r="A201" t="s">
        <v>389</v>
      </c>
      <c r="B201" t="s">
        <v>390</v>
      </c>
      <c r="C201">
        <f>VLOOKUP(CONCATENATE("2001",'2001_60'!A201),aktivnepesseg!$C$2:$D$2226,2,FALSE)</f>
        <v>11481</v>
      </c>
      <c r="D201">
        <f>SUM(F201:T201)</f>
        <v>7207</v>
      </c>
      <c r="E201">
        <f>C201-D201</f>
        <v>4274</v>
      </c>
      <c r="F201">
        <v>359</v>
      </c>
      <c r="G201">
        <v>218</v>
      </c>
      <c r="H201">
        <v>371</v>
      </c>
      <c r="I201">
        <v>421</v>
      </c>
      <c r="J201">
        <v>683</v>
      </c>
      <c r="K201">
        <v>634</v>
      </c>
      <c r="L201">
        <v>501</v>
      </c>
      <c r="M201">
        <v>545</v>
      </c>
      <c r="N201">
        <v>519</v>
      </c>
      <c r="O201">
        <v>468</v>
      </c>
      <c r="P201">
        <v>1640</v>
      </c>
      <c r="Q201">
        <v>557</v>
      </c>
      <c r="R201">
        <v>140</v>
      </c>
      <c r="S201">
        <v>137</v>
      </c>
      <c r="T201">
        <v>14</v>
      </c>
      <c r="U201">
        <f t="shared" si="38"/>
        <v>4274</v>
      </c>
      <c r="V201">
        <f t="shared" si="38"/>
        <v>323.10000000000002</v>
      </c>
      <c r="W201">
        <f t="shared" si="38"/>
        <v>152.6</v>
      </c>
      <c r="X201">
        <f t="shared" si="38"/>
        <v>185.5</v>
      </c>
      <c r="Y201">
        <f t="shared" si="38"/>
        <v>126.3</v>
      </c>
      <c r="Z201">
        <f t="shared" si="38"/>
        <v>68.3</v>
      </c>
      <c r="AA201" s="3">
        <f t="shared" ref="AA201:AA205" si="39">SUM(U201:Z201)/$C201</f>
        <v>0.44680776935806993</v>
      </c>
      <c r="AB201">
        <f t="shared" ref="AB201:AB204" si="40">E201*E$6</f>
        <v>4274</v>
      </c>
      <c r="AC201">
        <f t="shared" ref="AC201:AC204" si="41">F201*F$6</f>
        <v>314.125</v>
      </c>
      <c r="AD201">
        <f t="shared" ref="AD201:AD204" si="42">G201*G$6</f>
        <v>136.25</v>
      </c>
      <c r="AE201">
        <f t="shared" ref="AE201:AE204" si="43">H201*H$6</f>
        <v>139.125</v>
      </c>
      <c r="AF201">
        <f t="shared" ref="AF201:AF204" si="44">I201*I$6</f>
        <v>52.625</v>
      </c>
      <c r="AG201">
        <f t="shared" ref="AG201:AG205" si="45">SUM(AB201:AF201)/$C201</f>
        <v>0.42819658566326974</v>
      </c>
    </row>
    <row r="202" spans="1:33" x14ac:dyDescent="0.35">
      <c r="A202" t="s">
        <v>391</v>
      </c>
      <c r="B202" t="s">
        <v>392</v>
      </c>
      <c r="C202">
        <f>VLOOKUP(CONCATENATE("2001",'2001_60'!A202),aktivnepesseg!$C$2:$D$2226,2,FALSE)</f>
        <v>63122</v>
      </c>
      <c r="D202">
        <f>SUM(F202:T202)</f>
        <v>51264</v>
      </c>
      <c r="E202">
        <f>C202-D202</f>
        <v>11858</v>
      </c>
      <c r="F202">
        <v>3124</v>
      </c>
      <c r="G202">
        <v>1343</v>
      </c>
      <c r="H202">
        <v>2164</v>
      </c>
      <c r="I202">
        <v>2595</v>
      </c>
      <c r="J202">
        <v>7941</v>
      </c>
      <c r="K202">
        <v>4743</v>
      </c>
      <c r="L202">
        <v>3999</v>
      </c>
      <c r="M202">
        <v>3942</v>
      </c>
      <c r="N202">
        <v>3529</v>
      </c>
      <c r="O202">
        <v>2956</v>
      </c>
      <c r="P202">
        <v>8106</v>
      </c>
      <c r="Q202">
        <v>2899</v>
      </c>
      <c r="R202">
        <v>1403</v>
      </c>
      <c r="S202">
        <v>2073</v>
      </c>
      <c r="T202">
        <v>447</v>
      </c>
      <c r="U202">
        <f t="shared" si="38"/>
        <v>11858</v>
      </c>
      <c r="V202">
        <f t="shared" si="38"/>
        <v>2811.6</v>
      </c>
      <c r="W202">
        <f t="shared" si="38"/>
        <v>940.09999999999991</v>
      </c>
      <c r="X202">
        <f t="shared" si="38"/>
        <v>1082</v>
      </c>
      <c r="Y202">
        <f t="shared" si="38"/>
        <v>778.5</v>
      </c>
      <c r="Z202">
        <f t="shared" si="38"/>
        <v>794.1</v>
      </c>
      <c r="AA202" s="3">
        <f t="shared" si="39"/>
        <v>0.28934919679351095</v>
      </c>
      <c r="AB202">
        <f t="shared" si="40"/>
        <v>11858</v>
      </c>
      <c r="AC202">
        <f t="shared" si="41"/>
        <v>2733.5</v>
      </c>
      <c r="AD202">
        <f t="shared" si="42"/>
        <v>839.375</v>
      </c>
      <c r="AE202">
        <f t="shared" si="43"/>
        <v>811.5</v>
      </c>
      <c r="AF202">
        <f t="shared" si="44"/>
        <v>324.375</v>
      </c>
      <c r="AG202">
        <f t="shared" si="45"/>
        <v>0.26245603751465418</v>
      </c>
    </row>
    <row r="203" spans="1:33" x14ac:dyDescent="0.35">
      <c r="A203" t="s">
        <v>393</v>
      </c>
      <c r="B203" t="s">
        <v>394</v>
      </c>
      <c r="C203">
        <f>VLOOKUP(CONCATENATE("2001",'2001_60'!A203),aktivnepesseg!$C$2:$D$2226,2,FALSE)</f>
        <v>9404</v>
      </c>
      <c r="D203">
        <f>SUM(F203:T203)</f>
        <v>7243</v>
      </c>
      <c r="E203">
        <f>C203-D203</f>
        <v>2161</v>
      </c>
      <c r="F203">
        <v>408</v>
      </c>
      <c r="G203">
        <v>247</v>
      </c>
      <c r="H203">
        <v>421</v>
      </c>
      <c r="I203">
        <v>505</v>
      </c>
      <c r="J203">
        <v>1453</v>
      </c>
      <c r="K203">
        <v>924</v>
      </c>
      <c r="L203">
        <v>751</v>
      </c>
      <c r="M203">
        <v>556</v>
      </c>
      <c r="N203">
        <v>433</v>
      </c>
      <c r="O203">
        <v>311</v>
      </c>
      <c r="P203">
        <v>791</v>
      </c>
      <c r="Q203">
        <v>240</v>
      </c>
      <c r="R203">
        <v>83</v>
      </c>
      <c r="S203">
        <v>109</v>
      </c>
      <c r="T203">
        <v>11</v>
      </c>
      <c r="U203">
        <f t="shared" si="38"/>
        <v>2161</v>
      </c>
      <c r="V203">
        <f t="shared" si="38"/>
        <v>367.2</v>
      </c>
      <c r="W203">
        <f t="shared" si="38"/>
        <v>172.89999999999998</v>
      </c>
      <c r="X203">
        <f t="shared" si="38"/>
        <v>210.5</v>
      </c>
      <c r="Y203">
        <f t="shared" si="38"/>
        <v>151.5</v>
      </c>
      <c r="Z203">
        <f t="shared" si="38"/>
        <v>145.30000000000001</v>
      </c>
      <c r="AA203" s="3">
        <f t="shared" si="39"/>
        <v>0.34117396852403231</v>
      </c>
      <c r="AB203">
        <f t="shared" si="40"/>
        <v>2161</v>
      </c>
      <c r="AC203">
        <f t="shared" si="41"/>
        <v>357</v>
      </c>
      <c r="AD203">
        <f t="shared" si="42"/>
        <v>154.375</v>
      </c>
      <c r="AE203">
        <f t="shared" si="43"/>
        <v>157.875</v>
      </c>
      <c r="AF203">
        <f t="shared" si="44"/>
        <v>63.125</v>
      </c>
      <c r="AG203">
        <f t="shared" si="45"/>
        <v>0.30767492556358994</v>
      </c>
    </row>
    <row r="204" spans="1:33" x14ac:dyDescent="0.35">
      <c r="A204" t="s">
        <v>395</v>
      </c>
      <c r="B204" t="s">
        <v>396</v>
      </c>
      <c r="C204">
        <f>VLOOKUP(CONCATENATE("2001",'2001_60'!A204),aktivnepesseg!$C$2:$D$2226,2,FALSE)</f>
        <v>11650</v>
      </c>
      <c r="D204">
        <f>SUM(F204:T204)</f>
        <v>9578</v>
      </c>
      <c r="E204">
        <f>C204-D204</f>
        <v>2072</v>
      </c>
      <c r="F204">
        <v>661</v>
      </c>
      <c r="G204">
        <v>288</v>
      </c>
      <c r="H204">
        <v>438</v>
      </c>
      <c r="I204">
        <v>479</v>
      </c>
      <c r="J204">
        <v>1195</v>
      </c>
      <c r="K204">
        <v>860</v>
      </c>
      <c r="L204">
        <v>747</v>
      </c>
      <c r="M204">
        <v>731</v>
      </c>
      <c r="N204">
        <v>679</v>
      </c>
      <c r="O204">
        <v>676</v>
      </c>
      <c r="P204">
        <v>1851</v>
      </c>
      <c r="Q204">
        <v>528</v>
      </c>
      <c r="R204">
        <v>207</v>
      </c>
      <c r="S204">
        <v>212</v>
      </c>
      <c r="T204">
        <v>26</v>
      </c>
      <c r="U204">
        <f t="shared" si="38"/>
        <v>2072</v>
      </c>
      <c r="V204">
        <f t="shared" si="38"/>
        <v>594.9</v>
      </c>
      <c r="W204">
        <f t="shared" si="38"/>
        <v>201.6</v>
      </c>
      <c r="X204">
        <f t="shared" si="38"/>
        <v>219</v>
      </c>
      <c r="Y204">
        <f t="shared" si="38"/>
        <v>143.69999999999999</v>
      </c>
      <c r="Z204">
        <f t="shared" si="38"/>
        <v>119.5</v>
      </c>
      <c r="AA204" s="3">
        <f t="shared" si="39"/>
        <v>0.28761373390557937</v>
      </c>
      <c r="AB204">
        <f t="shared" si="40"/>
        <v>2072</v>
      </c>
      <c r="AC204">
        <f t="shared" si="41"/>
        <v>578.375</v>
      </c>
      <c r="AD204">
        <f t="shared" si="42"/>
        <v>180</v>
      </c>
      <c r="AE204">
        <f t="shared" si="43"/>
        <v>164.25</v>
      </c>
      <c r="AF204">
        <f t="shared" si="44"/>
        <v>59.875</v>
      </c>
      <c r="AG204">
        <f t="shared" si="45"/>
        <v>0.26218884120171676</v>
      </c>
    </row>
    <row r="205" spans="1:33" x14ac:dyDescent="0.35">
      <c r="A205" s="6" t="s">
        <v>432</v>
      </c>
      <c r="C205">
        <f>SUM(C8:C204)</f>
        <v>5887316</v>
      </c>
      <c r="D205">
        <f t="shared" ref="D205:T205" si="46">SUM(D8:D204)</f>
        <v>4343234</v>
      </c>
      <c r="E205">
        <f t="shared" si="46"/>
        <v>1544082</v>
      </c>
      <c r="F205">
        <f t="shared" si="46"/>
        <v>313295</v>
      </c>
      <c r="G205">
        <f t="shared" si="46"/>
        <v>146090</v>
      </c>
      <c r="H205">
        <f t="shared" si="46"/>
        <v>234358</v>
      </c>
      <c r="I205">
        <f t="shared" si="46"/>
        <v>259141</v>
      </c>
      <c r="J205">
        <f t="shared" si="46"/>
        <v>658489</v>
      </c>
      <c r="K205">
        <f t="shared" si="46"/>
        <v>378468</v>
      </c>
      <c r="L205">
        <f t="shared" si="46"/>
        <v>286414</v>
      </c>
      <c r="M205">
        <f t="shared" si="46"/>
        <v>263995</v>
      </c>
      <c r="N205">
        <f t="shared" si="46"/>
        <v>232277</v>
      </c>
      <c r="O205">
        <f t="shared" si="46"/>
        <v>210154</v>
      </c>
      <c r="P205">
        <f t="shared" si="46"/>
        <v>666017</v>
      </c>
      <c r="Q205">
        <f t="shared" si="46"/>
        <v>292931</v>
      </c>
      <c r="R205">
        <f t="shared" si="46"/>
        <v>142868</v>
      </c>
      <c r="S205">
        <f t="shared" si="46"/>
        <v>201377</v>
      </c>
      <c r="T205">
        <f t="shared" si="46"/>
        <v>57360</v>
      </c>
      <c r="U205">
        <f>E205*E$5</f>
        <v>1544082</v>
      </c>
      <c r="V205">
        <f t="shared" ref="V205:Z205" si="47">F205*F$5</f>
        <v>281965.5</v>
      </c>
      <c r="W205">
        <f t="shared" si="47"/>
        <v>102263</v>
      </c>
      <c r="X205">
        <f t="shared" si="47"/>
        <v>117179</v>
      </c>
      <c r="Y205">
        <f t="shared" si="47"/>
        <v>77742.3</v>
      </c>
      <c r="Z205">
        <f t="shared" si="47"/>
        <v>65848.900000000009</v>
      </c>
      <c r="AA205" s="3">
        <f t="shared" si="39"/>
        <v>0.37182999859358656</v>
      </c>
      <c r="AB205">
        <f t="shared" ref="AB205" si="48">E205*E$6</f>
        <v>1544082</v>
      </c>
      <c r="AC205">
        <f t="shared" ref="AC205" si="49">F205*F$6</f>
        <v>274133.125</v>
      </c>
      <c r="AD205">
        <f t="shared" ref="AD205" si="50">G205*G$6</f>
        <v>91306.25</v>
      </c>
      <c r="AE205">
        <f t="shared" ref="AE205" si="51">H205*H$6</f>
        <v>87884.25</v>
      </c>
      <c r="AF205">
        <f t="shared" ref="AF205" si="52">I205*I$6</f>
        <v>32392.625</v>
      </c>
      <c r="AG205">
        <f t="shared" si="45"/>
        <v>0.34477480909806779</v>
      </c>
    </row>
    <row r="206" spans="1:33" x14ac:dyDescent="0.35">
      <c r="AA206" s="3"/>
    </row>
    <row r="207" spans="1:33" x14ac:dyDescent="0.35">
      <c r="A207" t="s">
        <v>39</v>
      </c>
      <c r="B207" t="s">
        <v>40</v>
      </c>
      <c r="C207">
        <f>VLOOKUP(CONCATENATE("2001",'2001_60'!A207),aktivnepesseg!$C$2:$D$2226,2,FALSE)</f>
        <v>1052425</v>
      </c>
      <c r="D207">
        <f>SUM(F207:T207)</f>
        <v>796528</v>
      </c>
      <c r="E207">
        <f>C207-D207</f>
        <v>255897</v>
      </c>
      <c r="F207">
        <v>47706</v>
      </c>
      <c r="G207">
        <v>21352</v>
      </c>
      <c r="H207">
        <v>31814</v>
      </c>
      <c r="I207">
        <v>33664</v>
      </c>
      <c r="J207">
        <v>116987</v>
      </c>
      <c r="K207">
        <v>51289</v>
      </c>
      <c r="L207">
        <v>37884</v>
      </c>
      <c r="M207">
        <v>37935</v>
      </c>
      <c r="N207">
        <v>34578</v>
      </c>
      <c r="O207">
        <v>34207</v>
      </c>
      <c r="P207">
        <v>127850</v>
      </c>
      <c r="Q207">
        <v>75054</v>
      </c>
      <c r="R207">
        <v>43218</v>
      </c>
      <c r="S207">
        <v>73345</v>
      </c>
      <c r="T207">
        <v>29645</v>
      </c>
      <c r="U207">
        <f t="shared" ref="U207:Z207" si="53">E207*E$5</f>
        <v>255897</v>
      </c>
      <c r="V207">
        <f t="shared" si="53"/>
        <v>42935.4</v>
      </c>
      <c r="W207">
        <f t="shared" si="53"/>
        <v>14946.4</v>
      </c>
      <c r="X207">
        <f t="shared" si="53"/>
        <v>15907</v>
      </c>
      <c r="Y207">
        <f t="shared" si="53"/>
        <v>10099.199999999999</v>
      </c>
      <c r="Z207">
        <f t="shared" si="53"/>
        <v>11698.7</v>
      </c>
      <c r="AA207" s="3">
        <f>SUM(U207:Z207)/$C207</f>
        <v>0.33397505760505508</v>
      </c>
      <c r="AB207">
        <f t="shared" ref="AB207" si="54">E207*E$6</f>
        <v>255897</v>
      </c>
      <c r="AC207">
        <f t="shared" ref="AC207" si="55">F207*F$6</f>
        <v>41742.75</v>
      </c>
      <c r="AD207">
        <f t="shared" ref="AD207" si="56">G207*G$6</f>
        <v>13345</v>
      </c>
      <c r="AE207">
        <f t="shared" ref="AE207" si="57">H207*H$6</f>
        <v>11930.25</v>
      </c>
      <c r="AF207">
        <f t="shared" ref="AF207" si="58">I207*I$6</f>
        <v>4208</v>
      </c>
      <c r="AG207">
        <f t="shared" ref="AG207" si="59">SUM(AB207:AF207)/$C207</f>
        <v>0.31082784996555574</v>
      </c>
    </row>
    <row r="208" spans="1:33" x14ac:dyDescent="0.35">
      <c r="A208" t="s">
        <v>433</v>
      </c>
      <c r="C208">
        <f>SUM(C8:C204)</f>
        <v>5887316</v>
      </c>
      <c r="D208">
        <f>SUM(D8:D204)</f>
        <v>4343234</v>
      </c>
      <c r="E208">
        <f>SUM(E8:E204)</f>
        <v>1544082</v>
      </c>
      <c r="F208">
        <f t="shared" ref="F208:T208" si="60">SUM(F8:F204)</f>
        <v>313295</v>
      </c>
      <c r="G208">
        <f t="shared" si="60"/>
        <v>146090</v>
      </c>
      <c r="H208">
        <f t="shared" si="60"/>
        <v>234358</v>
      </c>
      <c r="I208">
        <f t="shared" si="60"/>
        <v>259141</v>
      </c>
      <c r="J208">
        <f t="shared" si="60"/>
        <v>658489</v>
      </c>
      <c r="K208">
        <f t="shared" si="60"/>
        <v>378468</v>
      </c>
      <c r="L208">
        <f t="shared" si="60"/>
        <v>286414</v>
      </c>
      <c r="M208">
        <f t="shared" si="60"/>
        <v>263995</v>
      </c>
      <c r="N208">
        <f t="shared" si="60"/>
        <v>232277</v>
      </c>
      <c r="O208">
        <f t="shared" si="60"/>
        <v>210154</v>
      </c>
      <c r="P208">
        <f t="shared" si="60"/>
        <v>666017</v>
      </c>
      <c r="Q208">
        <f t="shared" si="60"/>
        <v>292931</v>
      </c>
      <c r="R208">
        <f t="shared" si="60"/>
        <v>142868</v>
      </c>
      <c r="S208">
        <f t="shared" si="60"/>
        <v>201377</v>
      </c>
      <c r="T208">
        <f t="shared" si="60"/>
        <v>57360</v>
      </c>
    </row>
    <row r="209" spans="1:20" x14ac:dyDescent="0.35">
      <c r="A209" t="s">
        <v>493</v>
      </c>
      <c r="F209">
        <f>F208/$D$208</f>
        <v>7.2134036526698767E-2</v>
      </c>
      <c r="G209">
        <f t="shared" ref="G209:T209" si="61">G208/$D$208</f>
        <v>3.363622590908065E-2</v>
      </c>
      <c r="H209">
        <f t="shared" si="61"/>
        <v>5.39593307659684E-2</v>
      </c>
      <c r="I209">
        <f t="shared" si="61"/>
        <v>5.966544745229016E-2</v>
      </c>
      <c r="J209">
        <f t="shared" si="61"/>
        <v>0.15161260019607509</v>
      </c>
      <c r="K209">
        <f t="shared" si="61"/>
        <v>8.7139675182133863E-2</v>
      </c>
      <c r="L209">
        <f t="shared" si="61"/>
        <v>6.5944869652429502E-2</v>
      </c>
      <c r="M209">
        <f t="shared" si="61"/>
        <v>6.0783047839467086E-2</v>
      </c>
      <c r="N209">
        <f t="shared" si="61"/>
        <v>5.3480194712050975E-2</v>
      </c>
      <c r="O209">
        <f t="shared" si="61"/>
        <v>4.8386524879847598E-2</v>
      </c>
      <c r="P209">
        <f t="shared" si="61"/>
        <v>0.15334587084186577</v>
      </c>
      <c r="Q209">
        <f t="shared" si="61"/>
        <v>6.7445364445019543E-2</v>
      </c>
      <c r="R209">
        <f t="shared" si="61"/>
        <v>3.2894382388791395E-2</v>
      </c>
      <c r="S209">
        <f t="shared" si="61"/>
        <v>4.6365680504435174E-2</v>
      </c>
      <c r="T209">
        <f t="shared" si="61"/>
        <v>1.3206748703846027E-2</v>
      </c>
    </row>
    <row r="210" spans="1:20" x14ac:dyDescent="0.35">
      <c r="A210" s="2" t="s">
        <v>494</v>
      </c>
      <c r="F210">
        <f>F209</f>
        <v>7.2134036526698767E-2</v>
      </c>
      <c r="G210">
        <f>G209+F210</f>
        <v>0.10577026243577942</v>
      </c>
      <c r="H210">
        <f t="shared" ref="H210:T210" si="62">H209+G210</f>
        <v>0.15972959320174782</v>
      </c>
      <c r="I210">
        <f t="shared" si="62"/>
        <v>0.21939504065403798</v>
      </c>
      <c r="J210">
        <f t="shared" si="62"/>
        <v>0.37100764085011306</v>
      </c>
      <c r="K210">
        <f t="shared" si="62"/>
        <v>0.4581473160322469</v>
      </c>
      <c r="L210" s="2">
        <f t="shared" si="62"/>
        <v>0.52409218568467641</v>
      </c>
      <c r="M210">
        <f t="shared" si="62"/>
        <v>0.5848752335241435</v>
      </c>
      <c r="N210">
        <f t="shared" si="62"/>
        <v>0.63835542823619451</v>
      </c>
      <c r="O210">
        <f t="shared" si="62"/>
        <v>0.68674195311604214</v>
      </c>
      <c r="P210">
        <f t="shared" si="62"/>
        <v>0.84008782395790793</v>
      </c>
      <c r="Q210">
        <f t="shared" si="62"/>
        <v>0.90753318840292752</v>
      </c>
      <c r="R210">
        <f t="shared" si="62"/>
        <v>0.9404275707917189</v>
      </c>
      <c r="S210">
        <f t="shared" si="62"/>
        <v>0.98679325129615403</v>
      </c>
      <c r="T210">
        <f t="shared" si="62"/>
        <v>1</v>
      </c>
    </row>
    <row r="211" spans="1:20" x14ac:dyDescent="0.35">
      <c r="A211" t="s">
        <v>495</v>
      </c>
      <c r="D211" s="2">
        <f>D208/$C$208</f>
        <v>0.73772734468474255</v>
      </c>
      <c r="E211">
        <f>E205/$C$205</f>
        <v>0.2622726553152574</v>
      </c>
      <c r="F211">
        <f t="shared" ref="F211:T211" si="63">F205/$C$205</f>
        <v>5.3215251228233715E-2</v>
      </c>
      <c r="G211">
        <f t="shared" si="63"/>
        <v>2.4814363625122213E-2</v>
      </c>
      <c r="H211">
        <f t="shared" si="63"/>
        <v>3.9807273806943606E-2</v>
      </c>
      <c r="I211">
        <f t="shared" si="63"/>
        <v>4.4016832118405062E-2</v>
      </c>
      <c r="J211">
        <f t="shared" si="63"/>
        <v>0.11184876096339996</v>
      </c>
      <c r="K211">
        <f t="shared" si="63"/>
        <v>6.4285321188806574E-2</v>
      </c>
      <c r="L211">
        <f t="shared" si="63"/>
        <v>4.8649333584268283E-2</v>
      </c>
      <c r="M211">
        <f t="shared" si="63"/>
        <v>4.4841316484455732E-2</v>
      </c>
      <c r="N211">
        <f t="shared" si="63"/>
        <v>3.945380203814438E-2</v>
      </c>
      <c r="O211">
        <f t="shared" si="63"/>
        <v>3.5696062518132204E-2</v>
      </c>
      <c r="P211">
        <f t="shared" si="63"/>
        <v>0.11312744211453912</v>
      </c>
      <c r="Q211">
        <f t="shared" si="63"/>
        <v>4.9756289623319017E-2</v>
      </c>
      <c r="R211">
        <f t="shared" si="63"/>
        <v>2.4267085374727635E-2</v>
      </c>
      <c r="S211">
        <f t="shared" si="63"/>
        <v>3.4205230363038096E-2</v>
      </c>
      <c r="T211">
        <f t="shared" si="63"/>
        <v>9.742979653206996E-3</v>
      </c>
    </row>
    <row r="212" spans="1:20" x14ac:dyDescent="0.35">
      <c r="A212" s="2" t="s">
        <v>496</v>
      </c>
      <c r="E212">
        <f>E211</f>
        <v>0.2622726553152574</v>
      </c>
      <c r="F212">
        <f>F211+E212</f>
        <v>0.31548790654349113</v>
      </c>
      <c r="G212">
        <f t="shared" ref="G212:T212" si="64">G211+F212</f>
        <v>0.34030227016861336</v>
      </c>
      <c r="H212">
        <f t="shared" si="64"/>
        <v>0.38010954397555696</v>
      </c>
      <c r="I212">
        <f t="shared" si="64"/>
        <v>0.42412637609396203</v>
      </c>
      <c r="J212">
        <f t="shared" si="64"/>
        <v>0.53597513705736199</v>
      </c>
      <c r="K212">
        <f t="shared" si="64"/>
        <v>0.60026045824616858</v>
      </c>
      <c r="L212">
        <f t="shared" si="64"/>
        <v>0.64890979183043684</v>
      </c>
      <c r="M212">
        <f t="shared" si="64"/>
        <v>0.69375110831489262</v>
      </c>
      <c r="N212">
        <f t="shared" si="64"/>
        <v>0.73320491035303703</v>
      </c>
      <c r="O212">
        <f t="shared" si="64"/>
        <v>0.76890097287116921</v>
      </c>
      <c r="P212">
        <f t="shared" si="64"/>
        <v>0.88202841498570828</v>
      </c>
      <c r="Q212">
        <f t="shared" si="64"/>
        <v>0.93178470460902729</v>
      </c>
      <c r="R212">
        <f t="shared" si="64"/>
        <v>0.95605178998375495</v>
      </c>
      <c r="S212">
        <f t="shared" si="64"/>
        <v>0.99025702034679308</v>
      </c>
      <c r="T212">
        <f t="shared" si="64"/>
        <v>1</v>
      </c>
    </row>
    <row r="213" spans="1:20" x14ac:dyDescent="0.35">
      <c r="A213" t="s">
        <v>503</v>
      </c>
      <c r="K213">
        <f>600*(ABS(0.5-K210)/(ABS(0.5-K210)+ABS(0.5-L210))+700*ABS(0.5-L210)/(ABS(0.5-K210)+ABS(0.5-L210)))</f>
        <v>153822.87737331257</v>
      </c>
    </row>
    <row r="214" spans="1:20" x14ac:dyDescent="0.35">
      <c r="A214" s="26" t="s">
        <v>502</v>
      </c>
    </row>
    <row r="215" spans="1:20" x14ac:dyDescent="0.35">
      <c r="A215" s="27" t="s">
        <v>504</v>
      </c>
    </row>
  </sheetData>
  <hyperlinks>
    <hyperlink ref="A215" r:id="rId1" display="https://krtkmtahu-my.sharepoint.com/:x:/r/personal/koos_balint_krtk_hu/_layouts/15/doc2.aspx?sourcedoc=%7B14508CD2-E021-4801-BBC6-D05C02632E82%7D&amp;file=medi%25u00e1n_atlag_j%25u00f6vedelem.xlsx&amp;action=default&amp;mobileredirect=true&amp;isSPOFile=1&amp;ovuser=b366dbcd-4fc3-4451-82d2-e239564302c3%2Ctatrai.annamaria%40tatk.elte.hu&amp;wdExp=TEAMS-TREATMENT&amp;web=1&amp;TeamsCID=b9ef57f2-108f-4402-b864-a8c678631065&amp;clickparams=eyJBcHBOYW1lIjoiVGVhbXMtRGVza3RvcCIsIkFwcFZlcnNpb24iOiI0OS8yNjA1MjkwNjEyMSJ9&amp;linkOpenTime=1783082324512" xr:uid="{CE7D3AC5-1600-4AF3-B5DF-0056E32BB5A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9CEE-93CA-4FD2-B690-0A0BBE0FB43A}">
  <dimension ref="A1:AE212"/>
  <sheetViews>
    <sheetView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defaultRowHeight="15.5" x14ac:dyDescent="0.35"/>
  <cols>
    <col min="1" max="1" width="18.33203125" customWidth="1"/>
    <col min="6" max="20" width="14.83203125" customWidth="1"/>
  </cols>
  <sheetData>
    <row r="1" spans="1:31" x14ac:dyDescent="0.35">
      <c r="A1" t="s">
        <v>397</v>
      </c>
      <c r="D1" t="s">
        <v>398</v>
      </c>
      <c r="E1" s="9">
        <v>0</v>
      </c>
      <c r="F1">
        <v>0</v>
      </c>
      <c r="G1">
        <f>F2</f>
        <v>300</v>
      </c>
      <c r="H1">
        <f t="shared" ref="H1:T1" si="0">G2</f>
        <v>600</v>
      </c>
      <c r="I1">
        <f t="shared" si="0"/>
        <v>800</v>
      </c>
      <c r="J1">
        <f t="shared" si="0"/>
        <v>1000</v>
      </c>
      <c r="K1">
        <f t="shared" si="0"/>
        <v>1200</v>
      </c>
      <c r="L1">
        <f t="shared" si="0"/>
        <v>1500</v>
      </c>
      <c r="M1">
        <f t="shared" si="0"/>
        <v>1800</v>
      </c>
      <c r="N1">
        <f t="shared" si="0"/>
        <v>2000</v>
      </c>
      <c r="O1">
        <f t="shared" si="0"/>
        <v>2500</v>
      </c>
      <c r="P1">
        <f t="shared" si="0"/>
        <v>3000</v>
      </c>
      <c r="Q1">
        <f t="shared" si="0"/>
        <v>4000</v>
      </c>
      <c r="R1">
        <f t="shared" si="0"/>
        <v>5000</v>
      </c>
      <c r="S1">
        <f t="shared" si="0"/>
        <v>10000</v>
      </c>
      <c r="T1">
        <f t="shared" si="0"/>
        <v>20000</v>
      </c>
      <c r="U1" s="6" t="s">
        <v>399</v>
      </c>
      <c r="AA1" t="s">
        <v>532</v>
      </c>
    </row>
    <row r="2" spans="1:31" x14ac:dyDescent="0.35">
      <c r="A2" s="22">
        <v>1200</v>
      </c>
      <c r="D2" t="s">
        <v>400</v>
      </c>
      <c r="E2" s="9">
        <v>0</v>
      </c>
      <c r="F2">
        <v>300</v>
      </c>
      <c r="G2">
        <v>600</v>
      </c>
      <c r="H2">
        <v>800</v>
      </c>
      <c r="I2">
        <v>1000</v>
      </c>
      <c r="J2">
        <v>1200</v>
      </c>
      <c r="K2">
        <v>1500</v>
      </c>
      <c r="L2">
        <v>1800</v>
      </c>
      <c r="M2">
        <v>2000</v>
      </c>
      <c r="N2">
        <v>2500</v>
      </c>
      <c r="O2">
        <v>3000</v>
      </c>
      <c r="P2">
        <v>4000</v>
      </c>
      <c r="Q2">
        <v>5000</v>
      </c>
      <c r="R2">
        <v>10000</v>
      </c>
      <c r="S2">
        <v>20000</v>
      </c>
      <c r="U2" t="s">
        <v>401</v>
      </c>
    </row>
    <row r="3" spans="1:31" x14ac:dyDescent="0.35">
      <c r="A3" s="40">
        <v>1000</v>
      </c>
      <c r="D3" t="s">
        <v>402</v>
      </c>
      <c r="E3" s="9">
        <v>0</v>
      </c>
      <c r="F3">
        <f>AVERAGE(F1:F2)</f>
        <v>150</v>
      </c>
      <c r="G3">
        <f t="shared" ref="G3:S3" si="1">AVERAGE(G1:G2)</f>
        <v>450</v>
      </c>
      <c r="H3">
        <f t="shared" si="1"/>
        <v>700</v>
      </c>
      <c r="I3">
        <f t="shared" si="1"/>
        <v>900</v>
      </c>
      <c r="J3">
        <f t="shared" si="1"/>
        <v>1100</v>
      </c>
      <c r="K3">
        <f t="shared" si="1"/>
        <v>1350</v>
      </c>
      <c r="L3">
        <f t="shared" si="1"/>
        <v>1650</v>
      </c>
      <c r="M3">
        <f t="shared" si="1"/>
        <v>1900</v>
      </c>
      <c r="N3">
        <f t="shared" si="1"/>
        <v>2250</v>
      </c>
      <c r="O3">
        <f t="shared" si="1"/>
        <v>2750</v>
      </c>
      <c r="P3">
        <f t="shared" si="1"/>
        <v>3500</v>
      </c>
      <c r="Q3">
        <f t="shared" si="1"/>
        <v>4500</v>
      </c>
      <c r="R3">
        <f t="shared" si="1"/>
        <v>7500</v>
      </c>
      <c r="S3">
        <f t="shared" si="1"/>
        <v>15000</v>
      </c>
      <c r="U3">
        <v>1</v>
      </c>
      <c r="V3">
        <v>1</v>
      </c>
      <c r="W3">
        <v>1</v>
      </c>
      <c r="X3">
        <v>1</v>
      </c>
      <c r="Y3">
        <v>1</v>
      </c>
    </row>
    <row r="4" spans="1:31" x14ac:dyDescent="0.35">
      <c r="A4" s="2">
        <v>800</v>
      </c>
      <c r="D4" s="22" t="s">
        <v>403</v>
      </c>
      <c r="E4" s="23">
        <f t="shared" ref="E4:J4" si="2">($A$2-E3)/$A$2</f>
        <v>1</v>
      </c>
      <c r="F4" s="22">
        <f t="shared" si="2"/>
        <v>0.875</v>
      </c>
      <c r="G4" s="22">
        <f t="shared" si="2"/>
        <v>0.625</v>
      </c>
      <c r="H4" s="22">
        <f t="shared" si="2"/>
        <v>0.41666666666666669</v>
      </c>
      <c r="I4" s="22">
        <f t="shared" si="2"/>
        <v>0.25</v>
      </c>
      <c r="J4" s="22">
        <f t="shared" si="2"/>
        <v>8.3333333333333329E-2</v>
      </c>
      <c r="V4" t="s">
        <v>404</v>
      </c>
    </row>
    <row r="5" spans="1:31" x14ac:dyDescent="0.35">
      <c r="A5" t="s">
        <v>542</v>
      </c>
      <c r="D5" s="22" t="s">
        <v>405</v>
      </c>
      <c r="E5" s="23">
        <f t="shared" ref="E5" si="3">($A$3-E3)/$A$3</f>
        <v>1</v>
      </c>
      <c r="F5" s="22">
        <f>($A$3-F3)/$A$3</f>
        <v>0.85</v>
      </c>
      <c r="G5" s="22">
        <f>($A$3-G3)/$A$3</f>
        <v>0.55000000000000004</v>
      </c>
      <c r="H5" s="22">
        <f>($A$3-H3)/$A$3</f>
        <v>0.3</v>
      </c>
      <c r="I5" s="22">
        <f>($A$3-I3)/$A$3</f>
        <v>0.1</v>
      </c>
    </row>
    <row r="6" spans="1:31" x14ac:dyDescent="0.35">
      <c r="D6" t="s">
        <v>531</v>
      </c>
      <c r="E6" s="9">
        <v>1</v>
      </c>
      <c r="F6">
        <f>($A$4-F3)/$A$4</f>
        <v>0.8125</v>
      </c>
      <c r="G6">
        <f t="shared" ref="G6:H6" si="4">($A$4-G3)/$A$4</f>
        <v>0.4375</v>
      </c>
      <c r="H6">
        <f t="shared" si="4"/>
        <v>0.125</v>
      </c>
    </row>
    <row r="7" spans="1:31" s="1" customFormat="1" ht="139.5" x14ac:dyDescent="0.35">
      <c r="B7" s="1" t="s">
        <v>0</v>
      </c>
      <c r="C7" s="1" t="s">
        <v>406</v>
      </c>
      <c r="D7" s="1" t="s">
        <v>407</v>
      </c>
      <c r="E7" s="8" t="s">
        <v>408</v>
      </c>
      <c r="F7" s="1" t="s">
        <v>434</v>
      </c>
      <c r="G7" s="1" t="s">
        <v>435</v>
      </c>
      <c r="H7" s="1" t="s">
        <v>436</v>
      </c>
      <c r="I7" s="1" t="s">
        <v>437</v>
      </c>
      <c r="J7" s="1" t="s">
        <v>438</v>
      </c>
      <c r="K7" s="1" t="s">
        <v>439</v>
      </c>
      <c r="L7" s="1" t="s">
        <v>440</v>
      </c>
      <c r="M7" s="1" t="s">
        <v>441</v>
      </c>
      <c r="N7" s="1" t="s">
        <v>442</v>
      </c>
      <c r="O7" s="1" t="s">
        <v>443</v>
      </c>
      <c r="P7" s="1" t="s">
        <v>444</v>
      </c>
      <c r="Q7" s="1" t="s">
        <v>445</v>
      </c>
      <c r="R7" s="1" t="s">
        <v>446</v>
      </c>
      <c r="S7" s="1" t="s">
        <v>447</v>
      </c>
      <c r="T7" s="1" t="s">
        <v>448</v>
      </c>
      <c r="U7" s="7" t="s">
        <v>429</v>
      </c>
      <c r="V7" s="1" t="s">
        <v>450</v>
      </c>
      <c r="W7" s="1" t="s">
        <v>451</v>
      </c>
      <c r="X7" s="1" t="s">
        <v>452</v>
      </c>
      <c r="Y7" s="1" t="s">
        <v>453</v>
      </c>
      <c r="Z7" s="5" t="s">
        <v>449</v>
      </c>
      <c r="AA7" s="7" t="s">
        <v>429</v>
      </c>
      <c r="AB7" s="1" t="s">
        <v>450</v>
      </c>
      <c r="AC7" s="1" t="s">
        <v>451</v>
      </c>
      <c r="AD7" s="1" t="s">
        <v>452</v>
      </c>
      <c r="AE7" s="1" t="s">
        <v>449</v>
      </c>
    </row>
    <row r="8" spans="1:31" x14ac:dyDescent="0.35">
      <c r="A8" t="s">
        <v>1</v>
      </c>
      <c r="B8" t="s">
        <v>2</v>
      </c>
      <c r="C8">
        <f>VLOOKUP(CONCATENATE("2011",'2011_60'!A8),aktivnepesseg!$C$2:$D$2226,2,FALSE)</f>
        <v>24208</v>
      </c>
      <c r="D8">
        <f>SUM(F8:T8)</f>
        <v>19847</v>
      </c>
      <c r="E8">
        <f>C8-D8</f>
        <v>4361</v>
      </c>
      <c r="F8">
        <v>2855</v>
      </c>
      <c r="G8">
        <v>1437</v>
      </c>
      <c r="H8">
        <v>937</v>
      </c>
      <c r="I8">
        <v>1477</v>
      </c>
      <c r="J8">
        <v>2452</v>
      </c>
      <c r="K8">
        <v>2894</v>
      </c>
      <c r="L8">
        <v>1949</v>
      </c>
      <c r="M8">
        <v>972</v>
      </c>
      <c r="N8">
        <v>1704</v>
      </c>
      <c r="O8">
        <v>1024</v>
      </c>
      <c r="P8">
        <v>1075</v>
      </c>
      <c r="Q8">
        <v>485</v>
      </c>
      <c r="R8">
        <v>510</v>
      </c>
      <c r="S8">
        <v>69</v>
      </c>
      <c r="T8">
        <v>7</v>
      </c>
      <c r="U8">
        <f t="shared" ref="U8:Y39" si="5">E8*E$5</f>
        <v>4361</v>
      </c>
      <c r="V8">
        <f t="shared" si="5"/>
        <v>2426.75</v>
      </c>
      <c r="W8">
        <f t="shared" si="5"/>
        <v>790.35</v>
      </c>
      <c r="X8">
        <f t="shared" si="5"/>
        <v>281.09999999999997</v>
      </c>
      <c r="Y8">
        <f t="shared" si="5"/>
        <v>147.70000000000002</v>
      </c>
      <c r="Z8" s="4">
        <f>SUM(U8:Y8)/$C8</f>
        <v>0.3307542961004627</v>
      </c>
      <c r="AA8">
        <f>E8*E$6</f>
        <v>4361</v>
      </c>
      <c r="AB8">
        <f t="shared" ref="AB8:AD8" si="6">F8*F$6</f>
        <v>2319.6875</v>
      </c>
      <c r="AC8">
        <f t="shared" si="6"/>
        <v>628.6875</v>
      </c>
      <c r="AD8">
        <f t="shared" si="6"/>
        <v>117.125</v>
      </c>
      <c r="AE8">
        <f>SUM(AA8:AD8)/$C8</f>
        <v>0.30677875082617317</v>
      </c>
    </row>
    <row r="9" spans="1:31" x14ac:dyDescent="0.35">
      <c r="A9" t="s">
        <v>3</v>
      </c>
      <c r="B9" t="s">
        <v>4</v>
      </c>
      <c r="C9">
        <f>VLOOKUP(CONCATENATE("2011",'2011_60'!A9),aktivnepesseg!$C$2:$D$2226,2,FALSE)</f>
        <v>22888</v>
      </c>
      <c r="D9">
        <f t="shared" ref="D9:D72" si="7">SUM(F9:T9)</f>
        <v>16467</v>
      </c>
      <c r="E9">
        <f t="shared" ref="E9:E72" si="8">C9-D9</f>
        <v>6421</v>
      </c>
      <c r="F9">
        <v>2130</v>
      </c>
      <c r="G9">
        <v>1535</v>
      </c>
      <c r="H9">
        <v>936</v>
      </c>
      <c r="I9">
        <v>1395</v>
      </c>
      <c r="J9">
        <v>1802</v>
      </c>
      <c r="K9">
        <v>1549</v>
      </c>
      <c r="L9">
        <v>1522</v>
      </c>
      <c r="M9">
        <v>846</v>
      </c>
      <c r="N9">
        <v>1494</v>
      </c>
      <c r="O9">
        <v>1046</v>
      </c>
      <c r="P9">
        <v>1095</v>
      </c>
      <c r="Q9">
        <v>481</v>
      </c>
      <c r="R9">
        <v>556</v>
      </c>
      <c r="S9">
        <v>76</v>
      </c>
      <c r="T9">
        <v>4</v>
      </c>
      <c r="U9">
        <f t="shared" si="5"/>
        <v>6421</v>
      </c>
      <c r="V9">
        <f t="shared" si="5"/>
        <v>1810.5</v>
      </c>
      <c r="W9">
        <f t="shared" si="5"/>
        <v>844.25000000000011</v>
      </c>
      <c r="X9">
        <f t="shared" si="5"/>
        <v>280.8</v>
      </c>
      <c r="Y9">
        <f t="shared" si="5"/>
        <v>139.5</v>
      </c>
      <c r="Z9" s="4">
        <f t="shared" ref="Z9:Z72" si="9">SUM(U9:Y9)/$C9</f>
        <v>0.4148920831876966</v>
      </c>
      <c r="AA9">
        <f t="shared" ref="AA9:AA72" si="10">E9*E$6</f>
        <v>6421</v>
      </c>
      <c r="AB9">
        <f t="shared" ref="AB9:AB72" si="11">F9*F$6</f>
        <v>1730.625</v>
      </c>
      <c r="AC9">
        <f t="shared" ref="AC9:AC72" si="12">G9*G$6</f>
        <v>671.5625</v>
      </c>
      <c r="AD9">
        <f t="shared" ref="AD9:AD72" si="13">H9*H$6</f>
        <v>117</v>
      </c>
      <c r="AE9">
        <f t="shared" ref="AE9:AE72" si="14">SUM(AA9:AD9)/$C9</f>
        <v>0.390605885180007</v>
      </c>
    </row>
    <row r="10" spans="1:31" x14ac:dyDescent="0.35">
      <c r="A10" t="s">
        <v>5</v>
      </c>
      <c r="B10" t="s">
        <v>6</v>
      </c>
      <c r="C10">
        <f>VLOOKUP(CONCATENATE("2011",'2011_60'!A10),aktivnepesseg!$C$2:$D$2226,2,FALSE)</f>
        <v>11576</v>
      </c>
      <c r="D10">
        <f t="shared" si="7"/>
        <v>8095</v>
      </c>
      <c r="E10">
        <f t="shared" si="8"/>
        <v>3481</v>
      </c>
      <c r="F10">
        <v>2125</v>
      </c>
      <c r="G10">
        <v>965</v>
      </c>
      <c r="H10">
        <v>466</v>
      </c>
      <c r="I10">
        <v>671</v>
      </c>
      <c r="J10">
        <v>915</v>
      </c>
      <c r="K10">
        <v>823</v>
      </c>
      <c r="L10">
        <v>599</v>
      </c>
      <c r="M10">
        <v>310</v>
      </c>
      <c r="N10">
        <v>547</v>
      </c>
      <c r="O10">
        <v>256</v>
      </c>
      <c r="P10">
        <v>258</v>
      </c>
      <c r="Q10">
        <v>87</v>
      </c>
      <c r="R10">
        <v>69</v>
      </c>
      <c r="S10">
        <v>4</v>
      </c>
      <c r="T10">
        <v>0</v>
      </c>
      <c r="U10">
        <f t="shared" si="5"/>
        <v>3481</v>
      </c>
      <c r="V10">
        <f t="shared" si="5"/>
        <v>1806.25</v>
      </c>
      <c r="W10">
        <f t="shared" si="5"/>
        <v>530.75</v>
      </c>
      <c r="X10">
        <f t="shared" si="5"/>
        <v>139.79999999999998</v>
      </c>
      <c r="Y10">
        <f t="shared" si="5"/>
        <v>67.100000000000009</v>
      </c>
      <c r="Z10" s="4">
        <f t="shared" si="9"/>
        <v>0.52046475466482378</v>
      </c>
      <c r="AA10">
        <f t="shared" si="10"/>
        <v>3481</v>
      </c>
      <c r="AB10">
        <f t="shared" si="11"/>
        <v>1726.5625</v>
      </c>
      <c r="AC10">
        <f t="shared" si="12"/>
        <v>422.1875</v>
      </c>
      <c r="AD10">
        <f t="shared" si="13"/>
        <v>58.25</v>
      </c>
      <c r="AE10">
        <f t="shared" si="14"/>
        <v>0.49136143745680716</v>
      </c>
    </row>
    <row r="11" spans="1:31" x14ac:dyDescent="0.35">
      <c r="A11" t="s">
        <v>7</v>
      </c>
      <c r="B11" t="s">
        <v>8</v>
      </c>
      <c r="C11">
        <f>VLOOKUP(CONCATENATE("2011",'2011_60'!A11),aktivnepesseg!$C$2:$D$2226,2,FALSE)</f>
        <v>39338</v>
      </c>
      <c r="D11">
        <f t="shared" si="7"/>
        <v>28114</v>
      </c>
      <c r="E11">
        <f t="shared" si="8"/>
        <v>11224</v>
      </c>
      <c r="F11">
        <v>6121</v>
      </c>
      <c r="G11">
        <v>3158</v>
      </c>
      <c r="H11">
        <v>1651</v>
      </c>
      <c r="I11">
        <v>2480</v>
      </c>
      <c r="J11">
        <v>3325</v>
      </c>
      <c r="K11">
        <v>2476</v>
      </c>
      <c r="L11">
        <v>2124</v>
      </c>
      <c r="M11">
        <v>1149</v>
      </c>
      <c r="N11">
        <v>1980</v>
      </c>
      <c r="O11">
        <v>1137</v>
      </c>
      <c r="P11">
        <v>1282</v>
      </c>
      <c r="Q11">
        <v>544</v>
      </c>
      <c r="R11">
        <v>607</v>
      </c>
      <c r="S11">
        <v>64</v>
      </c>
      <c r="T11">
        <v>16</v>
      </c>
      <c r="U11">
        <f t="shared" si="5"/>
        <v>11224</v>
      </c>
      <c r="V11">
        <f t="shared" si="5"/>
        <v>5202.8499999999995</v>
      </c>
      <c r="W11">
        <f t="shared" si="5"/>
        <v>1736.9</v>
      </c>
      <c r="X11">
        <f t="shared" si="5"/>
        <v>495.29999999999995</v>
      </c>
      <c r="Y11">
        <f t="shared" si="5"/>
        <v>248</v>
      </c>
      <c r="Z11" s="4">
        <f t="shared" si="9"/>
        <v>0.48063068788448826</v>
      </c>
      <c r="AA11">
        <f t="shared" si="10"/>
        <v>11224</v>
      </c>
      <c r="AB11">
        <f t="shared" si="11"/>
        <v>4973.3125</v>
      </c>
      <c r="AC11">
        <f t="shared" si="12"/>
        <v>1381.625</v>
      </c>
      <c r="AD11">
        <f t="shared" si="13"/>
        <v>206.375</v>
      </c>
      <c r="AE11">
        <f t="shared" si="14"/>
        <v>0.45211532106360264</v>
      </c>
    </row>
    <row r="12" spans="1:31" x14ac:dyDescent="0.35">
      <c r="A12" t="s">
        <v>9</v>
      </c>
      <c r="B12" t="s">
        <v>10</v>
      </c>
      <c r="C12">
        <f>VLOOKUP(CONCATENATE("2011",'2011_60'!A12),aktivnepesseg!$C$2:$D$2226,2,FALSE)</f>
        <v>11561</v>
      </c>
      <c r="D12">
        <f t="shared" si="7"/>
        <v>7803</v>
      </c>
      <c r="E12">
        <f t="shared" si="8"/>
        <v>3758</v>
      </c>
      <c r="F12">
        <v>1701</v>
      </c>
      <c r="G12">
        <v>1098</v>
      </c>
      <c r="H12">
        <v>677</v>
      </c>
      <c r="I12">
        <v>878</v>
      </c>
      <c r="J12">
        <v>1022</v>
      </c>
      <c r="K12">
        <v>703</v>
      </c>
      <c r="L12">
        <v>450</v>
      </c>
      <c r="M12">
        <v>224</v>
      </c>
      <c r="N12">
        <v>428</v>
      </c>
      <c r="O12">
        <v>243</v>
      </c>
      <c r="P12">
        <v>235</v>
      </c>
      <c r="Q12">
        <v>82</v>
      </c>
      <c r="R12">
        <v>55</v>
      </c>
      <c r="S12">
        <v>7</v>
      </c>
      <c r="T12">
        <v>0</v>
      </c>
      <c r="U12">
        <f t="shared" si="5"/>
        <v>3758</v>
      </c>
      <c r="V12">
        <f t="shared" si="5"/>
        <v>1445.85</v>
      </c>
      <c r="W12">
        <f t="shared" si="5"/>
        <v>603.90000000000009</v>
      </c>
      <c r="X12">
        <f t="shared" si="5"/>
        <v>203.1</v>
      </c>
      <c r="Y12">
        <f t="shared" si="5"/>
        <v>87.800000000000011</v>
      </c>
      <c r="Z12" s="4">
        <f t="shared" si="9"/>
        <v>0.52751924573998799</v>
      </c>
      <c r="AA12">
        <f t="shared" si="10"/>
        <v>3758</v>
      </c>
      <c r="AB12">
        <f t="shared" si="11"/>
        <v>1382.0625</v>
      </c>
      <c r="AC12">
        <f t="shared" si="12"/>
        <v>480.375</v>
      </c>
      <c r="AD12">
        <f t="shared" si="13"/>
        <v>84.625</v>
      </c>
      <c r="AE12">
        <f t="shared" si="14"/>
        <v>0.49347482916702706</v>
      </c>
    </row>
    <row r="13" spans="1:31" x14ac:dyDescent="0.35">
      <c r="A13" t="s">
        <v>11</v>
      </c>
      <c r="B13" t="s">
        <v>12</v>
      </c>
      <c r="C13">
        <f>VLOOKUP(CONCATENATE("2011",'2011_60'!A13),aktivnepesseg!$C$2:$D$2226,2,FALSE)</f>
        <v>24482</v>
      </c>
      <c r="D13">
        <f t="shared" si="7"/>
        <v>18000</v>
      </c>
      <c r="E13">
        <f t="shared" si="8"/>
        <v>6482</v>
      </c>
      <c r="F13">
        <v>2901</v>
      </c>
      <c r="G13">
        <v>1718</v>
      </c>
      <c r="H13">
        <v>972</v>
      </c>
      <c r="I13">
        <v>1423</v>
      </c>
      <c r="J13">
        <v>1927</v>
      </c>
      <c r="K13">
        <v>1926</v>
      </c>
      <c r="L13">
        <v>1545</v>
      </c>
      <c r="M13">
        <v>1033</v>
      </c>
      <c r="N13">
        <v>1678</v>
      </c>
      <c r="O13">
        <v>941</v>
      </c>
      <c r="P13">
        <v>975</v>
      </c>
      <c r="Q13">
        <v>450</v>
      </c>
      <c r="R13">
        <v>460</v>
      </c>
      <c r="S13">
        <v>51</v>
      </c>
      <c r="T13">
        <v>0</v>
      </c>
      <c r="U13">
        <f t="shared" si="5"/>
        <v>6482</v>
      </c>
      <c r="V13">
        <f t="shared" si="5"/>
        <v>2465.85</v>
      </c>
      <c r="W13">
        <f t="shared" si="5"/>
        <v>944.90000000000009</v>
      </c>
      <c r="X13">
        <f t="shared" si="5"/>
        <v>291.59999999999997</v>
      </c>
      <c r="Y13">
        <f t="shared" si="5"/>
        <v>142.30000000000001</v>
      </c>
      <c r="Z13" s="4">
        <f t="shared" si="9"/>
        <v>0.42180581651825827</v>
      </c>
      <c r="AA13">
        <f t="shared" si="10"/>
        <v>6482</v>
      </c>
      <c r="AB13">
        <f t="shared" si="11"/>
        <v>2357.0625</v>
      </c>
      <c r="AC13">
        <f t="shared" si="12"/>
        <v>751.625</v>
      </c>
      <c r="AD13">
        <f t="shared" si="13"/>
        <v>121.5</v>
      </c>
      <c r="AE13">
        <f t="shared" si="14"/>
        <v>0.39670727473245648</v>
      </c>
    </row>
    <row r="14" spans="1:31" x14ac:dyDescent="0.35">
      <c r="A14" t="s">
        <v>13</v>
      </c>
      <c r="B14" t="s">
        <v>14</v>
      </c>
      <c r="C14">
        <f>VLOOKUP(CONCATENATE("2011",'2011_60'!A14),aktivnepesseg!$C$2:$D$2226,2,FALSE)</f>
        <v>14302</v>
      </c>
      <c r="D14">
        <f t="shared" si="7"/>
        <v>12033</v>
      </c>
      <c r="E14">
        <f t="shared" si="8"/>
        <v>2269</v>
      </c>
      <c r="F14">
        <v>2087</v>
      </c>
      <c r="G14">
        <v>1222</v>
      </c>
      <c r="H14">
        <v>677</v>
      </c>
      <c r="I14">
        <v>979</v>
      </c>
      <c r="J14">
        <v>1412</v>
      </c>
      <c r="K14">
        <v>1299</v>
      </c>
      <c r="L14">
        <v>906</v>
      </c>
      <c r="M14">
        <v>471</v>
      </c>
      <c r="N14">
        <v>884</v>
      </c>
      <c r="O14">
        <v>592</v>
      </c>
      <c r="P14">
        <v>643</v>
      </c>
      <c r="Q14">
        <v>303</v>
      </c>
      <c r="R14">
        <v>444</v>
      </c>
      <c r="S14">
        <v>85</v>
      </c>
      <c r="T14">
        <v>29</v>
      </c>
      <c r="U14">
        <f t="shared" si="5"/>
        <v>2269</v>
      </c>
      <c r="V14">
        <f t="shared" si="5"/>
        <v>1773.95</v>
      </c>
      <c r="W14">
        <f t="shared" si="5"/>
        <v>672.1</v>
      </c>
      <c r="X14">
        <f t="shared" si="5"/>
        <v>203.1</v>
      </c>
      <c r="Y14">
        <f t="shared" si="5"/>
        <v>97.9</v>
      </c>
      <c r="Z14" s="4">
        <f t="shared" si="9"/>
        <v>0.35072367501048807</v>
      </c>
      <c r="AA14">
        <f t="shared" si="10"/>
        <v>2269</v>
      </c>
      <c r="AB14">
        <f t="shared" si="11"/>
        <v>1695.6875</v>
      </c>
      <c r="AC14">
        <f t="shared" si="12"/>
        <v>534.625</v>
      </c>
      <c r="AD14">
        <f t="shared" si="13"/>
        <v>84.625</v>
      </c>
      <c r="AE14">
        <f t="shared" si="14"/>
        <v>0.32051024332261224</v>
      </c>
    </row>
    <row r="15" spans="1:31" x14ac:dyDescent="0.35">
      <c r="A15" t="s">
        <v>15</v>
      </c>
      <c r="B15" t="s">
        <v>16</v>
      </c>
      <c r="C15">
        <f>VLOOKUP(CONCATENATE("2011",'2011_60'!A15),aktivnepesseg!$C$2:$D$2226,2,FALSE)</f>
        <v>14150</v>
      </c>
      <c r="D15">
        <f t="shared" si="7"/>
        <v>12519</v>
      </c>
      <c r="E15">
        <f t="shared" si="8"/>
        <v>1631</v>
      </c>
      <c r="F15">
        <v>2635</v>
      </c>
      <c r="G15">
        <v>1286</v>
      </c>
      <c r="H15">
        <v>800</v>
      </c>
      <c r="I15">
        <v>1005</v>
      </c>
      <c r="J15">
        <v>1434</v>
      </c>
      <c r="K15">
        <v>1191</v>
      </c>
      <c r="L15">
        <v>895</v>
      </c>
      <c r="M15">
        <v>476</v>
      </c>
      <c r="N15">
        <v>862</v>
      </c>
      <c r="O15">
        <v>505</v>
      </c>
      <c r="P15">
        <v>587</v>
      </c>
      <c r="Q15">
        <v>328</v>
      </c>
      <c r="R15">
        <v>406</v>
      </c>
      <c r="S15">
        <v>87</v>
      </c>
      <c r="T15">
        <v>22</v>
      </c>
      <c r="U15">
        <f t="shared" si="5"/>
        <v>1631</v>
      </c>
      <c r="V15">
        <f t="shared" si="5"/>
        <v>2239.75</v>
      </c>
      <c r="W15">
        <f t="shared" si="5"/>
        <v>707.30000000000007</v>
      </c>
      <c r="X15">
        <f t="shared" si="5"/>
        <v>240</v>
      </c>
      <c r="Y15">
        <f t="shared" si="5"/>
        <v>100.5</v>
      </c>
      <c r="Z15" s="4">
        <f t="shared" si="9"/>
        <v>0.3476007067137809</v>
      </c>
      <c r="AA15">
        <f t="shared" si="10"/>
        <v>1631</v>
      </c>
      <c r="AB15">
        <f t="shared" si="11"/>
        <v>2140.9375</v>
      </c>
      <c r="AC15">
        <f t="shared" si="12"/>
        <v>562.625</v>
      </c>
      <c r="AD15">
        <f t="shared" si="13"/>
        <v>100</v>
      </c>
      <c r="AE15">
        <f t="shared" si="14"/>
        <v>0.31339664310954063</v>
      </c>
    </row>
    <row r="16" spans="1:31" x14ac:dyDescent="0.35">
      <c r="A16" t="s">
        <v>17</v>
      </c>
      <c r="B16" t="s">
        <v>18</v>
      </c>
      <c r="C16">
        <f>VLOOKUP(CONCATENATE("2011",'2011_60'!A16),aktivnepesseg!$C$2:$D$2226,2,FALSE)</f>
        <v>17841</v>
      </c>
      <c r="D16">
        <f t="shared" si="7"/>
        <v>13180</v>
      </c>
      <c r="E16">
        <f t="shared" si="8"/>
        <v>4661</v>
      </c>
      <c r="F16">
        <v>2593</v>
      </c>
      <c r="G16">
        <v>1527</v>
      </c>
      <c r="H16">
        <v>981</v>
      </c>
      <c r="I16">
        <v>1308</v>
      </c>
      <c r="J16">
        <v>1699</v>
      </c>
      <c r="K16">
        <v>1454</v>
      </c>
      <c r="L16">
        <v>1072</v>
      </c>
      <c r="M16">
        <v>543</v>
      </c>
      <c r="N16">
        <v>839</v>
      </c>
      <c r="O16">
        <v>447</v>
      </c>
      <c r="P16">
        <v>415</v>
      </c>
      <c r="Q16">
        <v>143</v>
      </c>
      <c r="R16">
        <v>148</v>
      </c>
      <c r="S16">
        <v>11</v>
      </c>
      <c r="T16">
        <v>0</v>
      </c>
      <c r="U16">
        <f t="shared" si="5"/>
        <v>4661</v>
      </c>
      <c r="V16">
        <f t="shared" si="5"/>
        <v>2204.0499999999997</v>
      </c>
      <c r="W16">
        <f t="shared" si="5"/>
        <v>839.85</v>
      </c>
      <c r="X16">
        <f t="shared" si="5"/>
        <v>294.3</v>
      </c>
      <c r="Y16">
        <f t="shared" si="5"/>
        <v>130.80000000000001</v>
      </c>
      <c r="Z16" s="4">
        <f t="shared" si="9"/>
        <v>0.45569194551874898</v>
      </c>
      <c r="AA16">
        <f t="shared" si="10"/>
        <v>4661</v>
      </c>
      <c r="AB16">
        <f t="shared" si="11"/>
        <v>2106.8125</v>
      </c>
      <c r="AC16">
        <f t="shared" si="12"/>
        <v>668.0625</v>
      </c>
      <c r="AD16">
        <f t="shared" si="13"/>
        <v>122.625</v>
      </c>
      <c r="AE16">
        <f t="shared" si="14"/>
        <v>0.42365898772490329</v>
      </c>
    </row>
    <row r="17" spans="1:31" x14ac:dyDescent="0.35">
      <c r="A17" t="s">
        <v>19</v>
      </c>
      <c r="B17" t="s">
        <v>20</v>
      </c>
      <c r="C17">
        <f>VLOOKUP(CONCATENATE("2011",'2011_60'!A17),aktivnepesseg!$C$2:$D$2226,2,FALSE)</f>
        <v>14263</v>
      </c>
      <c r="D17">
        <f t="shared" si="7"/>
        <v>9744</v>
      </c>
      <c r="E17">
        <f t="shared" si="8"/>
        <v>4519</v>
      </c>
      <c r="F17">
        <v>2238</v>
      </c>
      <c r="G17">
        <v>1051</v>
      </c>
      <c r="H17">
        <v>609</v>
      </c>
      <c r="I17">
        <v>831</v>
      </c>
      <c r="J17">
        <v>1122</v>
      </c>
      <c r="K17">
        <v>997</v>
      </c>
      <c r="L17">
        <v>841</v>
      </c>
      <c r="M17">
        <v>410</v>
      </c>
      <c r="N17">
        <v>638</v>
      </c>
      <c r="O17">
        <v>300</v>
      </c>
      <c r="P17">
        <v>433</v>
      </c>
      <c r="Q17">
        <v>144</v>
      </c>
      <c r="R17">
        <v>120</v>
      </c>
      <c r="S17">
        <v>10</v>
      </c>
      <c r="T17">
        <v>0</v>
      </c>
      <c r="U17">
        <f t="shared" si="5"/>
        <v>4519</v>
      </c>
      <c r="V17">
        <f t="shared" si="5"/>
        <v>1902.3</v>
      </c>
      <c r="W17">
        <f t="shared" si="5"/>
        <v>578.05000000000007</v>
      </c>
      <c r="X17">
        <f t="shared" si="5"/>
        <v>182.7</v>
      </c>
      <c r="Y17">
        <f t="shared" si="5"/>
        <v>83.100000000000009</v>
      </c>
      <c r="Z17" s="4">
        <f t="shared" si="9"/>
        <v>0.50937039893430558</v>
      </c>
      <c r="AA17">
        <f t="shared" si="10"/>
        <v>4519</v>
      </c>
      <c r="AB17">
        <f t="shared" si="11"/>
        <v>1818.375</v>
      </c>
      <c r="AC17">
        <f t="shared" si="12"/>
        <v>459.8125</v>
      </c>
      <c r="AD17">
        <f t="shared" si="13"/>
        <v>76.125</v>
      </c>
      <c r="AE17">
        <f t="shared" si="14"/>
        <v>0.48189809296781883</v>
      </c>
    </row>
    <row r="18" spans="1:31" x14ac:dyDescent="0.35">
      <c r="A18" t="s">
        <v>21</v>
      </c>
      <c r="B18" t="s">
        <v>22</v>
      </c>
      <c r="C18">
        <f>VLOOKUP(CONCATENATE("2011",'2011_60'!A18),aktivnepesseg!$C$2:$D$2226,2,FALSE)</f>
        <v>12862</v>
      </c>
      <c r="D18">
        <f t="shared" si="7"/>
        <v>9057</v>
      </c>
      <c r="E18">
        <f t="shared" si="8"/>
        <v>3805</v>
      </c>
      <c r="F18">
        <v>1696</v>
      </c>
      <c r="G18">
        <v>929</v>
      </c>
      <c r="H18">
        <v>553</v>
      </c>
      <c r="I18">
        <v>766</v>
      </c>
      <c r="J18">
        <v>976</v>
      </c>
      <c r="K18">
        <v>1042</v>
      </c>
      <c r="L18">
        <v>712</v>
      </c>
      <c r="M18">
        <v>409</v>
      </c>
      <c r="N18">
        <v>676</v>
      </c>
      <c r="O18">
        <v>409</v>
      </c>
      <c r="P18">
        <v>479</v>
      </c>
      <c r="Q18">
        <v>207</v>
      </c>
      <c r="R18">
        <v>191</v>
      </c>
      <c r="S18">
        <v>12</v>
      </c>
      <c r="T18">
        <v>0</v>
      </c>
      <c r="U18">
        <f t="shared" si="5"/>
        <v>3805</v>
      </c>
      <c r="V18">
        <f t="shared" si="5"/>
        <v>1441.6</v>
      </c>
      <c r="W18">
        <f t="shared" si="5"/>
        <v>510.95000000000005</v>
      </c>
      <c r="X18">
        <f t="shared" si="5"/>
        <v>165.9</v>
      </c>
      <c r="Y18">
        <f t="shared" si="5"/>
        <v>76.600000000000009</v>
      </c>
      <c r="Z18" s="4">
        <f t="shared" si="9"/>
        <v>0.46649432436635052</v>
      </c>
      <c r="AA18">
        <f t="shared" si="10"/>
        <v>3805</v>
      </c>
      <c r="AB18">
        <f t="shared" si="11"/>
        <v>1378</v>
      </c>
      <c r="AC18">
        <f t="shared" si="12"/>
        <v>406.4375</v>
      </c>
      <c r="AD18">
        <f t="shared" si="13"/>
        <v>69.125</v>
      </c>
      <c r="AE18">
        <f t="shared" si="14"/>
        <v>0.43994421551858187</v>
      </c>
    </row>
    <row r="19" spans="1:31" x14ac:dyDescent="0.35">
      <c r="A19" t="s">
        <v>23</v>
      </c>
      <c r="B19" t="s">
        <v>24</v>
      </c>
      <c r="C19">
        <f>VLOOKUP(CONCATENATE("2011",'2011_60'!A19),aktivnepesseg!$C$2:$D$2226,2,FALSE)</f>
        <v>50213</v>
      </c>
      <c r="D19">
        <f t="shared" si="7"/>
        <v>38684</v>
      </c>
      <c r="E19">
        <f t="shared" si="8"/>
        <v>11529</v>
      </c>
      <c r="F19">
        <v>7136</v>
      </c>
      <c r="G19">
        <v>3746</v>
      </c>
      <c r="H19">
        <v>2111</v>
      </c>
      <c r="I19">
        <v>2851</v>
      </c>
      <c r="J19">
        <v>4273</v>
      </c>
      <c r="K19">
        <v>3849</v>
      </c>
      <c r="L19">
        <v>3183</v>
      </c>
      <c r="M19">
        <v>1799</v>
      </c>
      <c r="N19">
        <v>3184</v>
      </c>
      <c r="O19">
        <v>1871</v>
      </c>
      <c r="P19">
        <v>2187</v>
      </c>
      <c r="Q19">
        <v>1148</v>
      </c>
      <c r="R19">
        <v>1167</v>
      </c>
      <c r="S19">
        <v>158</v>
      </c>
      <c r="T19">
        <v>21</v>
      </c>
      <c r="U19">
        <f t="shared" si="5"/>
        <v>11529</v>
      </c>
      <c r="V19">
        <f t="shared" si="5"/>
        <v>6065.5999999999995</v>
      </c>
      <c r="W19">
        <f t="shared" si="5"/>
        <v>2060.3000000000002</v>
      </c>
      <c r="X19">
        <f t="shared" si="5"/>
        <v>633.29999999999995</v>
      </c>
      <c r="Y19">
        <f t="shared" si="5"/>
        <v>285.10000000000002</v>
      </c>
      <c r="Z19" s="4">
        <f t="shared" si="9"/>
        <v>0.40972059028538416</v>
      </c>
      <c r="AA19">
        <f t="shared" si="10"/>
        <v>11529</v>
      </c>
      <c r="AB19">
        <f t="shared" si="11"/>
        <v>5798</v>
      </c>
      <c r="AC19">
        <f t="shared" si="12"/>
        <v>1638.875</v>
      </c>
      <c r="AD19">
        <f t="shared" si="13"/>
        <v>263.875</v>
      </c>
      <c r="AE19">
        <f t="shared" si="14"/>
        <v>0.38296357516977675</v>
      </c>
    </row>
    <row r="20" spans="1:31" x14ac:dyDescent="0.35">
      <c r="A20" t="s">
        <v>25</v>
      </c>
      <c r="B20" t="s">
        <v>26</v>
      </c>
      <c r="C20">
        <f>VLOOKUP(CONCATENATE("2011",'2011_60'!A20),aktivnepesseg!$C$2:$D$2226,2,FALSE)</f>
        <v>21862</v>
      </c>
      <c r="D20">
        <f t="shared" si="7"/>
        <v>16160</v>
      </c>
      <c r="E20">
        <f t="shared" si="8"/>
        <v>5702</v>
      </c>
      <c r="F20">
        <v>3457</v>
      </c>
      <c r="G20">
        <v>1732</v>
      </c>
      <c r="H20">
        <v>1099</v>
      </c>
      <c r="I20">
        <v>1374</v>
      </c>
      <c r="J20">
        <v>1952</v>
      </c>
      <c r="K20">
        <v>1607</v>
      </c>
      <c r="L20">
        <v>1275</v>
      </c>
      <c r="M20">
        <v>678</v>
      </c>
      <c r="N20">
        <v>1140</v>
      </c>
      <c r="O20">
        <v>640</v>
      </c>
      <c r="P20">
        <v>650</v>
      </c>
      <c r="Q20">
        <v>267</v>
      </c>
      <c r="R20">
        <v>259</v>
      </c>
      <c r="S20">
        <v>26</v>
      </c>
      <c r="T20">
        <v>4</v>
      </c>
      <c r="U20">
        <f t="shared" si="5"/>
        <v>5702</v>
      </c>
      <c r="V20">
        <f t="shared" si="5"/>
        <v>2938.45</v>
      </c>
      <c r="W20">
        <f t="shared" si="5"/>
        <v>952.6</v>
      </c>
      <c r="X20">
        <f t="shared" si="5"/>
        <v>329.7</v>
      </c>
      <c r="Y20">
        <f t="shared" si="5"/>
        <v>137.4</v>
      </c>
      <c r="Z20" s="4">
        <f t="shared" si="9"/>
        <v>0.46016604153325413</v>
      </c>
      <c r="AA20">
        <f t="shared" si="10"/>
        <v>5702</v>
      </c>
      <c r="AB20">
        <f t="shared" si="11"/>
        <v>2808.8125</v>
      </c>
      <c r="AC20">
        <f t="shared" si="12"/>
        <v>757.75</v>
      </c>
      <c r="AD20">
        <f t="shared" si="13"/>
        <v>137.375</v>
      </c>
      <c r="AE20">
        <f t="shared" si="14"/>
        <v>0.43024140060378741</v>
      </c>
    </row>
    <row r="21" spans="1:31" x14ac:dyDescent="0.35">
      <c r="A21" t="s">
        <v>27</v>
      </c>
      <c r="B21" t="s">
        <v>28</v>
      </c>
      <c r="C21">
        <f>VLOOKUP(CONCATENATE("2011",'2011_60'!A21),aktivnepesseg!$C$2:$D$2226,2,FALSE)</f>
        <v>5307</v>
      </c>
      <c r="D21">
        <f t="shared" si="7"/>
        <v>3647</v>
      </c>
      <c r="E21">
        <f t="shared" si="8"/>
        <v>1660</v>
      </c>
      <c r="F21">
        <v>696</v>
      </c>
      <c r="G21">
        <v>360</v>
      </c>
      <c r="H21">
        <v>276</v>
      </c>
      <c r="I21">
        <v>332</v>
      </c>
      <c r="J21">
        <v>396</v>
      </c>
      <c r="K21">
        <v>378</v>
      </c>
      <c r="L21">
        <v>351</v>
      </c>
      <c r="M21">
        <v>142</v>
      </c>
      <c r="N21">
        <v>282</v>
      </c>
      <c r="O21">
        <v>159</v>
      </c>
      <c r="P21">
        <v>165</v>
      </c>
      <c r="Q21">
        <v>59</v>
      </c>
      <c r="R21">
        <v>51</v>
      </c>
      <c r="S21">
        <v>0</v>
      </c>
      <c r="T21">
        <v>0</v>
      </c>
      <c r="U21">
        <f t="shared" si="5"/>
        <v>1660</v>
      </c>
      <c r="V21">
        <f t="shared" si="5"/>
        <v>591.6</v>
      </c>
      <c r="W21">
        <f t="shared" si="5"/>
        <v>198.00000000000003</v>
      </c>
      <c r="X21">
        <f t="shared" si="5"/>
        <v>82.8</v>
      </c>
      <c r="Y21">
        <f t="shared" si="5"/>
        <v>33.200000000000003</v>
      </c>
      <c r="Z21" s="4">
        <f t="shared" si="9"/>
        <v>0.48343697003957037</v>
      </c>
      <c r="AA21">
        <f t="shared" si="10"/>
        <v>1660</v>
      </c>
      <c r="AB21">
        <f t="shared" si="11"/>
        <v>565.5</v>
      </c>
      <c r="AC21">
        <f t="shared" si="12"/>
        <v>157.5</v>
      </c>
      <c r="AD21">
        <f t="shared" si="13"/>
        <v>34.5</v>
      </c>
      <c r="AE21">
        <f t="shared" si="14"/>
        <v>0.45553043150555872</v>
      </c>
    </row>
    <row r="22" spans="1:31" x14ac:dyDescent="0.35">
      <c r="A22" t="s">
        <v>29</v>
      </c>
      <c r="B22" t="s">
        <v>30</v>
      </c>
      <c r="C22">
        <f>VLOOKUP(CONCATENATE("2011",'2011_60'!A22),aktivnepesseg!$C$2:$D$2226,2,FALSE)</f>
        <v>26827</v>
      </c>
      <c r="D22">
        <f t="shared" si="7"/>
        <v>18818</v>
      </c>
      <c r="E22">
        <f t="shared" si="8"/>
        <v>8009</v>
      </c>
      <c r="F22">
        <v>4392</v>
      </c>
      <c r="G22">
        <v>2089</v>
      </c>
      <c r="H22">
        <v>1133</v>
      </c>
      <c r="I22">
        <v>1691</v>
      </c>
      <c r="J22">
        <v>2220</v>
      </c>
      <c r="K22">
        <v>1714</v>
      </c>
      <c r="L22">
        <v>1433</v>
      </c>
      <c r="M22">
        <v>795</v>
      </c>
      <c r="N22">
        <v>1314</v>
      </c>
      <c r="O22">
        <v>742</v>
      </c>
      <c r="P22">
        <v>757</v>
      </c>
      <c r="Q22">
        <v>251</v>
      </c>
      <c r="R22">
        <v>259</v>
      </c>
      <c r="S22">
        <v>24</v>
      </c>
      <c r="T22">
        <v>4</v>
      </c>
      <c r="U22">
        <f t="shared" si="5"/>
        <v>8009</v>
      </c>
      <c r="V22">
        <f t="shared" si="5"/>
        <v>3733.2</v>
      </c>
      <c r="W22">
        <f t="shared" si="5"/>
        <v>1148.95</v>
      </c>
      <c r="X22">
        <f t="shared" si="5"/>
        <v>339.9</v>
      </c>
      <c r="Y22">
        <f t="shared" si="5"/>
        <v>169.10000000000002</v>
      </c>
      <c r="Z22" s="4">
        <f t="shared" si="9"/>
        <v>0.49950236701830253</v>
      </c>
      <c r="AA22">
        <f t="shared" si="10"/>
        <v>8009</v>
      </c>
      <c r="AB22">
        <f t="shared" si="11"/>
        <v>3568.5</v>
      </c>
      <c r="AC22">
        <f t="shared" si="12"/>
        <v>913.9375</v>
      </c>
      <c r="AD22">
        <f t="shared" si="13"/>
        <v>141.625</v>
      </c>
      <c r="AE22">
        <f t="shared" si="14"/>
        <v>0.47090850635553733</v>
      </c>
    </row>
    <row r="23" spans="1:31" x14ac:dyDescent="0.35">
      <c r="A23" t="s">
        <v>31</v>
      </c>
      <c r="B23" t="s">
        <v>32</v>
      </c>
      <c r="C23">
        <f>VLOOKUP(CONCATENATE("2011",'2011_60'!A23),aktivnepesseg!$C$2:$D$2226,2,FALSE)</f>
        <v>21739</v>
      </c>
      <c r="D23">
        <f t="shared" si="7"/>
        <v>16038</v>
      </c>
      <c r="E23">
        <f t="shared" si="8"/>
        <v>5701</v>
      </c>
      <c r="F23">
        <v>2189</v>
      </c>
      <c r="G23">
        <v>1388</v>
      </c>
      <c r="H23">
        <v>863</v>
      </c>
      <c r="I23">
        <v>1291</v>
      </c>
      <c r="J23">
        <v>1635</v>
      </c>
      <c r="K23">
        <v>1771</v>
      </c>
      <c r="L23">
        <v>1445</v>
      </c>
      <c r="M23">
        <v>836</v>
      </c>
      <c r="N23">
        <v>1559</v>
      </c>
      <c r="O23">
        <v>956</v>
      </c>
      <c r="P23">
        <v>1025</v>
      </c>
      <c r="Q23">
        <v>402</v>
      </c>
      <c r="R23">
        <v>554</v>
      </c>
      <c r="S23">
        <v>108</v>
      </c>
      <c r="T23">
        <v>16</v>
      </c>
      <c r="U23">
        <f t="shared" si="5"/>
        <v>5701</v>
      </c>
      <c r="V23">
        <f t="shared" si="5"/>
        <v>1860.6499999999999</v>
      </c>
      <c r="W23">
        <f t="shared" si="5"/>
        <v>763.40000000000009</v>
      </c>
      <c r="X23">
        <f t="shared" si="5"/>
        <v>258.89999999999998</v>
      </c>
      <c r="Y23">
        <f t="shared" si="5"/>
        <v>129.1</v>
      </c>
      <c r="Z23" s="4">
        <f t="shared" si="9"/>
        <v>0.40080270481622887</v>
      </c>
      <c r="AA23">
        <f t="shared" si="10"/>
        <v>5701</v>
      </c>
      <c r="AB23">
        <f t="shared" si="11"/>
        <v>1778.5625</v>
      </c>
      <c r="AC23">
        <f t="shared" si="12"/>
        <v>607.25</v>
      </c>
      <c r="AD23">
        <f t="shared" si="13"/>
        <v>107.875</v>
      </c>
      <c r="AE23">
        <f t="shared" si="14"/>
        <v>0.3769578867473205</v>
      </c>
    </row>
    <row r="24" spans="1:31" x14ac:dyDescent="0.35">
      <c r="A24" t="s">
        <v>33</v>
      </c>
      <c r="B24" t="s">
        <v>34</v>
      </c>
      <c r="C24">
        <f>VLOOKUP(CONCATENATE("2011",'2011_60'!A24),aktivnepesseg!$C$2:$D$2226,2,FALSE)</f>
        <v>7246</v>
      </c>
      <c r="D24">
        <f t="shared" si="7"/>
        <v>5151</v>
      </c>
      <c r="E24">
        <f t="shared" si="8"/>
        <v>2095</v>
      </c>
      <c r="F24">
        <v>936</v>
      </c>
      <c r="G24">
        <v>417</v>
      </c>
      <c r="H24">
        <v>305</v>
      </c>
      <c r="I24">
        <v>435</v>
      </c>
      <c r="J24">
        <v>655</v>
      </c>
      <c r="K24">
        <v>625</v>
      </c>
      <c r="L24">
        <v>518</v>
      </c>
      <c r="M24">
        <v>207</v>
      </c>
      <c r="N24">
        <v>422</v>
      </c>
      <c r="O24">
        <v>230</v>
      </c>
      <c r="P24">
        <v>203</v>
      </c>
      <c r="Q24">
        <v>85</v>
      </c>
      <c r="R24">
        <v>105</v>
      </c>
      <c r="S24">
        <v>8</v>
      </c>
      <c r="T24">
        <v>0</v>
      </c>
      <c r="U24">
        <f t="shared" si="5"/>
        <v>2095</v>
      </c>
      <c r="V24">
        <f t="shared" si="5"/>
        <v>795.6</v>
      </c>
      <c r="W24">
        <f t="shared" si="5"/>
        <v>229.35000000000002</v>
      </c>
      <c r="X24">
        <f t="shared" si="5"/>
        <v>91.5</v>
      </c>
      <c r="Y24">
        <f t="shared" si="5"/>
        <v>43.5</v>
      </c>
      <c r="Z24" s="4">
        <f t="shared" si="9"/>
        <v>0.44920645873585424</v>
      </c>
      <c r="AA24">
        <f t="shared" si="10"/>
        <v>2095</v>
      </c>
      <c r="AB24">
        <f t="shared" si="11"/>
        <v>760.5</v>
      </c>
      <c r="AC24">
        <f t="shared" si="12"/>
        <v>182.4375</v>
      </c>
      <c r="AD24">
        <f t="shared" si="13"/>
        <v>38.125</v>
      </c>
      <c r="AE24">
        <f t="shared" si="14"/>
        <v>0.42451869997239855</v>
      </c>
    </row>
    <row r="25" spans="1:31" x14ac:dyDescent="0.35">
      <c r="A25" t="s">
        <v>35</v>
      </c>
      <c r="B25" t="s">
        <v>36</v>
      </c>
      <c r="C25">
        <f>VLOOKUP(CONCATENATE("2011",'2011_60'!A25),aktivnepesseg!$C$2:$D$2226,2,FALSE)</f>
        <v>19195</v>
      </c>
      <c r="D25">
        <f t="shared" si="7"/>
        <v>13771</v>
      </c>
      <c r="E25">
        <f t="shared" si="8"/>
        <v>5424</v>
      </c>
      <c r="F25">
        <v>2660</v>
      </c>
      <c r="G25">
        <v>1337</v>
      </c>
      <c r="H25">
        <v>890</v>
      </c>
      <c r="I25">
        <v>1277</v>
      </c>
      <c r="J25">
        <v>1907</v>
      </c>
      <c r="K25">
        <v>1513</v>
      </c>
      <c r="L25">
        <v>1034</v>
      </c>
      <c r="M25">
        <v>565</v>
      </c>
      <c r="N25">
        <v>886</v>
      </c>
      <c r="O25">
        <v>549</v>
      </c>
      <c r="P25">
        <v>591</v>
      </c>
      <c r="Q25">
        <v>241</v>
      </c>
      <c r="R25">
        <v>276</v>
      </c>
      <c r="S25">
        <v>38</v>
      </c>
      <c r="T25">
        <v>7</v>
      </c>
      <c r="U25">
        <f t="shared" si="5"/>
        <v>5424</v>
      </c>
      <c r="V25">
        <f t="shared" si="5"/>
        <v>2261</v>
      </c>
      <c r="W25">
        <f t="shared" si="5"/>
        <v>735.35</v>
      </c>
      <c r="X25">
        <f t="shared" si="5"/>
        <v>267</v>
      </c>
      <c r="Y25">
        <f t="shared" si="5"/>
        <v>127.7</v>
      </c>
      <c r="Z25" s="4">
        <f t="shared" si="9"/>
        <v>0.45923678041156557</v>
      </c>
      <c r="AA25">
        <f t="shared" si="10"/>
        <v>5424</v>
      </c>
      <c r="AB25">
        <f t="shared" si="11"/>
        <v>2161.25</v>
      </c>
      <c r="AC25">
        <f t="shared" si="12"/>
        <v>584.9375</v>
      </c>
      <c r="AD25">
        <f t="shared" si="13"/>
        <v>111.25</v>
      </c>
      <c r="AE25">
        <f t="shared" si="14"/>
        <v>0.43143722323521749</v>
      </c>
    </row>
    <row r="26" spans="1:31" x14ac:dyDescent="0.35">
      <c r="A26" t="s">
        <v>37</v>
      </c>
      <c r="B26" t="s">
        <v>38</v>
      </c>
      <c r="C26">
        <f>VLOOKUP(CONCATENATE("2011",'2011_60'!A26),aktivnepesseg!$C$2:$D$2226,2,FALSE)</f>
        <v>50287</v>
      </c>
      <c r="D26">
        <f t="shared" si="7"/>
        <v>37627</v>
      </c>
      <c r="E26">
        <f t="shared" si="8"/>
        <v>12660</v>
      </c>
      <c r="F26">
        <v>4676</v>
      </c>
      <c r="G26">
        <v>2903</v>
      </c>
      <c r="H26">
        <v>1645</v>
      </c>
      <c r="I26">
        <v>2875</v>
      </c>
      <c r="J26">
        <v>3530</v>
      </c>
      <c r="K26">
        <v>3300</v>
      </c>
      <c r="L26">
        <v>3105</v>
      </c>
      <c r="M26">
        <v>1619</v>
      </c>
      <c r="N26">
        <v>2983</v>
      </c>
      <c r="O26">
        <v>1998</v>
      </c>
      <c r="P26">
        <v>2861</v>
      </c>
      <c r="Q26">
        <v>1561</v>
      </c>
      <c r="R26">
        <v>2926</v>
      </c>
      <c r="S26">
        <v>1225</v>
      </c>
      <c r="T26">
        <v>420</v>
      </c>
      <c r="U26">
        <f t="shared" si="5"/>
        <v>12660</v>
      </c>
      <c r="V26">
        <f t="shared" si="5"/>
        <v>3974.6</v>
      </c>
      <c r="W26">
        <f t="shared" si="5"/>
        <v>1596.65</v>
      </c>
      <c r="X26">
        <f t="shared" si="5"/>
        <v>493.5</v>
      </c>
      <c r="Y26">
        <f t="shared" si="5"/>
        <v>287.5</v>
      </c>
      <c r="Z26" s="4">
        <f t="shared" si="9"/>
        <v>0.37807485035893967</v>
      </c>
      <c r="AA26">
        <f t="shared" si="10"/>
        <v>12660</v>
      </c>
      <c r="AB26">
        <f t="shared" si="11"/>
        <v>3799.25</v>
      </c>
      <c r="AC26">
        <f t="shared" si="12"/>
        <v>1270.0625</v>
      </c>
      <c r="AD26">
        <f t="shared" si="13"/>
        <v>205.625</v>
      </c>
      <c r="AE26">
        <f t="shared" si="14"/>
        <v>0.35665156998826736</v>
      </c>
    </row>
    <row r="27" spans="1:31" x14ac:dyDescent="0.35">
      <c r="A27" t="s">
        <v>41</v>
      </c>
      <c r="B27" t="s">
        <v>42</v>
      </c>
      <c r="C27">
        <f>VLOOKUP(CONCATENATE("2011",'2011_60'!A27),aktivnepesseg!$C$2:$D$2226,2,FALSE)</f>
        <v>13972</v>
      </c>
      <c r="D27">
        <f t="shared" si="7"/>
        <v>11310</v>
      </c>
      <c r="E27">
        <f t="shared" si="8"/>
        <v>2662</v>
      </c>
      <c r="F27">
        <v>1639</v>
      </c>
      <c r="G27">
        <v>839</v>
      </c>
      <c r="H27">
        <v>434</v>
      </c>
      <c r="I27">
        <v>772</v>
      </c>
      <c r="J27">
        <v>920</v>
      </c>
      <c r="K27">
        <v>757</v>
      </c>
      <c r="L27">
        <v>751</v>
      </c>
      <c r="M27">
        <v>416</v>
      </c>
      <c r="N27">
        <v>781</v>
      </c>
      <c r="O27">
        <v>622</v>
      </c>
      <c r="P27">
        <v>909</v>
      </c>
      <c r="Q27">
        <v>618</v>
      </c>
      <c r="R27">
        <v>1224</v>
      </c>
      <c r="S27">
        <v>474</v>
      </c>
      <c r="T27">
        <v>154</v>
      </c>
      <c r="U27">
        <f t="shared" si="5"/>
        <v>2662</v>
      </c>
      <c r="V27">
        <f t="shared" si="5"/>
        <v>1393.1499999999999</v>
      </c>
      <c r="W27">
        <f t="shared" si="5"/>
        <v>461.45000000000005</v>
      </c>
      <c r="X27">
        <f t="shared" si="5"/>
        <v>130.19999999999999</v>
      </c>
      <c r="Y27">
        <f t="shared" si="5"/>
        <v>77.2</v>
      </c>
      <c r="Z27" s="4">
        <f t="shared" si="9"/>
        <v>0.33810478099055247</v>
      </c>
      <c r="AA27">
        <f t="shared" si="10"/>
        <v>2662</v>
      </c>
      <c r="AB27">
        <f t="shared" si="11"/>
        <v>1331.6875</v>
      </c>
      <c r="AC27">
        <f t="shared" si="12"/>
        <v>367.0625</v>
      </c>
      <c r="AD27">
        <f t="shared" si="13"/>
        <v>54.25</v>
      </c>
      <c r="AE27">
        <f t="shared" si="14"/>
        <v>0.31598912109934152</v>
      </c>
    </row>
    <row r="28" spans="1:31" x14ac:dyDescent="0.35">
      <c r="A28" t="s">
        <v>43</v>
      </c>
      <c r="B28" t="s">
        <v>44</v>
      </c>
      <c r="C28">
        <f>VLOOKUP(CONCATENATE("2011",'2011_60'!A28),aktivnepesseg!$C$2:$D$2226,2,FALSE)</f>
        <v>48361</v>
      </c>
      <c r="D28">
        <f t="shared" si="7"/>
        <v>36236</v>
      </c>
      <c r="E28">
        <f t="shared" si="8"/>
        <v>12125</v>
      </c>
      <c r="F28">
        <v>5493</v>
      </c>
      <c r="G28">
        <v>2536</v>
      </c>
      <c r="H28">
        <v>1381</v>
      </c>
      <c r="I28">
        <v>2457</v>
      </c>
      <c r="J28">
        <v>2837</v>
      </c>
      <c r="K28">
        <v>2236</v>
      </c>
      <c r="L28">
        <v>2475</v>
      </c>
      <c r="M28">
        <v>1310</v>
      </c>
      <c r="N28">
        <v>2466</v>
      </c>
      <c r="O28">
        <v>1850</v>
      </c>
      <c r="P28">
        <v>2868</v>
      </c>
      <c r="Q28">
        <v>1970</v>
      </c>
      <c r="R28">
        <v>3973</v>
      </c>
      <c r="S28">
        <v>1693</v>
      </c>
      <c r="T28">
        <v>691</v>
      </c>
      <c r="U28">
        <f t="shared" si="5"/>
        <v>12125</v>
      </c>
      <c r="V28">
        <f t="shared" si="5"/>
        <v>4669.05</v>
      </c>
      <c r="W28">
        <f t="shared" si="5"/>
        <v>1394.8000000000002</v>
      </c>
      <c r="X28">
        <f t="shared" si="5"/>
        <v>414.3</v>
      </c>
      <c r="Y28">
        <f t="shared" si="5"/>
        <v>245.70000000000002</v>
      </c>
      <c r="Z28" s="4">
        <f t="shared" si="9"/>
        <v>0.38975310684229025</v>
      </c>
      <c r="AA28">
        <f t="shared" si="10"/>
        <v>12125</v>
      </c>
      <c r="AB28">
        <f t="shared" si="11"/>
        <v>4463.0625</v>
      </c>
      <c r="AC28">
        <f t="shared" si="12"/>
        <v>1109.5</v>
      </c>
      <c r="AD28">
        <f t="shared" si="13"/>
        <v>172.625</v>
      </c>
      <c r="AE28">
        <f t="shared" si="14"/>
        <v>0.36951650089948512</v>
      </c>
    </row>
    <row r="29" spans="1:31" x14ac:dyDescent="0.35">
      <c r="A29" t="s">
        <v>45</v>
      </c>
      <c r="B29" t="s">
        <v>46</v>
      </c>
      <c r="C29">
        <f>VLOOKUP(CONCATENATE("2011",'2011_60'!A29),aktivnepesseg!$C$2:$D$2226,2,FALSE)</f>
        <v>77616</v>
      </c>
      <c r="D29">
        <f t="shared" si="7"/>
        <v>55251</v>
      </c>
      <c r="E29">
        <f t="shared" si="8"/>
        <v>22365</v>
      </c>
      <c r="F29">
        <v>7151</v>
      </c>
      <c r="G29">
        <v>4536</v>
      </c>
      <c r="H29">
        <v>2488</v>
      </c>
      <c r="I29">
        <v>4158</v>
      </c>
      <c r="J29">
        <v>4995</v>
      </c>
      <c r="K29">
        <v>4398</v>
      </c>
      <c r="L29">
        <v>4249</v>
      </c>
      <c r="M29">
        <v>2266</v>
      </c>
      <c r="N29">
        <v>4239</v>
      </c>
      <c r="O29">
        <v>3165</v>
      </c>
      <c r="P29">
        <v>4603</v>
      </c>
      <c r="Q29">
        <v>2689</v>
      </c>
      <c r="R29">
        <v>4433</v>
      </c>
      <c r="S29">
        <v>1414</v>
      </c>
      <c r="T29">
        <v>467</v>
      </c>
      <c r="U29">
        <f t="shared" si="5"/>
        <v>22365</v>
      </c>
      <c r="V29">
        <f t="shared" si="5"/>
        <v>6078.3499999999995</v>
      </c>
      <c r="W29">
        <f t="shared" si="5"/>
        <v>2494.8000000000002</v>
      </c>
      <c r="X29">
        <f t="shared" si="5"/>
        <v>746.4</v>
      </c>
      <c r="Y29">
        <f t="shared" si="5"/>
        <v>415.8</v>
      </c>
      <c r="Z29" s="4">
        <f t="shared" si="9"/>
        <v>0.41357903009688723</v>
      </c>
      <c r="AA29">
        <f t="shared" si="10"/>
        <v>22365</v>
      </c>
      <c r="AB29">
        <f t="shared" si="11"/>
        <v>5810.1875</v>
      </c>
      <c r="AC29">
        <f t="shared" si="12"/>
        <v>1984.5</v>
      </c>
      <c r="AD29">
        <f t="shared" si="13"/>
        <v>311</v>
      </c>
      <c r="AE29">
        <f t="shared" si="14"/>
        <v>0.39258255385487528</v>
      </c>
    </row>
    <row r="30" spans="1:31" x14ac:dyDescent="0.35">
      <c r="A30" t="s">
        <v>47</v>
      </c>
      <c r="B30" t="s">
        <v>48</v>
      </c>
      <c r="C30">
        <f>VLOOKUP(CONCATENATE("2011",'2011_60'!A30),aktivnepesseg!$C$2:$D$2226,2,FALSE)</f>
        <v>64464</v>
      </c>
      <c r="D30">
        <f t="shared" si="7"/>
        <v>47268</v>
      </c>
      <c r="E30">
        <f t="shared" si="8"/>
        <v>17196</v>
      </c>
      <c r="F30">
        <v>5502</v>
      </c>
      <c r="G30">
        <v>3825</v>
      </c>
      <c r="H30">
        <v>2218</v>
      </c>
      <c r="I30">
        <v>3628</v>
      </c>
      <c r="J30">
        <v>4432</v>
      </c>
      <c r="K30">
        <v>4053</v>
      </c>
      <c r="L30">
        <v>3767</v>
      </c>
      <c r="M30">
        <v>2095</v>
      </c>
      <c r="N30">
        <v>3913</v>
      </c>
      <c r="O30">
        <v>2856</v>
      </c>
      <c r="P30">
        <v>4062</v>
      </c>
      <c r="Q30">
        <v>2348</v>
      </c>
      <c r="R30">
        <v>3568</v>
      </c>
      <c r="S30">
        <v>850</v>
      </c>
      <c r="T30">
        <v>151</v>
      </c>
      <c r="U30">
        <f t="shared" si="5"/>
        <v>17196</v>
      </c>
      <c r="V30">
        <f t="shared" si="5"/>
        <v>4676.7</v>
      </c>
      <c r="W30">
        <f t="shared" si="5"/>
        <v>2103.75</v>
      </c>
      <c r="X30">
        <f t="shared" si="5"/>
        <v>665.4</v>
      </c>
      <c r="Y30">
        <f t="shared" si="5"/>
        <v>362.8</v>
      </c>
      <c r="Z30" s="4">
        <f t="shared" si="9"/>
        <v>0.38788548647307025</v>
      </c>
      <c r="AA30">
        <f t="shared" si="10"/>
        <v>17196</v>
      </c>
      <c r="AB30">
        <f t="shared" si="11"/>
        <v>4470.375</v>
      </c>
      <c r="AC30">
        <f t="shared" si="12"/>
        <v>1673.4375</v>
      </c>
      <c r="AD30">
        <f t="shared" si="13"/>
        <v>277.25</v>
      </c>
      <c r="AE30">
        <f t="shared" si="14"/>
        <v>0.36636048802432364</v>
      </c>
    </row>
    <row r="31" spans="1:31" x14ac:dyDescent="0.35">
      <c r="A31" t="s">
        <v>49</v>
      </c>
      <c r="B31" t="s">
        <v>50</v>
      </c>
      <c r="C31">
        <f>VLOOKUP(CONCATENATE("2011",'2011_60'!A31),aktivnepesseg!$C$2:$D$2226,2,FALSE)</f>
        <v>15453</v>
      </c>
      <c r="D31">
        <f t="shared" si="7"/>
        <v>10954</v>
      </c>
      <c r="E31">
        <f t="shared" si="8"/>
        <v>4499</v>
      </c>
      <c r="F31">
        <v>1632</v>
      </c>
      <c r="G31">
        <v>889</v>
      </c>
      <c r="H31">
        <v>445</v>
      </c>
      <c r="I31">
        <v>795</v>
      </c>
      <c r="J31">
        <v>970</v>
      </c>
      <c r="K31">
        <v>716</v>
      </c>
      <c r="L31">
        <v>795</v>
      </c>
      <c r="M31">
        <v>407</v>
      </c>
      <c r="N31">
        <v>765</v>
      </c>
      <c r="O31">
        <v>602</v>
      </c>
      <c r="P31">
        <v>881</v>
      </c>
      <c r="Q31">
        <v>544</v>
      </c>
      <c r="R31">
        <v>1036</v>
      </c>
      <c r="S31">
        <v>370</v>
      </c>
      <c r="T31">
        <v>107</v>
      </c>
      <c r="U31">
        <f t="shared" si="5"/>
        <v>4499</v>
      </c>
      <c r="V31">
        <f t="shared" si="5"/>
        <v>1387.2</v>
      </c>
      <c r="W31">
        <f t="shared" si="5"/>
        <v>488.95000000000005</v>
      </c>
      <c r="X31">
        <f t="shared" si="5"/>
        <v>133.5</v>
      </c>
      <c r="Y31">
        <f t="shared" si="5"/>
        <v>79.5</v>
      </c>
      <c r="Z31" s="4">
        <f t="shared" si="9"/>
        <v>0.42633469229275867</v>
      </c>
      <c r="AA31">
        <f t="shared" si="10"/>
        <v>4499</v>
      </c>
      <c r="AB31">
        <f t="shared" si="11"/>
        <v>1326</v>
      </c>
      <c r="AC31">
        <f t="shared" si="12"/>
        <v>388.9375</v>
      </c>
      <c r="AD31">
        <f t="shared" si="13"/>
        <v>55.625</v>
      </c>
      <c r="AE31">
        <f t="shared" si="14"/>
        <v>0.40571814534394618</v>
      </c>
    </row>
    <row r="32" spans="1:31" x14ac:dyDescent="0.35">
      <c r="A32" t="s">
        <v>51</v>
      </c>
      <c r="B32" t="s">
        <v>52</v>
      </c>
      <c r="C32">
        <f>VLOOKUP(CONCATENATE("2011",'2011_60'!A32),aktivnepesseg!$C$2:$D$2226,2,FALSE)</f>
        <v>26169</v>
      </c>
      <c r="D32">
        <f t="shared" si="7"/>
        <v>15147</v>
      </c>
      <c r="E32">
        <f t="shared" si="8"/>
        <v>11022</v>
      </c>
      <c r="F32">
        <v>2064</v>
      </c>
      <c r="G32">
        <v>1336</v>
      </c>
      <c r="H32">
        <v>689</v>
      </c>
      <c r="I32">
        <v>1168</v>
      </c>
      <c r="J32">
        <v>1432</v>
      </c>
      <c r="K32">
        <v>1184</v>
      </c>
      <c r="L32">
        <v>1078</v>
      </c>
      <c r="M32">
        <v>586</v>
      </c>
      <c r="N32">
        <v>1078</v>
      </c>
      <c r="O32">
        <v>844</v>
      </c>
      <c r="P32">
        <v>1248</v>
      </c>
      <c r="Q32">
        <v>758</v>
      </c>
      <c r="R32">
        <v>1251</v>
      </c>
      <c r="S32">
        <v>339</v>
      </c>
      <c r="T32">
        <v>92</v>
      </c>
      <c r="U32">
        <f t="shared" si="5"/>
        <v>11022</v>
      </c>
      <c r="V32">
        <f t="shared" si="5"/>
        <v>1754.3999999999999</v>
      </c>
      <c r="W32">
        <f t="shared" si="5"/>
        <v>734.80000000000007</v>
      </c>
      <c r="X32">
        <f t="shared" si="5"/>
        <v>206.7</v>
      </c>
      <c r="Y32">
        <f t="shared" si="5"/>
        <v>116.80000000000001</v>
      </c>
      <c r="Z32" s="4">
        <f t="shared" si="9"/>
        <v>0.52866750735603185</v>
      </c>
      <c r="AA32">
        <f t="shared" si="10"/>
        <v>11022</v>
      </c>
      <c r="AB32">
        <f t="shared" si="11"/>
        <v>1677</v>
      </c>
      <c r="AC32">
        <f t="shared" si="12"/>
        <v>584.5</v>
      </c>
      <c r="AD32">
        <f t="shared" si="13"/>
        <v>86.125</v>
      </c>
      <c r="AE32">
        <f t="shared" si="14"/>
        <v>0.51089552523978754</v>
      </c>
    </row>
    <row r="33" spans="1:31" x14ac:dyDescent="0.35">
      <c r="A33" t="s">
        <v>53</v>
      </c>
      <c r="B33" t="s">
        <v>54</v>
      </c>
      <c r="C33">
        <f>VLOOKUP(CONCATENATE("2011",'2011_60'!A33),aktivnepesseg!$C$2:$D$2226,2,FALSE)</f>
        <v>38030</v>
      </c>
      <c r="D33">
        <f t="shared" si="7"/>
        <v>22819</v>
      </c>
      <c r="E33">
        <f t="shared" si="8"/>
        <v>15211</v>
      </c>
      <c r="F33">
        <v>3114</v>
      </c>
      <c r="G33">
        <v>2078</v>
      </c>
      <c r="H33">
        <v>1095</v>
      </c>
      <c r="I33">
        <v>1876</v>
      </c>
      <c r="J33">
        <v>2161</v>
      </c>
      <c r="K33">
        <v>1901</v>
      </c>
      <c r="L33">
        <v>1653</v>
      </c>
      <c r="M33">
        <v>966</v>
      </c>
      <c r="N33">
        <v>1661</v>
      </c>
      <c r="O33">
        <v>1219</v>
      </c>
      <c r="P33">
        <v>1851</v>
      </c>
      <c r="Q33">
        <v>1040</v>
      </c>
      <c r="R33">
        <v>1707</v>
      </c>
      <c r="S33">
        <v>429</v>
      </c>
      <c r="T33">
        <v>68</v>
      </c>
      <c r="U33">
        <f t="shared" si="5"/>
        <v>15211</v>
      </c>
      <c r="V33">
        <f t="shared" si="5"/>
        <v>2646.9</v>
      </c>
      <c r="W33">
        <f t="shared" si="5"/>
        <v>1142.9000000000001</v>
      </c>
      <c r="X33">
        <f t="shared" si="5"/>
        <v>328.5</v>
      </c>
      <c r="Y33">
        <f t="shared" si="5"/>
        <v>187.60000000000002</v>
      </c>
      <c r="Z33" s="4">
        <f t="shared" si="9"/>
        <v>0.51319747567709706</v>
      </c>
      <c r="AA33">
        <f t="shared" si="10"/>
        <v>15211</v>
      </c>
      <c r="AB33">
        <f t="shared" si="11"/>
        <v>2530.125</v>
      </c>
      <c r="AC33">
        <f t="shared" si="12"/>
        <v>909.125</v>
      </c>
      <c r="AD33">
        <f t="shared" si="13"/>
        <v>136.875</v>
      </c>
      <c r="AE33">
        <f t="shared" si="14"/>
        <v>0.494008019984223</v>
      </c>
    </row>
    <row r="34" spans="1:31" x14ac:dyDescent="0.35">
      <c r="A34" t="s">
        <v>55</v>
      </c>
      <c r="B34" t="s">
        <v>56</v>
      </c>
      <c r="C34">
        <f>VLOOKUP(CONCATENATE("2011",'2011_60'!A34),aktivnepesseg!$C$2:$D$2226,2,FALSE)</f>
        <v>52209</v>
      </c>
      <c r="D34">
        <f t="shared" si="7"/>
        <v>26432</v>
      </c>
      <c r="E34">
        <f t="shared" si="8"/>
        <v>25777</v>
      </c>
      <c r="F34">
        <v>3693</v>
      </c>
      <c r="G34">
        <v>2505</v>
      </c>
      <c r="H34">
        <v>1288</v>
      </c>
      <c r="I34">
        <v>2169</v>
      </c>
      <c r="J34">
        <v>2446</v>
      </c>
      <c r="K34">
        <v>2185</v>
      </c>
      <c r="L34">
        <v>1977</v>
      </c>
      <c r="M34">
        <v>1090</v>
      </c>
      <c r="N34">
        <v>1985</v>
      </c>
      <c r="O34">
        <v>1502</v>
      </c>
      <c r="P34">
        <v>2082</v>
      </c>
      <c r="Q34">
        <v>1189</v>
      </c>
      <c r="R34">
        <v>1862</v>
      </c>
      <c r="S34">
        <v>397</v>
      </c>
      <c r="T34">
        <v>62</v>
      </c>
      <c r="U34">
        <f t="shared" si="5"/>
        <v>25777</v>
      </c>
      <c r="V34">
        <f t="shared" si="5"/>
        <v>3139.0499999999997</v>
      </c>
      <c r="W34">
        <f t="shared" si="5"/>
        <v>1377.75</v>
      </c>
      <c r="X34">
        <f t="shared" si="5"/>
        <v>386.4</v>
      </c>
      <c r="Y34">
        <f t="shared" si="5"/>
        <v>216.9</v>
      </c>
      <c r="Z34" s="4">
        <f t="shared" si="9"/>
        <v>0.59179643356509415</v>
      </c>
      <c r="AA34">
        <f t="shared" si="10"/>
        <v>25777</v>
      </c>
      <c r="AB34">
        <f t="shared" si="11"/>
        <v>3000.5625</v>
      </c>
      <c r="AC34">
        <f t="shared" si="12"/>
        <v>1095.9375</v>
      </c>
      <c r="AD34">
        <f t="shared" si="13"/>
        <v>161</v>
      </c>
      <c r="AE34">
        <f t="shared" si="14"/>
        <v>0.57527437798080794</v>
      </c>
    </row>
    <row r="35" spans="1:31" x14ac:dyDescent="0.35">
      <c r="A35" t="s">
        <v>57</v>
      </c>
      <c r="B35" t="s">
        <v>58</v>
      </c>
      <c r="C35">
        <f>VLOOKUP(CONCATENATE("2011",'2011_60'!A35),aktivnepesseg!$C$2:$D$2226,2,FALSE)</f>
        <v>41950</v>
      </c>
      <c r="D35">
        <f t="shared" si="7"/>
        <v>23135</v>
      </c>
      <c r="E35">
        <f t="shared" si="8"/>
        <v>18815</v>
      </c>
      <c r="F35">
        <v>2816</v>
      </c>
      <c r="G35">
        <v>1899</v>
      </c>
      <c r="H35">
        <v>1015</v>
      </c>
      <c r="I35">
        <v>1717</v>
      </c>
      <c r="J35">
        <v>2083</v>
      </c>
      <c r="K35">
        <v>1873</v>
      </c>
      <c r="L35">
        <v>1678</v>
      </c>
      <c r="M35">
        <v>917</v>
      </c>
      <c r="N35">
        <v>1848</v>
      </c>
      <c r="O35">
        <v>1320</v>
      </c>
      <c r="P35">
        <v>1956</v>
      </c>
      <c r="Q35">
        <v>1182</v>
      </c>
      <c r="R35">
        <v>2182</v>
      </c>
      <c r="S35">
        <v>560</v>
      </c>
      <c r="T35">
        <v>89</v>
      </c>
      <c r="U35">
        <f t="shared" si="5"/>
        <v>18815</v>
      </c>
      <c r="V35">
        <f t="shared" si="5"/>
        <v>2393.6</v>
      </c>
      <c r="W35">
        <f t="shared" si="5"/>
        <v>1044.45</v>
      </c>
      <c r="X35">
        <f t="shared" si="5"/>
        <v>304.5</v>
      </c>
      <c r="Y35">
        <f t="shared" si="5"/>
        <v>171.70000000000002</v>
      </c>
      <c r="Z35" s="4">
        <f t="shared" si="9"/>
        <v>0.54181764004767585</v>
      </c>
      <c r="AA35">
        <f t="shared" si="10"/>
        <v>18815</v>
      </c>
      <c r="AB35">
        <f t="shared" si="11"/>
        <v>2288</v>
      </c>
      <c r="AC35">
        <f t="shared" si="12"/>
        <v>830.8125</v>
      </c>
      <c r="AD35">
        <f t="shared" si="13"/>
        <v>126.875</v>
      </c>
      <c r="AE35">
        <f t="shared" si="14"/>
        <v>0.52588051251489865</v>
      </c>
    </row>
    <row r="36" spans="1:31" x14ac:dyDescent="0.35">
      <c r="A36" t="s">
        <v>59</v>
      </c>
      <c r="B36" t="s">
        <v>60</v>
      </c>
      <c r="C36">
        <f>VLOOKUP(CONCATENATE("2011",'2011_60'!A36),aktivnepesseg!$C$2:$D$2226,2,FALSE)</f>
        <v>52763</v>
      </c>
      <c r="D36">
        <f t="shared" si="7"/>
        <v>31542</v>
      </c>
      <c r="E36">
        <f t="shared" si="8"/>
        <v>21221</v>
      </c>
      <c r="F36">
        <v>3777</v>
      </c>
      <c r="G36">
        <v>2718</v>
      </c>
      <c r="H36">
        <v>1518</v>
      </c>
      <c r="I36">
        <v>2457</v>
      </c>
      <c r="J36">
        <v>2985</v>
      </c>
      <c r="K36">
        <v>2807</v>
      </c>
      <c r="L36">
        <v>2509</v>
      </c>
      <c r="M36">
        <v>1398</v>
      </c>
      <c r="N36">
        <v>2672</v>
      </c>
      <c r="O36">
        <v>2019</v>
      </c>
      <c r="P36">
        <v>2818</v>
      </c>
      <c r="Q36">
        <v>1443</v>
      </c>
      <c r="R36">
        <v>1961</v>
      </c>
      <c r="S36">
        <v>399</v>
      </c>
      <c r="T36">
        <v>61</v>
      </c>
      <c r="U36">
        <f t="shared" si="5"/>
        <v>21221</v>
      </c>
      <c r="V36">
        <f t="shared" si="5"/>
        <v>3210.45</v>
      </c>
      <c r="W36">
        <f t="shared" si="5"/>
        <v>1494.9</v>
      </c>
      <c r="X36">
        <f t="shared" si="5"/>
        <v>455.4</v>
      </c>
      <c r="Y36">
        <f t="shared" si="5"/>
        <v>245.70000000000002</v>
      </c>
      <c r="Z36" s="4">
        <f t="shared" si="9"/>
        <v>0.50466141045808621</v>
      </c>
      <c r="AA36">
        <f t="shared" si="10"/>
        <v>21221</v>
      </c>
      <c r="AB36">
        <f t="shared" si="11"/>
        <v>3068.8125</v>
      </c>
      <c r="AC36">
        <f t="shared" si="12"/>
        <v>1189.125</v>
      </c>
      <c r="AD36">
        <f t="shared" si="13"/>
        <v>189.75</v>
      </c>
      <c r="AE36">
        <f t="shared" si="14"/>
        <v>0.48649029623031292</v>
      </c>
    </row>
    <row r="37" spans="1:31" x14ac:dyDescent="0.35">
      <c r="A37" t="s">
        <v>61</v>
      </c>
      <c r="B37" t="s">
        <v>62</v>
      </c>
      <c r="C37">
        <f>VLOOKUP(CONCATENATE("2011",'2011_60'!A37),aktivnepesseg!$C$2:$D$2226,2,FALSE)</f>
        <v>86537</v>
      </c>
      <c r="D37">
        <f t="shared" si="7"/>
        <v>57865</v>
      </c>
      <c r="E37">
        <f t="shared" si="8"/>
        <v>28672</v>
      </c>
      <c r="F37">
        <v>7620</v>
      </c>
      <c r="G37">
        <v>4296</v>
      </c>
      <c r="H37">
        <v>2368</v>
      </c>
      <c r="I37">
        <v>3796</v>
      </c>
      <c r="J37">
        <v>4689</v>
      </c>
      <c r="K37">
        <v>4327</v>
      </c>
      <c r="L37">
        <v>4086</v>
      </c>
      <c r="M37">
        <v>2271</v>
      </c>
      <c r="N37">
        <v>4214</v>
      </c>
      <c r="O37">
        <v>3358</v>
      </c>
      <c r="P37">
        <v>5216</v>
      </c>
      <c r="Q37">
        <v>3272</v>
      </c>
      <c r="R37">
        <v>5961</v>
      </c>
      <c r="S37">
        <v>1855</v>
      </c>
      <c r="T37">
        <v>536</v>
      </c>
      <c r="U37">
        <f t="shared" si="5"/>
        <v>28672</v>
      </c>
      <c r="V37">
        <f t="shared" si="5"/>
        <v>6477</v>
      </c>
      <c r="W37">
        <f t="shared" si="5"/>
        <v>2362.8000000000002</v>
      </c>
      <c r="X37">
        <f t="shared" si="5"/>
        <v>710.4</v>
      </c>
      <c r="Y37">
        <f t="shared" si="5"/>
        <v>379.6</v>
      </c>
      <c r="Z37" s="4">
        <f t="shared" si="9"/>
        <v>0.44607277811803048</v>
      </c>
      <c r="AA37">
        <f t="shared" si="10"/>
        <v>28672</v>
      </c>
      <c r="AB37">
        <f t="shared" si="11"/>
        <v>6191.25</v>
      </c>
      <c r="AC37">
        <f t="shared" si="12"/>
        <v>1879.5</v>
      </c>
      <c r="AD37">
        <f t="shared" si="13"/>
        <v>296</v>
      </c>
      <c r="AE37">
        <f t="shared" si="14"/>
        <v>0.4280105619561575</v>
      </c>
    </row>
    <row r="38" spans="1:31" x14ac:dyDescent="0.35">
      <c r="A38" t="s">
        <v>63</v>
      </c>
      <c r="B38" t="s">
        <v>64</v>
      </c>
      <c r="C38">
        <f>VLOOKUP(CONCATENATE("2011",'2011_60'!A38),aktivnepesseg!$C$2:$D$2226,2,FALSE)</f>
        <v>31231</v>
      </c>
      <c r="D38">
        <f t="shared" si="7"/>
        <v>24186</v>
      </c>
      <c r="E38">
        <f t="shared" si="8"/>
        <v>7045</v>
      </c>
      <c r="F38">
        <v>3521</v>
      </c>
      <c r="G38">
        <v>1672</v>
      </c>
      <c r="H38">
        <v>923</v>
      </c>
      <c r="I38">
        <v>1551</v>
      </c>
      <c r="J38">
        <v>1846</v>
      </c>
      <c r="K38">
        <v>1516</v>
      </c>
      <c r="L38">
        <v>1619</v>
      </c>
      <c r="M38">
        <v>836</v>
      </c>
      <c r="N38">
        <v>1655</v>
      </c>
      <c r="O38">
        <v>1310</v>
      </c>
      <c r="P38">
        <v>1990</v>
      </c>
      <c r="Q38">
        <v>1374</v>
      </c>
      <c r="R38">
        <v>2753</v>
      </c>
      <c r="S38">
        <v>1144</v>
      </c>
      <c r="T38">
        <v>476</v>
      </c>
      <c r="U38">
        <f t="shared" si="5"/>
        <v>7045</v>
      </c>
      <c r="V38">
        <f t="shared" si="5"/>
        <v>2992.85</v>
      </c>
      <c r="W38">
        <f t="shared" si="5"/>
        <v>919.6</v>
      </c>
      <c r="X38">
        <f t="shared" si="5"/>
        <v>276.89999999999998</v>
      </c>
      <c r="Y38">
        <f t="shared" si="5"/>
        <v>155.10000000000002</v>
      </c>
      <c r="Z38" s="4">
        <f t="shared" si="9"/>
        <v>0.36468412794979349</v>
      </c>
      <c r="AA38">
        <f t="shared" si="10"/>
        <v>7045</v>
      </c>
      <c r="AB38">
        <f t="shared" si="11"/>
        <v>2860.8125</v>
      </c>
      <c r="AC38">
        <f t="shared" si="12"/>
        <v>731.5</v>
      </c>
      <c r="AD38">
        <f t="shared" si="13"/>
        <v>115.375</v>
      </c>
      <c r="AE38">
        <f t="shared" si="14"/>
        <v>0.34429533156158942</v>
      </c>
    </row>
    <row r="39" spans="1:31" x14ac:dyDescent="0.35">
      <c r="A39" t="s">
        <v>65</v>
      </c>
      <c r="B39" t="s">
        <v>66</v>
      </c>
      <c r="C39">
        <f>VLOOKUP(CONCATENATE("2011",'2011_60'!A39),aktivnepesseg!$C$2:$D$2226,2,FALSE)</f>
        <v>78208</v>
      </c>
      <c r="D39">
        <f t="shared" si="7"/>
        <v>47899</v>
      </c>
      <c r="E39">
        <f t="shared" si="8"/>
        <v>30309</v>
      </c>
      <c r="F39">
        <v>5935</v>
      </c>
      <c r="G39">
        <v>3870</v>
      </c>
      <c r="H39">
        <v>2096</v>
      </c>
      <c r="I39">
        <v>3622</v>
      </c>
      <c r="J39">
        <v>4159</v>
      </c>
      <c r="K39">
        <v>3711</v>
      </c>
      <c r="L39">
        <v>3421</v>
      </c>
      <c r="M39">
        <v>1969</v>
      </c>
      <c r="N39">
        <v>3510</v>
      </c>
      <c r="O39">
        <v>2678</v>
      </c>
      <c r="P39">
        <v>3987</v>
      </c>
      <c r="Q39">
        <v>2596</v>
      </c>
      <c r="R39">
        <v>4723</v>
      </c>
      <c r="S39">
        <v>1343</v>
      </c>
      <c r="T39">
        <v>279</v>
      </c>
      <c r="U39">
        <f t="shared" si="5"/>
        <v>30309</v>
      </c>
      <c r="V39">
        <f t="shared" si="5"/>
        <v>5044.75</v>
      </c>
      <c r="W39">
        <f t="shared" si="5"/>
        <v>2128.5</v>
      </c>
      <c r="X39">
        <f t="shared" si="5"/>
        <v>628.79999999999995</v>
      </c>
      <c r="Y39">
        <f t="shared" si="5"/>
        <v>362.20000000000005</v>
      </c>
      <c r="Z39" s="4">
        <f t="shared" si="9"/>
        <v>0.49193496828968902</v>
      </c>
      <c r="AA39">
        <f t="shared" si="10"/>
        <v>30309</v>
      </c>
      <c r="AB39">
        <f t="shared" si="11"/>
        <v>4822.1875</v>
      </c>
      <c r="AC39">
        <f t="shared" si="12"/>
        <v>1693.125</v>
      </c>
      <c r="AD39">
        <f t="shared" si="13"/>
        <v>262</v>
      </c>
      <c r="AE39">
        <f t="shared" si="14"/>
        <v>0.47420100884819966</v>
      </c>
    </row>
    <row r="40" spans="1:31" x14ac:dyDescent="0.35">
      <c r="A40" t="s">
        <v>67</v>
      </c>
      <c r="B40" t="s">
        <v>68</v>
      </c>
      <c r="C40">
        <f>VLOOKUP(CONCATENATE("2011",'2011_60'!A40),aktivnepesseg!$C$2:$D$2226,2,FALSE)</f>
        <v>77423</v>
      </c>
      <c r="D40">
        <f t="shared" si="7"/>
        <v>49074</v>
      </c>
      <c r="E40">
        <f t="shared" si="8"/>
        <v>28349</v>
      </c>
      <c r="F40">
        <v>6087</v>
      </c>
      <c r="G40">
        <v>3800</v>
      </c>
      <c r="H40">
        <v>1998</v>
      </c>
      <c r="I40">
        <v>3431</v>
      </c>
      <c r="J40">
        <v>4184</v>
      </c>
      <c r="K40">
        <v>3863</v>
      </c>
      <c r="L40">
        <v>3494</v>
      </c>
      <c r="M40">
        <v>1974</v>
      </c>
      <c r="N40">
        <v>3699</v>
      </c>
      <c r="O40">
        <v>2904</v>
      </c>
      <c r="P40">
        <v>4421</v>
      </c>
      <c r="Q40">
        <v>2682</v>
      </c>
      <c r="R40">
        <v>4695</v>
      </c>
      <c r="S40">
        <v>1459</v>
      </c>
      <c r="T40">
        <v>383</v>
      </c>
      <c r="U40">
        <f t="shared" ref="U40:Y71" si="15">E40*E$5</f>
        <v>28349</v>
      </c>
      <c r="V40">
        <f t="shared" si="15"/>
        <v>5173.95</v>
      </c>
      <c r="W40">
        <f t="shared" si="15"/>
        <v>2090</v>
      </c>
      <c r="X40">
        <f t="shared" si="15"/>
        <v>599.4</v>
      </c>
      <c r="Y40">
        <f t="shared" si="15"/>
        <v>343.1</v>
      </c>
      <c r="Z40" s="4">
        <f t="shared" si="9"/>
        <v>0.47215233199436857</v>
      </c>
      <c r="AA40">
        <f t="shared" si="10"/>
        <v>28349</v>
      </c>
      <c r="AB40">
        <f t="shared" si="11"/>
        <v>4945.6875</v>
      </c>
      <c r="AC40">
        <f t="shared" si="12"/>
        <v>1662.5</v>
      </c>
      <c r="AD40">
        <f t="shared" si="13"/>
        <v>249.75</v>
      </c>
      <c r="AE40">
        <f t="shared" si="14"/>
        <v>0.45473486560841092</v>
      </c>
    </row>
    <row r="41" spans="1:31" x14ac:dyDescent="0.35">
      <c r="A41" t="s">
        <v>69</v>
      </c>
      <c r="B41" t="s">
        <v>70</v>
      </c>
      <c r="C41">
        <f>VLOOKUP(CONCATENATE("2011",'2011_60'!A41),aktivnepesseg!$C$2:$D$2226,2,FALSE)</f>
        <v>48911</v>
      </c>
      <c r="D41">
        <f t="shared" si="7"/>
        <v>34832</v>
      </c>
      <c r="E41">
        <f t="shared" si="8"/>
        <v>14079</v>
      </c>
      <c r="F41">
        <v>4455</v>
      </c>
      <c r="G41">
        <v>3220</v>
      </c>
      <c r="H41">
        <v>1754</v>
      </c>
      <c r="I41">
        <v>2882</v>
      </c>
      <c r="J41">
        <v>3315</v>
      </c>
      <c r="K41">
        <v>3082</v>
      </c>
      <c r="L41">
        <v>2869</v>
      </c>
      <c r="M41">
        <v>1531</v>
      </c>
      <c r="N41">
        <v>2870</v>
      </c>
      <c r="O41">
        <v>2041</v>
      </c>
      <c r="P41">
        <v>2871</v>
      </c>
      <c r="Q41">
        <v>1504</v>
      </c>
      <c r="R41">
        <v>1937</v>
      </c>
      <c r="S41">
        <v>428</v>
      </c>
      <c r="T41">
        <v>73</v>
      </c>
      <c r="U41">
        <f t="shared" si="15"/>
        <v>14079</v>
      </c>
      <c r="V41">
        <f t="shared" si="15"/>
        <v>3786.75</v>
      </c>
      <c r="W41">
        <f t="shared" si="15"/>
        <v>1771.0000000000002</v>
      </c>
      <c r="X41">
        <f t="shared" si="15"/>
        <v>526.19999999999993</v>
      </c>
      <c r="Y41">
        <f t="shared" si="15"/>
        <v>288.2</v>
      </c>
      <c r="Z41" s="4">
        <f t="shared" si="9"/>
        <v>0.41812986853673001</v>
      </c>
      <c r="AA41">
        <f t="shared" si="10"/>
        <v>14079</v>
      </c>
      <c r="AB41">
        <f t="shared" si="11"/>
        <v>3619.6875</v>
      </c>
      <c r="AC41">
        <f t="shared" si="12"/>
        <v>1408.75</v>
      </c>
      <c r="AD41">
        <f t="shared" si="13"/>
        <v>219.25</v>
      </c>
      <c r="AE41">
        <f t="shared" si="14"/>
        <v>0.39513989695569501</v>
      </c>
    </row>
    <row r="42" spans="1:31" x14ac:dyDescent="0.35">
      <c r="A42" t="s">
        <v>71</v>
      </c>
      <c r="B42" t="s">
        <v>72</v>
      </c>
      <c r="C42">
        <f>VLOOKUP(CONCATENATE("2011",'2011_60'!A42),aktivnepesseg!$C$2:$D$2226,2,FALSE)</f>
        <v>42567</v>
      </c>
      <c r="D42">
        <f t="shared" si="7"/>
        <v>31612</v>
      </c>
      <c r="E42">
        <f t="shared" si="8"/>
        <v>10955</v>
      </c>
      <c r="F42">
        <v>4280</v>
      </c>
      <c r="G42">
        <v>2600</v>
      </c>
      <c r="H42">
        <v>1343</v>
      </c>
      <c r="I42">
        <v>2389</v>
      </c>
      <c r="J42">
        <v>2973</v>
      </c>
      <c r="K42">
        <v>2431</v>
      </c>
      <c r="L42">
        <v>2468</v>
      </c>
      <c r="M42">
        <v>1277</v>
      </c>
      <c r="N42">
        <v>2453</v>
      </c>
      <c r="O42">
        <v>1750</v>
      </c>
      <c r="P42">
        <v>2551</v>
      </c>
      <c r="Q42">
        <v>1560</v>
      </c>
      <c r="R42">
        <v>2506</v>
      </c>
      <c r="S42">
        <v>811</v>
      </c>
      <c r="T42">
        <v>220</v>
      </c>
      <c r="U42">
        <f t="shared" si="15"/>
        <v>10955</v>
      </c>
      <c r="V42">
        <f t="shared" si="15"/>
        <v>3638</v>
      </c>
      <c r="W42">
        <f t="shared" si="15"/>
        <v>1430.0000000000002</v>
      </c>
      <c r="X42">
        <f t="shared" si="15"/>
        <v>402.9</v>
      </c>
      <c r="Y42">
        <f t="shared" si="15"/>
        <v>238.9</v>
      </c>
      <c r="Z42" s="4">
        <f t="shared" si="9"/>
        <v>0.39149575962600142</v>
      </c>
      <c r="AA42">
        <f t="shared" si="10"/>
        <v>10955</v>
      </c>
      <c r="AB42">
        <f t="shared" si="11"/>
        <v>3477.5</v>
      </c>
      <c r="AC42">
        <f t="shared" si="12"/>
        <v>1137.5</v>
      </c>
      <c r="AD42">
        <f t="shared" si="13"/>
        <v>167.875</v>
      </c>
      <c r="AE42">
        <f t="shared" si="14"/>
        <v>0.36972008833133646</v>
      </c>
    </row>
    <row r="43" spans="1:31" x14ac:dyDescent="0.35">
      <c r="A43" t="s">
        <v>73</v>
      </c>
      <c r="B43" t="s">
        <v>74</v>
      </c>
      <c r="C43">
        <f>VLOOKUP(CONCATENATE("2011",'2011_60'!A43),aktivnepesseg!$C$2:$D$2226,2,FALSE)</f>
        <v>52265</v>
      </c>
      <c r="D43">
        <f t="shared" si="7"/>
        <v>39786</v>
      </c>
      <c r="E43">
        <f t="shared" si="8"/>
        <v>12479</v>
      </c>
      <c r="F43">
        <v>5129</v>
      </c>
      <c r="G43">
        <v>3429</v>
      </c>
      <c r="H43">
        <v>1842</v>
      </c>
      <c r="I43">
        <v>3145</v>
      </c>
      <c r="J43">
        <v>3980</v>
      </c>
      <c r="K43">
        <v>3440</v>
      </c>
      <c r="L43">
        <v>3128</v>
      </c>
      <c r="M43">
        <v>1701</v>
      </c>
      <c r="N43">
        <v>3076</v>
      </c>
      <c r="O43">
        <v>2391</v>
      </c>
      <c r="P43">
        <v>3352</v>
      </c>
      <c r="Q43">
        <v>1783</v>
      </c>
      <c r="R43">
        <v>2616</v>
      </c>
      <c r="S43">
        <v>622</v>
      </c>
      <c r="T43">
        <v>152</v>
      </c>
      <c r="U43">
        <f t="shared" si="15"/>
        <v>12479</v>
      </c>
      <c r="V43">
        <f t="shared" si="15"/>
        <v>4359.6499999999996</v>
      </c>
      <c r="W43">
        <f t="shared" si="15"/>
        <v>1885.95</v>
      </c>
      <c r="X43">
        <f t="shared" si="15"/>
        <v>552.6</v>
      </c>
      <c r="Y43">
        <f t="shared" si="15"/>
        <v>314.5</v>
      </c>
      <c r="Z43" s="4">
        <f t="shared" si="9"/>
        <v>0.37485315220510862</v>
      </c>
      <c r="AA43">
        <f t="shared" si="10"/>
        <v>12479</v>
      </c>
      <c r="AB43">
        <f t="shared" si="11"/>
        <v>4167.3125</v>
      </c>
      <c r="AC43">
        <f t="shared" si="12"/>
        <v>1500.1875</v>
      </c>
      <c r="AD43">
        <f t="shared" si="13"/>
        <v>230.25</v>
      </c>
      <c r="AE43">
        <f t="shared" si="14"/>
        <v>0.35160719410695496</v>
      </c>
    </row>
    <row r="44" spans="1:31" x14ac:dyDescent="0.35">
      <c r="A44" t="s">
        <v>75</v>
      </c>
      <c r="B44" t="s">
        <v>76</v>
      </c>
      <c r="C44">
        <f>VLOOKUP(CONCATENATE("2011",'2011_60'!A44),aktivnepesseg!$C$2:$D$2226,2,FALSE)</f>
        <v>60208</v>
      </c>
      <c r="D44">
        <f t="shared" si="7"/>
        <v>44017</v>
      </c>
      <c r="E44">
        <f t="shared" si="8"/>
        <v>16191</v>
      </c>
      <c r="F44">
        <v>5840</v>
      </c>
      <c r="G44">
        <v>3865</v>
      </c>
      <c r="H44">
        <v>1999</v>
      </c>
      <c r="I44">
        <v>3385</v>
      </c>
      <c r="J44">
        <v>4265</v>
      </c>
      <c r="K44">
        <v>3696</v>
      </c>
      <c r="L44">
        <v>3535</v>
      </c>
      <c r="M44">
        <v>1792</v>
      </c>
      <c r="N44">
        <v>3520</v>
      </c>
      <c r="O44">
        <v>2665</v>
      </c>
      <c r="P44">
        <v>3618</v>
      </c>
      <c r="Q44">
        <v>1961</v>
      </c>
      <c r="R44">
        <v>2927</v>
      </c>
      <c r="S44">
        <v>732</v>
      </c>
      <c r="T44">
        <v>217</v>
      </c>
      <c r="U44">
        <f t="shared" si="15"/>
        <v>16191</v>
      </c>
      <c r="V44">
        <f t="shared" si="15"/>
        <v>4964</v>
      </c>
      <c r="W44">
        <f t="shared" si="15"/>
        <v>2125.75</v>
      </c>
      <c r="X44">
        <f t="shared" si="15"/>
        <v>599.69999999999993</v>
      </c>
      <c r="Y44">
        <f t="shared" si="15"/>
        <v>338.5</v>
      </c>
      <c r="Z44" s="4">
        <f t="shared" si="9"/>
        <v>0.40225468376295509</v>
      </c>
      <c r="AA44">
        <f t="shared" si="10"/>
        <v>16191</v>
      </c>
      <c r="AB44">
        <f t="shared" si="11"/>
        <v>4745</v>
      </c>
      <c r="AC44">
        <f t="shared" si="12"/>
        <v>1690.9375</v>
      </c>
      <c r="AD44">
        <f t="shared" si="13"/>
        <v>249.875</v>
      </c>
      <c r="AE44">
        <f t="shared" si="14"/>
        <v>0.37996300325538135</v>
      </c>
    </row>
    <row r="45" spans="1:31" x14ac:dyDescent="0.35">
      <c r="A45" t="s">
        <v>77</v>
      </c>
      <c r="B45" t="s">
        <v>78</v>
      </c>
      <c r="C45">
        <f>VLOOKUP(CONCATENATE("2011",'2011_60'!A45),aktivnepesseg!$C$2:$D$2226,2,FALSE)</f>
        <v>36569</v>
      </c>
      <c r="D45">
        <f t="shared" si="7"/>
        <v>26870</v>
      </c>
      <c r="E45">
        <f t="shared" si="8"/>
        <v>9699</v>
      </c>
      <c r="F45">
        <v>3376</v>
      </c>
      <c r="G45">
        <v>2358</v>
      </c>
      <c r="H45">
        <v>1327</v>
      </c>
      <c r="I45">
        <v>1977</v>
      </c>
      <c r="J45">
        <v>2551</v>
      </c>
      <c r="K45">
        <v>2413</v>
      </c>
      <c r="L45">
        <v>2083</v>
      </c>
      <c r="M45">
        <v>1205</v>
      </c>
      <c r="N45">
        <v>2161</v>
      </c>
      <c r="O45">
        <v>1684</v>
      </c>
      <c r="P45">
        <v>2329</v>
      </c>
      <c r="Q45">
        <v>1205</v>
      </c>
      <c r="R45">
        <v>1715</v>
      </c>
      <c r="S45">
        <v>405</v>
      </c>
      <c r="T45">
        <v>81</v>
      </c>
      <c r="U45">
        <f t="shared" si="15"/>
        <v>9699</v>
      </c>
      <c r="V45">
        <f t="shared" si="15"/>
        <v>2869.6</v>
      </c>
      <c r="W45">
        <f t="shared" si="15"/>
        <v>1296.9000000000001</v>
      </c>
      <c r="X45">
        <f t="shared" si="15"/>
        <v>398.09999999999997</v>
      </c>
      <c r="Y45">
        <f t="shared" si="15"/>
        <v>197.70000000000002</v>
      </c>
      <c r="Z45" s="4">
        <f t="shared" si="9"/>
        <v>0.3954524323880883</v>
      </c>
      <c r="AA45">
        <f t="shared" si="10"/>
        <v>9699</v>
      </c>
      <c r="AB45">
        <f t="shared" si="11"/>
        <v>2743</v>
      </c>
      <c r="AC45">
        <f t="shared" si="12"/>
        <v>1031.625</v>
      </c>
      <c r="AD45">
        <f t="shared" si="13"/>
        <v>165.875</v>
      </c>
      <c r="AE45">
        <f t="shared" si="14"/>
        <v>0.37297984631791953</v>
      </c>
    </row>
    <row r="46" spans="1:31" x14ac:dyDescent="0.35">
      <c r="A46" t="s">
        <v>79</v>
      </c>
      <c r="B46" t="s">
        <v>80</v>
      </c>
      <c r="C46">
        <f>VLOOKUP(CONCATENATE("2011",'2011_60'!A46),aktivnepesseg!$C$2:$D$2226,2,FALSE)</f>
        <v>39159</v>
      </c>
      <c r="D46">
        <f t="shared" si="7"/>
        <v>27447</v>
      </c>
      <c r="E46">
        <f t="shared" si="8"/>
        <v>11712</v>
      </c>
      <c r="F46">
        <v>3521</v>
      </c>
      <c r="G46">
        <v>2547</v>
      </c>
      <c r="H46">
        <v>1365</v>
      </c>
      <c r="I46">
        <v>2286</v>
      </c>
      <c r="J46">
        <v>2832</v>
      </c>
      <c r="K46">
        <v>2365</v>
      </c>
      <c r="L46">
        <v>2168</v>
      </c>
      <c r="M46">
        <v>1185</v>
      </c>
      <c r="N46">
        <v>2210</v>
      </c>
      <c r="O46">
        <v>1493</v>
      </c>
      <c r="P46">
        <v>2172</v>
      </c>
      <c r="Q46">
        <v>1182</v>
      </c>
      <c r="R46">
        <v>1678</v>
      </c>
      <c r="S46">
        <v>387</v>
      </c>
      <c r="T46">
        <v>56</v>
      </c>
      <c r="U46">
        <f t="shared" si="15"/>
        <v>11712</v>
      </c>
      <c r="V46">
        <f t="shared" si="15"/>
        <v>2992.85</v>
      </c>
      <c r="W46">
        <f t="shared" si="15"/>
        <v>1400.8500000000001</v>
      </c>
      <c r="X46">
        <f t="shared" si="15"/>
        <v>409.5</v>
      </c>
      <c r="Y46">
        <f t="shared" si="15"/>
        <v>228.60000000000002</v>
      </c>
      <c r="Z46" s="4">
        <f t="shared" si="9"/>
        <v>0.42758497408003265</v>
      </c>
      <c r="AA46">
        <f t="shared" si="10"/>
        <v>11712</v>
      </c>
      <c r="AB46">
        <f t="shared" si="11"/>
        <v>2860.8125</v>
      </c>
      <c r="AC46">
        <f t="shared" si="12"/>
        <v>1114.3125</v>
      </c>
      <c r="AD46">
        <f t="shared" si="13"/>
        <v>170.625</v>
      </c>
      <c r="AE46">
        <f t="shared" si="14"/>
        <v>0.40495799177711383</v>
      </c>
    </row>
    <row r="47" spans="1:31" x14ac:dyDescent="0.35">
      <c r="A47" t="s">
        <v>81</v>
      </c>
      <c r="B47" t="s">
        <v>82</v>
      </c>
      <c r="C47">
        <f>VLOOKUP(CONCATENATE("2011",'2011_60'!A47),aktivnepesseg!$C$2:$D$2226,2,FALSE)</f>
        <v>47003</v>
      </c>
      <c r="D47">
        <f t="shared" si="7"/>
        <v>33975</v>
      </c>
      <c r="E47">
        <f t="shared" si="8"/>
        <v>13028</v>
      </c>
      <c r="F47">
        <v>4280</v>
      </c>
      <c r="G47">
        <v>3070</v>
      </c>
      <c r="H47">
        <v>1663</v>
      </c>
      <c r="I47">
        <v>2698</v>
      </c>
      <c r="J47">
        <v>3394</v>
      </c>
      <c r="K47">
        <v>3117</v>
      </c>
      <c r="L47">
        <v>2935</v>
      </c>
      <c r="M47">
        <v>1487</v>
      </c>
      <c r="N47">
        <v>2775</v>
      </c>
      <c r="O47">
        <v>2058</v>
      </c>
      <c r="P47">
        <v>2855</v>
      </c>
      <c r="Q47">
        <v>1405</v>
      </c>
      <c r="R47">
        <v>1822</v>
      </c>
      <c r="S47">
        <v>352</v>
      </c>
      <c r="T47">
        <v>64</v>
      </c>
      <c r="U47">
        <f t="shared" si="15"/>
        <v>13028</v>
      </c>
      <c r="V47">
        <f t="shared" si="15"/>
        <v>3638</v>
      </c>
      <c r="W47">
        <f t="shared" si="15"/>
        <v>1688.5000000000002</v>
      </c>
      <c r="X47">
        <f t="shared" si="15"/>
        <v>498.9</v>
      </c>
      <c r="Y47">
        <f t="shared" si="15"/>
        <v>269.8</v>
      </c>
      <c r="Z47" s="4">
        <f t="shared" si="9"/>
        <v>0.40685062655575177</v>
      </c>
      <c r="AA47">
        <f t="shared" si="10"/>
        <v>13028</v>
      </c>
      <c r="AB47">
        <f t="shared" si="11"/>
        <v>3477.5</v>
      </c>
      <c r="AC47">
        <f t="shared" si="12"/>
        <v>1343.125</v>
      </c>
      <c r="AD47">
        <f t="shared" si="13"/>
        <v>207.875</v>
      </c>
      <c r="AE47">
        <f t="shared" si="14"/>
        <v>0.38415633044699277</v>
      </c>
    </row>
    <row r="48" spans="1:31" x14ac:dyDescent="0.35">
      <c r="A48" t="s">
        <v>83</v>
      </c>
      <c r="B48" t="s">
        <v>84</v>
      </c>
      <c r="C48">
        <f>VLOOKUP(CONCATENATE("2011",'2011_60'!A48),aktivnepesseg!$C$2:$D$2226,2,FALSE)</f>
        <v>32345</v>
      </c>
      <c r="D48">
        <f t="shared" si="7"/>
        <v>23321</v>
      </c>
      <c r="E48">
        <f t="shared" si="8"/>
        <v>9024</v>
      </c>
      <c r="F48">
        <v>3098</v>
      </c>
      <c r="G48">
        <v>1982</v>
      </c>
      <c r="H48">
        <v>1066</v>
      </c>
      <c r="I48">
        <v>1764</v>
      </c>
      <c r="J48">
        <v>2169</v>
      </c>
      <c r="K48">
        <v>1919</v>
      </c>
      <c r="L48">
        <v>1899</v>
      </c>
      <c r="M48">
        <v>968</v>
      </c>
      <c r="N48">
        <v>1890</v>
      </c>
      <c r="O48">
        <v>1356</v>
      </c>
      <c r="P48">
        <v>1770</v>
      </c>
      <c r="Q48">
        <v>1063</v>
      </c>
      <c r="R48">
        <v>1665</v>
      </c>
      <c r="S48">
        <v>560</v>
      </c>
      <c r="T48">
        <v>152</v>
      </c>
      <c r="U48">
        <f t="shared" si="15"/>
        <v>9024</v>
      </c>
      <c r="V48">
        <f t="shared" si="15"/>
        <v>2633.2999999999997</v>
      </c>
      <c r="W48">
        <f t="shared" si="15"/>
        <v>1090.1000000000001</v>
      </c>
      <c r="X48">
        <f t="shared" si="15"/>
        <v>319.8</v>
      </c>
      <c r="Y48">
        <f t="shared" si="15"/>
        <v>176.4</v>
      </c>
      <c r="Z48" s="4">
        <f t="shared" si="9"/>
        <v>0.40944813727005713</v>
      </c>
      <c r="AA48">
        <f t="shared" si="10"/>
        <v>9024</v>
      </c>
      <c r="AB48">
        <f t="shared" si="11"/>
        <v>2517.125</v>
      </c>
      <c r="AC48">
        <f t="shared" si="12"/>
        <v>867.125</v>
      </c>
      <c r="AD48">
        <f t="shared" si="13"/>
        <v>133.25</v>
      </c>
      <c r="AE48">
        <f t="shared" si="14"/>
        <v>0.38774153655897359</v>
      </c>
    </row>
    <row r="49" spans="1:31" x14ac:dyDescent="0.35">
      <c r="A49" t="s">
        <v>85</v>
      </c>
      <c r="B49" t="s">
        <v>86</v>
      </c>
      <c r="C49">
        <f>VLOOKUP(CONCATENATE("2011",'2011_60'!A49),aktivnepesseg!$C$2:$D$2226,2,FALSE)</f>
        <v>13263</v>
      </c>
      <c r="D49">
        <f t="shared" si="7"/>
        <v>9422</v>
      </c>
      <c r="E49">
        <f t="shared" si="8"/>
        <v>3841</v>
      </c>
      <c r="F49">
        <v>1248</v>
      </c>
      <c r="G49">
        <v>870</v>
      </c>
      <c r="H49">
        <v>447</v>
      </c>
      <c r="I49">
        <v>762</v>
      </c>
      <c r="J49">
        <v>986</v>
      </c>
      <c r="K49">
        <v>848</v>
      </c>
      <c r="L49">
        <v>750</v>
      </c>
      <c r="M49">
        <v>408</v>
      </c>
      <c r="N49">
        <v>708</v>
      </c>
      <c r="O49">
        <v>550</v>
      </c>
      <c r="P49">
        <v>780</v>
      </c>
      <c r="Q49">
        <v>398</v>
      </c>
      <c r="R49">
        <v>502</v>
      </c>
      <c r="S49">
        <v>131</v>
      </c>
      <c r="T49">
        <v>34</v>
      </c>
      <c r="U49">
        <f t="shared" si="15"/>
        <v>3841</v>
      </c>
      <c r="V49">
        <f t="shared" si="15"/>
        <v>1060.8</v>
      </c>
      <c r="W49">
        <f t="shared" si="15"/>
        <v>478.50000000000006</v>
      </c>
      <c r="X49">
        <f t="shared" si="15"/>
        <v>134.1</v>
      </c>
      <c r="Y49">
        <f t="shared" si="15"/>
        <v>76.2</v>
      </c>
      <c r="Z49" s="4">
        <f t="shared" si="9"/>
        <v>0.42151851014099379</v>
      </c>
      <c r="AA49">
        <f t="shared" si="10"/>
        <v>3841</v>
      </c>
      <c r="AB49">
        <f t="shared" si="11"/>
        <v>1014</v>
      </c>
      <c r="AC49">
        <f t="shared" si="12"/>
        <v>380.625</v>
      </c>
      <c r="AD49">
        <f t="shared" si="13"/>
        <v>55.875</v>
      </c>
      <c r="AE49">
        <f t="shared" si="14"/>
        <v>0.39896705119505393</v>
      </c>
    </row>
    <row r="50" spans="1:31" x14ac:dyDescent="0.35">
      <c r="A50" t="s">
        <v>87</v>
      </c>
      <c r="B50" t="s">
        <v>88</v>
      </c>
      <c r="C50">
        <f>VLOOKUP(CONCATENATE("2011",'2011_60'!A50),aktivnepesseg!$C$2:$D$2226,2,FALSE)</f>
        <v>53050</v>
      </c>
      <c r="D50">
        <f t="shared" si="7"/>
        <v>37623</v>
      </c>
      <c r="E50">
        <f t="shared" si="8"/>
        <v>15427</v>
      </c>
      <c r="F50">
        <v>5861</v>
      </c>
      <c r="G50">
        <v>3693</v>
      </c>
      <c r="H50">
        <v>2264</v>
      </c>
      <c r="I50">
        <v>3142</v>
      </c>
      <c r="J50">
        <v>4333</v>
      </c>
      <c r="K50">
        <v>4108</v>
      </c>
      <c r="L50">
        <v>3705</v>
      </c>
      <c r="M50">
        <v>1724</v>
      </c>
      <c r="N50">
        <v>2972</v>
      </c>
      <c r="O50">
        <v>1793</v>
      </c>
      <c r="P50">
        <v>1981</v>
      </c>
      <c r="Q50">
        <v>911</v>
      </c>
      <c r="R50">
        <v>1002</v>
      </c>
      <c r="S50">
        <v>115</v>
      </c>
      <c r="T50">
        <v>19</v>
      </c>
      <c r="U50">
        <f t="shared" si="15"/>
        <v>15427</v>
      </c>
      <c r="V50">
        <f t="shared" si="15"/>
        <v>4981.8499999999995</v>
      </c>
      <c r="W50">
        <f t="shared" si="15"/>
        <v>2031.15</v>
      </c>
      <c r="X50">
        <f t="shared" si="15"/>
        <v>679.19999999999993</v>
      </c>
      <c r="Y50">
        <f t="shared" si="15"/>
        <v>314.20000000000005</v>
      </c>
      <c r="Z50" s="4">
        <f t="shared" si="9"/>
        <v>0.44172290292177196</v>
      </c>
      <c r="AA50">
        <f t="shared" si="10"/>
        <v>15427</v>
      </c>
      <c r="AB50">
        <f t="shared" si="11"/>
        <v>4762.0625</v>
      </c>
      <c r="AC50">
        <f t="shared" si="12"/>
        <v>1615.6875</v>
      </c>
      <c r="AD50">
        <f t="shared" si="13"/>
        <v>283</v>
      </c>
      <c r="AE50">
        <f t="shared" si="14"/>
        <v>0.41635721017907634</v>
      </c>
    </row>
    <row r="51" spans="1:31" x14ac:dyDescent="0.35">
      <c r="A51" t="s">
        <v>89</v>
      </c>
      <c r="B51" t="s">
        <v>90</v>
      </c>
      <c r="C51">
        <f>VLOOKUP(CONCATENATE("2011",'2011_60'!A51),aktivnepesseg!$C$2:$D$2226,2,FALSE)</f>
        <v>14898</v>
      </c>
      <c r="D51">
        <f t="shared" si="7"/>
        <v>12453</v>
      </c>
      <c r="E51">
        <f t="shared" si="8"/>
        <v>2445</v>
      </c>
      <c r="F51">
        <v>2013</v>
      </c>
      <c r="G51">
        <v>990</v>
      </c>
      <c r="H51">
        <v>662</v>
      </c>
      <c r="I51">
        <v>885</v>
      </c>
      <c r="J51">
        <v>1232</v>
      </c>
      <c r="K51">
        <v>1781</v>
      </c>
      <c r="L51">
        <v>1484</v>
      </c>
      <c r="M51">
        <v>608</v>
      </c>
      <c r="N51">
        <v>1148</v>
      </c>
      <c r="O51">
        <v>569</v>
      </c>
      <c r="P51">
        <v>588</v>
      </c>
      <c r="Q51">
        <v>280</v>
      </c>
      <c r="R51">
        <v>190</v>
      </c>
      <c r="S51">
        <v>23</v>
      </c>
      <c r="T51">
        <v>0</v>
      </c>
      <c r="U51">
        <f t="shared" si="15"/>
        <v>2445</v>
      </c>
      <c r="V51">
        <f t="shared" si="15"/>
        <v>1711.05</v>
      </c>
      <c r="W51">
        <f t="shared" si="15"/>
        <v>544.5</v>
      </c>
      <c r="X51">
        <f t="shared" si="15"/>
        <v>198.6</v>
      </c>
      <c r="Y51">
        <f t="shared" si="15"/>
        <v>88.5</v>
      </c>
      <c r="Z51" s="4">
        <f t="shared" si="9"/>
        <v>0.33478654853000406</v>
      </c>
      <c r="AA51">
        <f t="shared" si="10"/>
        <v>2445</v>
      </c>
      <c r="AB51">
        <f t="shared" si="11"/>
        <v>1635.5625</v>
      </c>
      <c r="AC51">
        <f t="shared" si="12"/>
        <v>433.125</v>
      </c>
      <c r="AD51">
        <f t="shared" si="13"/>
        <v>82.75</v>
      </c>
      <c r="AE51">
        <f t="shared" si="14"/>
        <v>0.30852715129547592</v>
      </c>
    </row>
    <row r="52" spans="1:31" x14ac:dyDescent="0.35">
      <c r="A52" t="s">
        <v>91</v>
      </c>
      <c r="B52" t="s">
        <v>92</v>
      </c>
      <c r="C52">
        <f>VLOOKUP(CONCATENATE("2011",'2011_60'!A52),aktivnepesseg!$C$2:$D$2226,2,FALSE)</f>
        <v>9037</v>
      </c>
      <c r="D52">
        <f t="shared" si="7"/>
        <v>5762</v>
      </c>
      <c r="E52">
        <f t="shared" si="8"/>
        <v>3275</v>
      </c>
      <c r="F52">
        <v>1607</v>
      </c>
      <c r="G52">
        <v>706</v>
      </c>
      <c r="H52">
        <v>419</v>
      </c>
      <c r="I52">
        <v>517</v>
      </c>
      <c r="J52">
        <v>601</v>
      </c>
      <c r="K52">
        <v>550</v>
      </c>
      <c r="L52">
        <v>386</v>
      </c>
      <c r="M52">
        <v>234</v>
      </c>
      <c r="N52">
        <v>339</v>
      </c>
      <c r="O52">
        <v>165</v>
      </c>
      <c r="P52">
        <v>152</v>
      </c>
      <c r="Q52">
        <v>40</v>
      </c>
      <c r="R52">
        <v>46</v>
      </c>
      <c r="S52">
        <v>0</v>
      </c>
      <c r="T52">
        <v>0</v>
      </c>
      <c r="U52">
        <f t="shared" si="15"/>
        <v>3275</v>
      </c>
      <c r="V52">
        <f t="shared" si="15"/>
        <v>1365.95</v>
      </c>
      <c r="W52">
        <f t="shared" si="15"/>
        <v>388.3</v>
      </c>
      <c r="X52">
        <f t="shared" si="15"/>
        <v>125.69999999999999</v>
      </c>
      <c r="Y52">
        <f t="shared" si="15"/>
        <v>51.7</v>
      </c>
      <c r="Z52" s="4">
        <f t="shared" si="9"/>
        <v>0.57614805798384416</v>
      </c>
      <c r="AA52">
        <f t="shared" si="10"/>
        <v>3275</v>
      </c>
      <c r="AB52">
        <f t="shared" si="11"/>
        <v>1305.6875</v>
      </c>
      <c r="AC52">
        <f t="shared" si="12"/>
        <v>308.875</v>
      </c>
      <c r="AD52">
        <f t="shared" si="13"/>
        <v>52.375</v>
      </c>
      <c r="AE52">
        <f t="shared" si="14"/>
        <v>0.54685598096713506</v>
      </c>
    </row>
    <row r="53" spans="1:31" x14ac:dyDescent="0.35">
      <c r="A53" t="s">
        <v>93</v>
      </c>
      <c r="B53" t="s">
        <v>94</v>
      </c>
      <c r="C53">
        <f>VLOOKUP(CONCATENATE("2011",'2011_60'!A53),aktivnepesseg!$C$2:$D$2226,2,FALSE)</f>
        <v>7783</v>
      </c>
      <c r="D53">
        <f t="shared" si="7"/>
        <v>5319</v>
      </c>
      <c r="E53">
        <f t="shared" si="8"/>
        <v>2464</v>
      </c>
      <c r="F53">
        <v>1436</v>
      </c>
      <c r="G53">
        <v>656</v>
      </c>
      <c r="H53">
        <v>405</v>
      </c>
      <c r="I53">
        <v>464</v>
      </c>
      <c r="J53">
        <v>563</v>
      </c>
      <c r="K53">
        <v>493</v>
      </c>
      <c r="L53">
        <v>374</v>
      </c>
      <c r="M53">
        <v>168</v>
      </c>
      <c r="N53">
        <v>285</v>
      </c>
      <c r="O53">
        <v>179</v>
      </c>
      <c r="P53">
        <v>191</v>
      </c>
      <c r="Q53">
        <v>53</v>
      </c>
      <c r="R53">
        <v>48</v>
      </c>
      <c r="S53">
        <v>4</v>
      </c>
      <c r="T53">
        <v>0</v>
      </c>
      <c r="U53">
        <f t="shared" si="15"/>
        <v>2464</v>
      </c>
      <c r="V53">
        <f t="shared" si="15"/>
        <v>1220.5999999999999</v>
      </c>
      <c r="W53">
        <f t="shared" si="15"/>
        <v>360.8</v>
      </c>
      <c r="X53">
        <f t="shared" si="15"/>
        <v>121.5</v>
      </c>
      <c r="Y53">
        <f t="shared" si="15"/>
        <v>46.400000000000006</v>
      </c>
      <c r="Z53" s="4">
        <f t="shared" si="9"/>
        <v>0.54134652447642284</v>
      </c>
      <c r="AA53">
        <f t="shared" si="10"/>
        <v>2464</v>
      </c>
      <c r="AB53">
        <f t="shared" si="11"/>
        <v>1166.75</v>
      </c>
      <c r="AC53">
        <f t="shared" si="12"/>
        <v>287</v>
      </c>
      <c r="AD53">
        <f t="shared" si="13"/>
        <v>50.625</v>
      </c>
      <c r="AE53">
        <f t="shared" si="14"/>
        <v>0.50987729667223436</v>
      </c>
    </row>
    <row r="54" spans="1:31" x14ac:dyDescent="0.35">
      <c r="A54" t="s">
        <v>95</v>
      </c>
      <c r="B54" t="s">
        <v>96</v>
      </c>
      <c r="C54">
        <f>VLOOKUP(CONCATENATE("2011",'2011_60'!A54),aktivnepesseg!$C$2:$D$2226,2,FALSE)</f>
        <v>13305</v>
      </c>
      <c r="D54">
        <f t="shared" si="7"/>
        <v>9703</v>
      </c>
      <c r="E54">
        <f t="shared" si="8"/>
        <v>3602</v>
      </c>
      <c r="F54">
        <v>1967</v>
      </c>
      <c r="G54">
        <v>856</v>
      </c>
      <c r="H54">
        <v>637</v>
      </c>
      <c r="I54">
        <v>802</v>
      </c>
      <c r="J54">
        <v>1096</v>
      </c>
      <c r="K54">
        <v>1128</v>
      </c>
      <c r="L54">
        <v>846</v>
      </c>
      <c r="M54">
        <v>384</v>
      </c>
      <c r="N54">
        <v>694</v>
      </c>
      <c r="O54">
        <v>396</v>
      </c>
      <c r="P54">
        <v>455</v>
      </c>
      <c r="Q54">
        <v>182</v>
      </c>
      <c r="R54">
        <v>233</v>
      </c>
      <c r="S54">
        <v>22</v>
      </c>
      <c r="T54">
        <v>5</v>
      </c>
      <c r="U54">
        <f t="shared" si="15"/>
        <v>3602</v>
      </c>
      <c r="V54">
        <f t="shared" si="15"/>
        <v>1671.95</v>
      </c>
      <c r="W54">
        <f t="shared" si="15"/>
        <v>470.8</v>
      </c>
      <c r="X54">
        <f t="shared" si="15"/>
        <v>191.1</v>
      </c>
      <c r="Y54">
        <f t="shared" si="15"/>
        <v>80.2</v>
      </c>
      <c r="Z54" s="4">
        <f t="shared" si="9"/>
        <v>0.45216459977452089</v>
      </c>
      <c r="AA54">
        <f t="shared" si="10"/>
        <v>3602</v>
      </c>
      <c r="AB54">
        <f t="shared" si="11"/>
        <v>1598.1875</v>
      </c>
      <c r="AC54">
        <f t="shared" si="12"/>
        <v>374.5</v>
      </c>
      <c r="AD54">
        <f t="shared" si="13"/>
        <v>79.625</v>
      </c>
      <c r="AE54">
        <f t="shared" si="14"/>
        <v>0.42497651258925218</v>
      </c>
    </row>
    <row r="55" spans="1:31" x14ac:dyDescent="0.35">
      <c r="A55" t="s">
        <v>97</v>
      </c>
      <c r="B55" t="s">
        <v>98</v>
      </c>
      <c r="C55">
        <f>VLOOKUP(CONCATENATE("2011",'2011_60'!A55),aktivnepesseg!$C$2:$D$2226,2,FALSE)</f>
        <v>20066</v>
      </c>
      <c r="D55">
        <f t="shared" si="7"/>
        <v>16452</v>
      </c>
      <c r="E55">
        <f t="shared" si="8"/>
        <v>3614</v>
      </c>
      <c r="F55">
        <v>3081</v>
      </c>
      <c r="G55">
        <v>1312</v>
      </c>
      <c r="H55">
        <v>769</v>
      </c>
      <c r="I55">
        <v>1112</v>
      </c>
      <c r="J55">
        <v>1777</v>
      </c>
      <c r="K55">
        <v>1678</v>
      </c>
      <c r="L55">
        <v>1529</v>
      </c>
      <c r="M55">
        <v>936</v>
      </c>
      <c r="N55">
        <v>1616</v>
      </c>
      <c r="O55">
        <v>824</v>
      </c>
      <c r="P55">
        <v>865</v>
      </c>
      <c r="Q55">
        <v>444</v>
      </c>
      <c r="R55">
        <v>485</v>
      </c>
      <c r="S55">
        <v>20</v>
      </c>
      <c r="T55">
        <v>4</v>
      </c>
      <c r="U55">
        <f t="shared" si="15"/>
        <v>3614</v>
      </c>
      <c r="V55">
        <f t="shared" si="15"/>
        <v>2618.85</v>
      </c>
      <c r="W55">
        <f t="shared" si="15"/>
        <v>721.6</v>
      </c>
      <c r="X55">
        <f t="shared" si="15"/>
        <v>230.7</v>
      </c>
      <c r="Y55">
        <f t="shared" si="15"/>
        <v>111.2</v>
      </c>
      <c r="Z55" s="4">
        <f t="shared" si="9"/>
        <v>0.3636175620452507</v>
      </c>
      <c r="AA55">
        <f t="shared" si="10"/>
        <v>3614</v>
      </c>
      <c r="AB55">
        <f t="shared" si="11"/>
        <v>2503.3125</v>
      </c>
      <c r="AC55">
        <f t="shared" si="12"/>
        <v>574</v>
      </c>
      <c r="AD55">
        <f t="shared" si="13"/>
        <v>96.125</v>
      </c>
      <c r="AE55">
        <f t="shared" si="14"/>
        <v>0.33825563141632614</v>
      </c>
    </row>
    <row r="56" spans="1:31" x14ac:dyDescent="0.35">
      <c r="A56" t="s">
        <v>99</v>
      </c>
      <c r="B56" t="s">
        <v>100</v>
      </c>
      <c r="C56">
        <f>VLOOKUP(CONCATENATE("2011",'2011_60'!A56),aktivnepesseg!$C$2:$D$2226,2,FALSE)</f>
        <v>10035</v>
      </c>
      <c r="D56">
        <f t="shared" si="7"/>
        <v>6985</v>
      </c>
      <c r="E56">
        <f t="shared" si="8"/>
        <v>3050</v>
      </c>
      <c r="F56">
        <v>1462</v>
      </c>
      <c r="G56">
        <v>604</v>
      </c>
      <c r="H56">
        <v>434</v>
      </c>
      <c r="I56">
        <v>648</v>
      </c>
      <c r="J56">
        <v>990</v>
      </c>
      <c r="K56">
        <v>784</v>
      </c>
      <c r="L56">
        <v>520</v>
      </c>
      <c r="M56">
        <v>282</v>
      </c>
      <c r="N56">
        <v>504</v>
      </c>
      <c r="O56">
        <v>301</v>
      </c>
      <c r="P56">
        <v>270</v>
      </c>
      <c r="Q56">
        <v>94</v>
      </c>
      <c r="R56">
        <v>87</v>
      </c>
      <c r="S56">
        <v>5</v>
      </c>
      <c r="T56">
        <v>0</v>
      </c>
      <c r="U56">
        <f t="shared" si="15"/>
        <v>3050</v>
      </c>
      <c r="V56">
        <f t="shared" si="15"/>
        <v>1242.7</v>
      </c>
      <c r="W56">
        <f t="shared" si="15"/>
        <v>332.20000000000005</v>
      </c>
      <c r="X56">
        <f t="shared" si="15"/>
        <v>130.19999999999999</v>
      </c>
      <c r="Y56">
        <f t="shared" si="15"/>
        <v>64.8</v>
      </c>
      <c r="Z56" s="4">
        <f t="shared" si="9"/>
        <v>0.48030891878425508</v>
      </c>
      <c r="AA56">
        <f t="shared" si="10"/>
        <v>3050</v>
      </c>
      <c r="AB56">
        <f t="shared" si="11"/>
        <v>1187.875</v>
      </c>
      <c r="AC56">
        <f t="shared" si="12"/>
        <v>264.25</v>
      </c>
      <c r="AD56">
        <f t="shared" si="13"/>
        <v>54.25</v>
      </c>
      <c r="AE56">
        <f t="shared" si="14"/>
        <v>0.45404833084205282</v>
      </c>
    </row>
    <row r="57" spans="1:31" x14ac:dyDescent="0.35">
      <c r="A57" t="s">
        <v>101</v>
      </c>
      <c r="B57" t="s">
        <v>102</v>
      </c>
      <c r="C57">
        <f>VLOOKUP(CONCATENATE("2011",'2011_60'!A57),aktivnepesseg!$C$2:$D$2226,2,FALSE)</f>
        <v>29852</v>
      </c>
      <c r="D57">
        <f t="shared" si="7"/>
        <v>20871</v>
      </c>
      <c r="E57">
        <f t="shared" si="8"/>
        <v>8981</v>
      </c>
      <c r="F57">
        <v>2639</v>
      </c>
      <c r="G57">
        <v>1977</v>
      </c>
      <c r="H57">
        <v>1256</v>
      </c>
      <c r="I57">
        <v>2105</v>
      </c>
      <c r="J57">
        <v>2592</v>
      </c>
      <c r="K57">
        <v>2111</v>
      </c>
      <c r="L57">
        <v>2176</v>
      </c>
      <c r="M57">
        <v>1131</v>
      </c>
      <c r="N57">
        <v>1621</v>
      </c>
      <c r="O57">
        <v>1015</v>
      </c>
      <c r="P57">
        <v>1193</v>
      </c>
      <c r="Q57">
        <v>491</v>
      </c>
      <c r="R57">
        <v>463</v>
      </c>
      <c r="S57">
        <v>92</v>
      </c>
      <c r="T57">
        <v>9</v>
      </c>
      <c r="U57">
        <f t="shared" si="15"/>
        <v>8981</v>
      </c>
      <c r="V57">
        <f t="shared" si="15"/>
        <v>2243.15</v>
      </c>
      <c r="W57">
        <f t="shared" si="15"/>
        <v>1087.3500000000001</v>
      </c>
      <c r="X57">
        <f t="shared" si="15"/>
        <v>376.8</v>
      </c>
      <c r="Y57">
        <f t="shared" si="15"/>
        <v>210.5</v>
      </c>
      <c r="Z57" s="4">
        <f t="shared" si="9"/>
        <v>0.43209165215060963</v>
      </c>
      <c r="AA57">
        <f t="shared" si="10"/>
        <v>8981</v>
      </c>
      <c r="AB57">
        <f t="shared" si="11"/>
        <v>2144.1875</v>
      </c>
      <c r="AC57">
        <f t="shared" si="12"/>
        <v>864.9375</v>
      </c>
      <c r="AD57">
        <f t="shared" si="13"/>
        <v>157</v>
      </c>
      <c r="AE57">
        <f t="shared" si="14"/>
        <v>0.40691159721291703</v>
      </c>
    </row>
    <row r="58" spans="1:31" x14ac:dyDescent="0.35">
      <c r="A58" t="s">
        <v>103</v>
      </c>
      <c r="B58" t="s">
        <v>104</v>
      </c>
      <c r="C58">
        <f>VLOOKUP(CONCATENATE("2011",'2011_60'!A58),aktivnepesseg!$C$2:$D$2226,2,FALSE)</f>
        <v>142738</v>
      </c>
      <c r="D58">
        <f t="shared" si="7"/>
        <v>98085</v>
      </c>
      <c r="E58">
        <f t="shared" si="8"/>
        <v>44653</v>
      </c>
      <c r="F58">
        <v>15348</v>
      </c>
      <c r="G58">
        <v>9003</v>
      </c>
      <c r="H58">
        <v>4712</v>
      </c>
      <c r="I58">
        <v>7204</v>
      </c>
      <c r="J58">
        <v>11116</v>
      </c>
      <c r="K58">
        <v>9286</v>
      </c>
      <c r="L58">
        <v>7611</v>
      </c>
      <c r="M58">
        <v>4266</v>
      </c>
      <c r="N58">
        <v>8311</v>
      </c>
      <c r="O58">
        <v>5641</v>
      </c>
      <c r="P58">
        <v>6758</v>
      </c>
      <c r="Q58">
        <v>3451</v>
      </c>
      <c r="R58">
        <v>4359</v>
      </c>
      <c r="S58">
        <v>849</v>
      </c>
      <c r="T58">
        <v>170</v>
      </c>
      <c r="U58">
        <f t="shared" si="15"/>
        <v>44653</v>
      </c>
      <c r="V58">
        <f t="shared" si="15"/>
        <v>13045.8</v>
      </c>
      <c r="W58">
        <f t="shared" si="15"/>
        <v>4951.6500000000005</v>
      </c>
      <c r="X58">
        <f t="shared" si="15"/>
        <v>1413.6</v>
      </c>
      <c r="Y58">
        <f t="shared" si="15"/>
        <v>720.40000000000009</v>
      </c>
      <c r="Z58" s="4">
        <f t="shared" si="9"/>
        <v>0.4538696773108773</v>
      </c>
      <c r="AA58">
        <f t="shared" si="10"/>
        <v>44653</v>
      </c>
      <c r="AB58">
        <f t="shared" si="11"/>
        <v>12470.25</v>
      </c>
      <c r="AC58">
        <f t="shared" si="12"/>
        <v>3938.8125</v>
      </c>
      <c r="AD58">
        <f t="shared" si="13"/>
        <v>589</v>
      </c>
      <c r="AE58">
        <f t="shared" si="14"/>
        <v>0.4319176568257927</v>
      </c>
    </row>
    <row r="59" spans="1:31" x14ac:dyDescent="0.35">
      <c r="A59" t="s">
        <v>105</v>
      </c>
      <c r="B59" t="s">
        <v>106</v>
      </c>
      <c r="C59">
        <f>VLOOKUP(CONCATENATE("2011",'2011_60'!A59),aktivnepesseg!$C$2:$D$2226,2,FALSE)</f>
        <v>24742</v>
      </c>
      <c r="D59">
        <f t="shared" si="7"/>
        <v>16303</v>
      </c>
      <c r="E59">
        <f t="shared" si="8"/>
        <v>8439</v>
      </c>
      <c r="F59">
        <v>3809</v>
      </c>
      <c r="G59">
        <v>1976</v>
      </c>
      <c r="H59">
        <v>1018</v>
      </c>
      <c r="I59">
        <v>1452</v>
      </c>
      <c r="J59">
        <v>1978</v>
      </c>
      <c r="K59">
        <v>1616</v>
      </c>
      <c r="L59">
        <v>1186</v>
      </c>
      <c r="M59">
        <v>633</v>
      </c>
      <c r="N59">
        <v>987</v>
      </c>
      <c r="O59">
        <v>615</v>
      </c>
      <c r="P59">
        <v>610</v>
      </c>
      <c r="Q59">
        <v>218</v>
      </c>
      <c r="R59">
        <v>184</v>
      </c>
      <c r="S59">
        <v>21</v>
      </c>
      <c r="T59">
        <v>0</v>
      </c>
      <c r="U59">
        <f t="shared" si="15"/>
        <v>8439</v>
      </c>
      <c r="V59">
        <f t="shared" si="15"/>
        <v>3237.65</v>
      </c>
      <c r="W59">
        <f t="shared" si="15"/>
        <v>1086.8000000000002</v>
      </c>
      <c r="X59">
        <f t="shared" si="15"/>
        <v>305.39999999999998</v>
      </c>
      <c r="Y59">
        <f t="shared" si="15"/>
        <v>145.20000000000002</v>
      </c>
      <c r="Z59" s="4">
        <f t="shared" si="9"/>
        <v>0.53407363996443302</v>
      </c>
      <c r="AA59">
        <f t="shared" si="10"/>
        <v>8439</v>
      </c>
      <c r="AB59">
        <f t="shared" si="11"/>
        <v>3094.8125</v>
      </c>
      <c r="AC59">
        <f t="shared" si="12"/>
        <v>864.5</v>
      </c>
      <c r="AD59">
        <f t="shared" si="13"/>
        <v>127.25</v>
      </c>
      <c r="AE59">
        <f t="shared" si="14"/>
        <v>0.50624696871716113</v>
      </c>
    </row>
    <row r="60" spans="1:31" x14ac:dyDescent="0.35">
      <c r="A60" t="s">
        <v>107</v>
      </c>
      <c r="B60" t="s">
        <v>108</v>
      </c>
      <c r="C60">
        <f>VLOOKUP(CONCATENATE("2011",'2011_60'!A60),aktivnepesseg!$C$2:$D$2226,2,FALSE)</f>
        <v>9088</v>
      </c>
      <c r="D60">
        <f t="shared" si="7"/>
        <v>6776</v>
      </c>
      <c r="E60">
        <f t="shared" si="8"/>
        <v>2312</v>
      </c>
      <c r="F60">
        <v>1196</v>
      </c>
      <c r="G60">
        <v>568</v>
      </c>
      <c r="H60">
        <v>363</v>
      </c>
      <c r="I60">
        <v>565</v>
      </c>
      <c r="J60">
        <v>871</v>
      </c>
      <c r="K60">
        <v>1054</v>
      </c>
      <c r="L60">
        <v>754</v>
      </c>
      <c r="M60">
        <v>302</v>
      </c>
      <c r="N60">
        <v>478</v>
      </c>
      <c r="O60">
        <v>254</v>
      </c>
      <c r="P60">
        <v>188</v>
      </c>
      <c r="Q60">
        <v>100</v>
      </c>
      <c r="R60">
        <v>68</v>
      </c>
      <c r="S60">
        <v>15</v>
      </c>
      <c r="T60">
        <v>0</v>
      </c>
      <c r="U60">
        <f t="shared" si="15"/>
        <v>2312</v>
      </c>
      <c r="V60">
        <f t="shared" si="15"/>
        <v>1016.6</v>
      </c>
      <c r="W60">
        <f t="shared" si="15"/>
        <v>312.40000000000003</v>
      </c>
      <c r="X60">
        <f t="shared" si="15"/>
        <v>108.89999999999999</v>
      </c>
      <c r="Y60">
        <f t="shared" si="15"/>
        <v>56.5</v>
      </c>
      <c r="Z60" s="4">
        <f t="shared" si="9"/>
        <v>0.41883802816901411</v>
      </c>
      <c r="AA60">
        <f t="shared" si="10"/>
        <v>2312</v>
      </c>
      <c r="AB60">
        <f t="shared" si="11"/>
        <v>971.75</v>
      </c>
      <c r="AC60">
        <f t="shared" si="12"/>
        <v>248.5</v>
      </c>
      <c r="AD60">
        <f t="shared" si="13"/>
        <v>45.375</v>
      </c>
      <c r="AE60">
        <f t="shared" si="14"/>
        <v>0.39366472271126762</v>
      </c>
    </row>
    <row r="61" spans="1:31" x14ac:dyDescent="0.35">
      <c r="A61" t="s">
        <v>109</v>
      </c>
      <c r="B61" t="s">
        <v>110</v>
      </c>
      <c r="C61">
        <f>VLOOKUP(CONCATENATE("2011",'2011_60'!A61),aktivnepesseg!$C$2:$D$2226,2,FALSE)</f>
        <v>19409</v>
      </c>
      <c r="D61">
        <f t="shared" si="7"/>
        <v>13842</v>
      </c>
      <c r="E61">
        <f t="shared" si="8"/>
        <v>5567</v>
      </c>
      <c r="F61">
        <v>2841</v>
      </c>
      <c r="G61">
        <v>1371</v>
      </c>
      <c r="H61">
        <v>781</v>
      </c>
      <c r="I61">
        <v>1051</v>
      </c>
      <c r="J61">
        <v>1550</v>
      </c>
      <c r="K61">
        <v>1447</v>
      </c>
      <c r="L61">
        <v>1142</v>
      </c>
      <c r="M61">
        <v>636</v>
      </c>
      <c r="N61">
        <v>1207</v>
      </c>
      <c r="O61">
        <v>635</v>
      </c>
      <c r="P61">
        <v>609</v>
      </c>
      <c r="Q61">
        <v>297</v>
      </c>
      <c r="R61">
        <v>231</v>
      </c>
      <c r="S61">
        <v>40</v>
      </c>
      <c r="T61">
        <v>4</v>
      </c>
      <c r="U61">
        <f t="shared" si="15"/>
        <v>5567</v>
      </c>
      <c r="V61">
        <f t="shared" si="15"/>
        <v>2414.85</v>
      </c>
      <c r="W61">
        <f t="shared" si="15"/>
        <v>754.05000000000007</v>
      </c>
      <c r="X61">
        <f t="shared" si="15"/>
        <v>234.29999999999998</v>
      </c>
      <c r="Y61">
        <f t="shared" si="15"/>
        <v>105.10000000000001</v>
      </c>
      <c r="Z61" s="4">
        <f t="shared" si="9"/>
        <v>0.46758204956463495</v>
      </c>
      <c r="AA61">
        <f t="shared" si="10"/>
        <v>5567</v>
      </c>
      <c r="AB61">
        <f t="shared" si="11"/>
        <v>2308.3125</v>
      </c>
      <c r="AC61">
        <f t="shared" si="12"/>
        <v>599.8125</v>
      </c>
      <c r="AD61">
        <f t="shared" si="13"/>
        <v>97.625</v>
      </c>
      <c r="AE61">
        <f t="shared" si="14"/>
        <v>0.44168942243289194</v>
      </c>
    </row>
    <row r="62" spans="1:31" x14ac:dyDescent="0.35">
      <c r="A62" t="s">
        <v>111</v>
      </c>
      <c r="B62" t="s">
        <v>112</v>
      </c>
      <c r="C62">
        <f>VLOOKUP(CONCATENATE("2011",'2011_60'!A62),aktivnepesseg!$C$2:$D$2226,2,FALSE)</f>
        <v>48942</v>
      </c>
      <c r="D62">
        <f t="shared" si="7"/>
        <v>36457</v>
      </c>
      <c r="E62">
        <f t="shared" si="8"/>
        <v>12485</v>
      </c>
      <c r="F62">
        <v>4272</v>
      </c>
      <c r="G62">
        <v>3178</v>
      </c>
      <c r="H62">
        <v>1684</v>
      </c>
      <c r="I62">
        <v>2812</v>
      </c>
      <c r="J62">
        <v>3568</v>
      </c>
      <c r="K62">
        <v>3069</v>
      </c>
      <c r="L62">
        <v>2923</v>
      </c>
      <c r="M62">
        <v>1583</v>
      </c>
      <c r="N62">
        <v>2889</v>
      </c>
      <c r="O62">
        <v>2078</v>
      </c>
      <c r="P62">
        <v>2836</v>
      </c>
      <c r="Q62">
        <v>1669</v>
      </c>
      <c r="R62">
        <v>2830</v>
      </c>
      <c r="S62">
        <v>886</v>
      </c>
      <c r="T62">
        <v>180</v>
      </c>
      <c r="U62">
        <f t="shared" si="15"/>
        <v>12485</v>
      </c>
      <c r="V62">
        <f t="shared" si="15"/>
        <v>3631.2</v>
      </c>
      <c r="W62">
        <f t="shared" si="15"/>
        <v>1747.9</v>
      </c>
      <c r="X62">
        <f t="shared" si="15"/>
        <v>505.2</v>
      </c>
      <c r="Y62">
        <f t="shared" si="15"/>
        <v>281.2</v>
      </c>
      <c r="Z62" s="4">
        <f t="shared" si="9"/>
        <v>0.38107351558988195</v>
      </c>
      <c r="AA62">
        <f t="shared" si="10"/>
        <v>12485</v>
      </c>
      <c r="AB62">
        <f t="shared" si="11"/>
        <v>3471</v>
      </c>
      <c r="AC62">
        <f t="shared" si="12"/>
        <v>1390.375</v>
      </c>
      <c r="AD62">
        <f t="shared" si="13"/>
        <v>210.5</v>
      </c>
      <c r="AE62">
        <f t="shared" si="14"/>
        <v>0.35872818846798249</v>
      </c>
    </row>
    <row r="63" spans="1:31" x14ac:dyDescent="0.35">
      <c r="A63" t="s">
        <v>113</v>
      </c>
      <c r="B63" t="s">
        <v>114</v>
      </c>
      <c r="C63">
        <f>VLOOKUP(CONCATENATE("2011",'2011_60'!A63),aktivnepesseg!$C$2:$D$2226,2,FALSE)</f>
        <v>59152</v>
      </c>
      <c r="D63">
        <f t="shared" si="7"/>
        <v>46161</v>
      </c>
      <c r="E63">
        <f t="shared" si="8"/>
        <v>12991</v>
      </c>
      <c r="F63">
        <v>8873</v>
      </c>
      <c r="G63">
        <v>3453</v>
      </c>
      <c r="H63">
        <v>1946</v>
      </c>
      <c r="I63">
        <v>2757</v>
      </c>
      <c r="J63">
        <v>3982</v>
      </c>
      <c r="K63">
        <v>3982</v>
      </c>
      <c r="L63">
        <v>3427</v>
      </c>
      <c r="M63">
        <v>2026</v>
      </c>
      <c r="N63">
        <v>4285</v>
      </c>
      <c r="O63">
        <v>3057</v>
      </c>
      <c r="P63">
        <v>4060</v>
      </c>
      <c r="Q63">
        <v>1854</v>
      </c>
      <c r="R63">
        <v>2113</v>
      </c>
      <c r="S63">
        <v>281</v>
      </c>
      <c r="T63">
        <v>65</v>
      </c>
      <c r="U63">
        <f t="shared" si="15"/>
        <v>12991</v>
      </c>
      <c r="V63">
        <f t="shared" si="15"/>
        <v>7542.05</v>
      </c>
      <c r="W63">
        <f t="shared" si="15"/>
        <v>1899.15</v>
      </c>
      <c r="X63">
        <f t="shared" si="15"/>
        <v>583.79999999999995</v>
      </c>
      <c r="Y63">
        <f t="shared" si="15"/>
        <v>275.7</v>
      </c>
      <c r="Z63" s="4">
        <f t="shared" si="9"/>
        <v>0.39376014335948067</v>
      </c>
      <c r="AA63">
        <f t="shared" si="10"/>
        <v>12991</v>
      </c>
      <c r="AB63">
        <f t="shared" si="11"/>
        <v>7209.3125</v>
      </c>
      <c r="AC63">
        <f t="shared" si="12"/>
        <v>1510.6875</v>
      </c>
      <c r="AD63">
        <f t="shared" si="13"/>
        <v>243.25</v>
      </c>
      <c r="AE63">
        <f t="shared" si="14"/>
        <v>0.37114974979713283</v>
      </c>
    </row>
    <row r="64" spans="1:31" x14ac:dyDescent="0.35">
      <c r="A64" t="s">
        <v>115</v>
      </c>
      <c r="B64" t="s">
        <v>116</v>
      </c>
      <c r="C64">
        <f>VLOOKUP(CONCATENATE("2011",'2011_60'!A64),aktivnepesseg!$C$2:$D$2226,2,FALSE)</f>
        <v>19006</v>
      </c>
      <c r="D64">
        <f t="shared" si="7"/>
        <v>12632</v>
      </c>
      <c r="E64">
        <f t="shared" si="8"/>
        <v>6374</v>
      </c>
      <c r="F64">
        <v>3171</v>
      </c>
      <c r="G64">
        <v>1453</v>
      </c>
      <c r="H64">
        <v>862</v>
      </c>
      <c r="I64">
        <v>1006</v>
      </c>
      <c r="J64">
        <v>1315</v>
      </c>
      <c r="K64">
        <v>1260</v>
      </c>
      <c r="L64">
        <v>935</v>
      </c>
      <c r="M64">
        <v>469</v>
      </c>
      <c r="N64">
        <v>761</v>
      </c>
      <c r="O64">
        <v>494</v>
      </c>
      <c r="P64">
        <v>530</v>
      </c>
      <c r="Q64">
        <v>200</v>
      </c>
      <c r="R64">
        <v>165</v>
      </c>
      <c r="S64">
        <v>11</v>
      </c>
      <c r="T64">
        <v>0</v>
      </c>
      <c r="U64">
        <f t="shared" si="15"/>
        <v>6374</v>
      </c>
      <c r="V64">
        <f t="shared" si="15"/>
        <v>2695.35</v>
      </c>
      <c r="W64">
        <f t="shared" si="15"/>
        <v>799.15000000000009</v>
      </c>
      <c r="X64">
        <f t="shared" si="15"/>
        <v>258.59999999999997</v>
      </c>
      <c r="Y64">
        <f t="shared" si="15"/>
        <v>100.60000000000001</v>
      </c>
      <c r="Z64" s="4">
        <f t="shared" si="9"/>
        <v>0.53813006419025577</v>
      </c>
      <c r="AA64">
        <f t="shared" si="10"/>
        <v>6374</v>
      </c>
      <c r="AB64">
        <f t="shared" si="11"/>
        <v>2576.4375</v>
      </c>
      <c r="AC64">
        <f t="shared" si="12"/>
        <v>635.6875</v>
      </c>
      <c r="AD64">
        <f t="shared" si="13"/>
        <v>107.75</v>
      </c>
      <c r="AE64">
        <f t="shared" si="14"/>
        <v>0.51004288119541197</v>
      </c>
    </row>
    <row r="65" spans="1:31" x14ac:dyDescent="0.35">
      <c r="A65" t="s">
        <v>117</v>
      </c>
      <c r="B65" t="s">
        <v>118</v>
      </c>
      <c r="C65">
        <f>VLOOKUP(CONCATENATE("2011",'2011_60'!A65),aktivnepesseg!$C$2:$D$2226,2,FALSE)</f>
        <v>53301</v>
      </c>
      <c r="D65">
        <f t="shared" si="7"/>
        <v>39848</v>
      </c>
      <c r="E65">
        <f t="shared" si="8"/>
        <v>13453</v>
      </c>
      <c r="F65">
        <v>6725</v>
      </c>
      <c r="G65">
        <v>3545</v>
      </c>
      <c r="H65">
        <v>2164</v>
      </c>
      <c r="I65">
        <v>3080</v>
      </c>
      <c r="J65">
        <v>4000</v>
      </c>
      <c r="K65">
        <v>3886</v>
      </c>
      <c r="L65">
        <v>3006</v>
      </c>
      <c r="M65">
        <v>1702</v>
      </c>
      <c r="N65">
        <v>3247</v>
      </c>
      <c r="O65">
        <v>2239</v>
      </c>
      <c r="P65">
        <v>2658</v>
      </c>
      <c r="Q65">
        <v>1464</v>
      </c>
      <c r="R65">
        <v>1749</v>
      </c>
      <c r="S65">
        <v>331</v>
      </c>
      <c r="T65">
        <v>52</v>
      </c>
      <c r="U65">
        <f t="shared" si="15"/>
        <v>13453</v>
      </c>
      <c r="V65">
        <f t="shared" si="15"/>
        <v>5716.25</v>
      </c>
      <c r="W65">
        <f t="shared" si="15"/>
        <v>1949.7500000000002</v>
      </c>
      <c r="X65">
        <f t="shared" si="15"/>
        <v>649.19999999999993</v>
      </c>
      <c r="Y65">
        <f t="shared" si="15"/>
        <v>308</v>
      </c>
      <c r="Z65" s="4">
        <f t="shared" si="9"/>
        <v>0.41417984653195999</v>
      </c>
      <c r="AA65">
        <f t="shared" si="10"/>
        <v>13453</v>
      </c>
      <c r="AB65">
        <f t="shared" si="11"/>
        <v>5464.0625</v>
      </c>
      <c r="AC65">
        <f t="shared" si="12"/>
        <v>1550.9375</v>
      </c>
      <c r="AD65">
        <f t="shared" si="13"/>
        <v>270.5</v>
      </c>
      <c r="AE65">
        <f t="shared" si="14"/>
        <v>0.38908275642108026</v>
      </c>
    </row>
    <row r="66" spans="1:31" x14ac:dyDescent="0.35">
      <c r="A66" t="s">
        <v>119</v>
      </c>
      <c r="B66" t="s">
        <v>120</v>
      </c>
      <c r="C66">
        <f>VLOOKUP(CONCATENATE("2011",'2011_60'!A66),aktivnepesseg!$C$2:$D$2226,2,FALSE)</f>
        <v>12152</v>
      </c>
      <c r="D66">
        <f t="shared" si="7"/>
        <v>8362</v>
      </c>
      <c r="E66">
        <f t="shared" si="8"/>
        <v>3790</v>
      </c>
      <c r="F66">
        <v>2273</v>
      </c>
      <c r="G66">
        <v>1014</v>
      </c>
      <c r="H66">
        <v>568</v>
      </c>
      <c r="I66">
        <v>591</v>
      </c>
      <c r="J66">
        <v>842</v>
      </c>
      <c r="K66">
        <v>786</v>
      </c>
      <c r="L66">
        <v>626</v>
      </c>
      <c r="M66">
        <v>296</v>
      </c>
      <c r="N66">
        <v>506</v>
      </c>
      <c r="O66">
        <v>294</v>
      </c>
      <c r="P66">
        <v>326</v>
      </c>
      <c r="Q66">
        <v>133</v>
      </c>
      <c r="R66">
        <v>95</v>
      </c>
      <c r="S66">
        <v>9</v>
      </c>
      <c r="T66">
        <v>3</v>
      </c>
      <c r="U66">
        <f t="shared" si="15"/>
        <v>3790</v>
      </c>
      <c r="V66">
        <f t="shared" si="15"/>
        <v>1932.05</v>
      </c>
      <c r="W66">
        <f t="shared" si="15"/>
        <v>557.70000000000005</v>
      </c>
      <c r="X66">
        <f t="shared" si="15"/>
        <v>170.4</v>
      </c>
      <c r="Y66">
        <f t="shared" si="15"/>
        <v>59.1</v>
      </c>
      <c r="Z66" s="4">
        <f t="shared" si="9"/>
        <v>0.53565256747860435</v>
      </c>
      <c r="AA66">
        <f t="shared" si="10"/>
        <v>3790</v>
      </c>
      <c r="AB66">
        <f t="shared" si="11"/>
        <v>1846.8125</v>
      </c>
      <c r="AC66">
        <f t="shared" si="12"/>
        <v>443.625</v>
      </c>
      <c r="AD66">
        <f t="shared" si="13"/>
        <v>71</v>
      </c>
      <c r="AE66">
        <f t="shared" si="14"/>
        <v>0.50620782587228441</v>
      </c>
    </row>
    <row r="67" spans="1:31" x14ac:dyDescent="0.35">
      <c r="A67" t="s">
        <v>121</v>
      </c>
      <c r="B67" t="s">
        <v>122</v>
      </c>
      <c r="C67">
        <f>VLOOKUP(CONCATENATE("2011",'2011_60'!A67),aktivnepesseg!$C$2:$D$2226,2,FALSE)</f>
        <v>12640</v>
      </c>
      <c r="D67">
        <f t="shared" si="7"/>
        <v>9654</v>
      </c>
      <c r="E67">
        <f t="shared" si="8"/>
        <v>2986</v>
      </c>
      <c r="F67">
        <v>1922</v>
      </c>
      <c r="G67">
        <v>932</v>
      </c>
      <c r="H67">
        <v>578</v>
      </c>
      <c r="I67">
        <v>849</v>
      </c>
      <c r="J67">
        <v>1087</v>
      </c>
      <c r="K67">
        <v>1126</v>
      </c>
      <c r="L67">
        <v>933</v>
      </c>
      <c r="M67">
        <v>420</v>
      </c>
      <c r="N67">
        <v>724</v>
      </c>
      <c r="O67">
        <v>420</v>
      </c>
      <c r="P67">
        <v>383</v>
      </c>
      <c r="Q67">
        <v>138</v>
      </c>
      <c r="R67">
        <v>130</v>
      </c>
      <c r="S67">
        <v>12</v>
      </c>
      <c r="T67">
        <v>0</v>
      </c>
      <c r="U67">
        <f t="shared" si="15"/>
        <v>2986</v>
      </c>
      <c r="V67">
        <f t="shared" si="15"/>
        <v>1633.7</v>
      </c>
      <c r="W67">
        <f t="shared" si="15"/>
        <v>512.6</v>
      </c>
      <c r="X67">
        <f t="shared" si="15"/>
        <v>173.4</v>
      </c>
      <c r="Y67">
        <f t="shared" si="15"/>
        <v>84.9</v>
      </c>
      <c r="Z67" s="4">
        <f t="shared" si="9"/>
        <v>0.4264715189873417</v>
      </c>
      <c r="AA67">
        <f t="shared" si="10"/>
        <v>2986</v>
      </c>
      <c r="AB67">
        <f t="shared" si="11"/>
        <v>1561.625</v>
      </c>
      <c r="AC67">
        <f t="shared" si="12"/>
        <v>407.75</v>
      </c>
      <c r="AD67">
        <f t="shared" si="13"/>
        <v>72.25</v>
      </c>
      <c r="AE67">
        <f t="shared" si="14"/>
        <v>0.39775514240506327</v>
      </c>
    </row>
    <row r="68" spans="1:31" x14ac:dyDescent="0.35">
      <c r="A68" t="s">
        <v>123</v>
      </c>
      <c r="B68" t="s">
        <v>124</v>
      </c>
      <c r="C68">
        <f>VLOOKUP(CONCATENATE("2011",'2011_60'!A68),aktivnepesseg!$C$2:$D$2226,2,FALSE)</f>
        <v>71755</v>
      </c>
      <c r="D68">
        <f t="shared" si="7"/>
        <v>52999</v>
      </c>
      <c r="E68">
        <f t="shared" si="8"/>
        <v>18756</v>
      </c>
      <c r="F68">
        <v>6684</v>
      </c>
      <c r="G68">
        <v>4537</v>
      </c>
      <c r="H68">
        <v>2532</v>
      </c>
      <c r="I68">
        <v>4232</v>
      </c>
      <c r="J68">
        <v>5212</v>
      </c>
      <c r="K68">
        <v>4645</v>
      </c>
      <c r="L68">
        <v>4324</v>
      </c>
      <c r="M68">
        <v>2353</v>
      </c>
      <c r="N68">
        <v>4198</v>
      </c>
      <c r="O68">
        <v>3074</v>
      </c>
      <c r="P68">
        <v>3980</v>
      </c>
      <c r="Q68">
        <v>2185</v>
      </c>
      <c r="R68">
        <v>3706</v>
      </c>
      <c r="S68">
        <v>1062</v>
      </c>
      <c r="T68">
        <v>275</v>
      </c>
      <c r="U68">
        <f t="shared" si="15"/>
        <v>18756</v>
      </c>
      <c r="V68">
        <f t="shared" si="15"/>
        <v>5681.4</v>
      </c>
      <c r="W68">
        <f t="shared" si="15"/>
        <v>2495.3500000000004</v>
      </c>
      <c r="X68">
        <f t="shared" si="15"/>
        <v>759.6</v>
      </c>
      <c r="Y68">
        <f t="shared" si="15"/>
        <v>423.20000000000005</v>
      </c>
      <c r="Z68" s="4">
        <f t="shared" si="9"/>
        <v>0.39182705037976445</v>
      </c>
      <c r="AA68">
        <f t="shared" si="10"/>
        <v>18756</v>
      </c>
      <c r="AB68">
        <f t="shared" si="11"/>
        <v>5430.75</v>
      </c>
      <c r="AC68">
        <f t="shared" si="12"/>
        <v>1984.9375</v>
      </c>
      <c r="AD68">
        <f t="shared" si="13"/>
        <v>316.5</v>
      </c>
      <c r="AE68">
        <f t="shared" si="14"/>
        <v>0.36914762037488674</v>
      </c>
    </row>
    <row r="69" spans="1:31" x14ac:dyDescent="0.35">
      <c r="A69" t="s">
        <v>125</v>
      </c>
      <c r="B69" t="s">
        <v>126</v>
      </c>
      <c r="C69">
        <f>VLOOKUP(CONCATENATE("2011",'2011_60'!A69),aktivnepesseg!$C$2:$D$2226,2,FALSE)</f>
        <v>56905</v>
      </c>
      <c r="D69">
        <f t="shared" si="7"/>
        <v>44161</v>
      </c>
      <c r="E69">
        <f t="shared" si="8"/>
        <v>12744</v>
      </c>
      <c r="F69">
        <v>5812</v>
      </c>
      <c r="G69">
        <v>3774</v>
      </c>
      <c r="H69">
        <v>2332</v>
      </c>
      <c r="I69">
        <v>3548</v>
      </c>
      <c r="J69">
        <v>4519</v>
      </c>
      <c r="K69">
        <v>3995</v>
      </c>
      <c r="L69">
        <v>3618</v>
      </c>
      <c r="M69">
        <v>2243</v>
      </c>
      <c r="N69">
        <v>4415</v>
      </c>
      <c r="O69">
        <v>3176</v>
      </c>
      <c r="P69">
        <v>3299</v>
      </c>
      <c r="Q69">
        <v>1428</v>
      </c>
      <c r="R69">
        <v>1703</v>
      </c>
      <c r="S69">
        <v>269</v>
      </c>
      <c r="T69">
        <v>30</v>
      </c>
      <c r="U69">
        <f t="shared" si="15"/>
        <v>12744</v>
      </c>
      <c r="V69">
        <f t="shared" si="15"/>
        <v>4940.2</v>
      </c>
      <c r="W69">
        <f t="shared" si="15"/>
        <v>2075.7000000000003</v>
      </c>
      <c r="X69">
        <f t="shared" si="15"/>
        <v>699.6</v>
      </c>
      <c r="Y69">
        <f t="shared" si="15"/>
        <v>354.8</v>
      </c>
      <c r="Z69" s="4">
        <f t="shared" si="9"/>
        <v>0.36577277919339246</v>
      </c>
      <c r="AA69">
        <f t="shared" si="10"/>
        <v>12744</v>
      </c>
      <c r="AB69">
        <f t="shared" si="11"/>
        <v>4722.25</v>
      </c>
      <c r="AC69">
        <f t="shared" si="12"/>
        <v>1651.125</v>
      </c>
      <c r="AD69">
        <f t="shared" si="13"/>
        <v>291.5</v>
      </c>
      <c r="AE69">
        <f t="shared" si="14"/>
        <v>0.34107503734293998</v>
      </c>
    </row>
    <row r="70" spans="1:31" x14ac:dyDescent="0.35">
      <c r="A70" t="s">
        <v>127</v>
      </c>
      <c r="B70" t="s">
        <v>128</v>
      </c>
      <c r="C70">
        <f>VLOOKUP(CONCATENATE("2011",'2011_60'!A70),aktivnepesseg!$C$2:$D$2226,2,FALSE)</f>
        <v>21960</v>
      </c>
      <c r="D70">
        <f t="shared" si="7"/>
        <v>15064</v>
      </c>
      <c r="E70">
        <f t="shared" si="8"/>
        <v>6896</v>
      </c>
      <c r="F70">
        <v>4507</v>
      </c>
      <c r="G70">
        <v>1934</v>
      </c>
      <c r="H70">
        <v>1264</v>
      </c>
      <c r="I70">
        <v>1338</v>
      </c>
      <c r="J70">
        <v>1337</v>
      </c>
      <c r="K70">
        <v>1236</v>
      </c>
      <c r="L70">
        <v>881</v>
      </c>
      <c r="M70">
        <v>446</v>
      </c>
      <c r="N70">
        <v>845</v>
      </c>
      <c r="O70">
        <v>485</v>
      </c>
      <c r="P70">
        <v>474</v>
      </c>
      <c r="Q70">
        <v>143</v>
      </c>
      <c r="R70">
        <v>162</v>
      </c>
      <c r="S70">
        <v>12</v>
      </c>
      <c r="T70">
        <v>0</v>
      </c>
      <c r="U70">
        <f t="shared" si="15"/>
        <v>6896</v>
      </c>
      <c r="V70">
        <f t="shared" si="15"/>
        <v>3830.95</v>
      </c>
      <c r="W70">
        <f t="shared" si="15"/>
        <v>1063.7</v>
      </c>
      <c r="X70">
        <f t="shared" si="15"/>
        <v>379.2</v>
      </c>
      <c r="Y70">
        <f t="shared" si="15"/>
        <v>133.80000000000001</v>
      </c>
      <c r="Z70" s="4">
        <f t="shared" si="9"/>
        <v>0.56027550091074685</v>
      </c>
      <c r="AA70">
        <f t="shared" si="10"/>
        <v>6896</v>
      </c>
      <c r="AB70">
        <f t="shared" si="11"/>
        <v>3661.9375</v>
      </c>
      <c r="AC70">
        <f t="shared" si="12"/>
        <v>846.125</v>
      </c>
      <c r="AD70">
        <f t="shared" si="13"/>
        <v>158</v>
      </c>
      <c r="AE70">
        <f t="shared" si="14"/>
        <v>0.52650557832422584</v>
      </c>
    </row>
    <row r="71" spans="1:31" x14ac:dyDescent="0.35">
      <c r="A71" t="s">
        <v>129</v>
      </c>
      <c r="B71" t="s">
        <v>130</v>
      </c>
      <c r="C71">
        <f>VLOOKUP(CONCATENATE("2011",'2011_60'!A71),aktivnepesseg!$C$2:$D$2226,2,FALSE)</f>
        <v>20011</v>
      </c>
      <c r="D71">
        <f t="shared" si="7"/>
        <v>15638</v>
      </c>
      <c r="E71">
        <f t="shared" si="8"/>
        <v>4373</v>
      </c>
      <c r="F71">
        <v>4179</v>
      </c>
      <c r="G71">
        <v>1799</v>
      </c>
      <c r="H71">
        <v>965</v>
      </c>
      <c r="I71">
        <v>1404</v>
      </c>
      <c r="J71">
        <v>1826</v>
      </c>
      <c r="K71">
        <v>1421</v>
      </c>
      <c r="L71">
        <v>1016</v>
      </c>
      <c r="M71">
        <v>504</v>
      </c>
      <c r="N71">
        <v>916</v>
      </c>
      <c r="O71">
        <v>516</v>
      </c>
      <c r="P71">
        <v>571</v>
      </c>
      <c r="Q71">
        <v>207</v>
      </c>
      <c r="R71">
        <v>271</v>
      </c>
      <c r="S71">
        <v>37</v>
      </c>
      <c r="T71">
        <v>6</v>
      </c>
      <c r="U71">
        <f t="shared" si="15"/>
        <v>4373</v>
      </c>
      <c r="V71">
        <f t="shared" si="15"/>
        <v>3552.15</v>
      </c>
      <c r="W71">
        <f t="shared" si="15"/>
        <v>989.45</v>
      </c>
      <c r="X71">
        <f t="shared" si="15"/>
        <v>289.5</v>
      </c>
      <c r="Y71">
        <f t="shared" si="15"/>
        <v>140.4</v>
      </c>
      <c r="Z71" s="4">
        <f t="shared" si="9"/>
        <v>0.46696816750787068</v>
      </c>
      <c r="AA71">
        <f t="shared" si="10"/>
        <v>4373</v>
      </c>
      <c r="AB71">
        <f t="shared" si="11"/>
        <v>3395.4375</v>
      </c>
      <c r="AC71">
        <f t="shared" si="12"/>
        <v>787.0625</v>
      </c>
      <c r="AD71">
        <f t="shared" si="13"/>
        <v>120.625</v>
      </c>
      <c r="AE71">
        <f t="shared" si="14"/>
        <v>0.4335677877167558</v>
      </c>
    </row>
    <row r="72" spans="1:31" x14ac:dyDescent="0.35">
      <c r="A72" t="s">
        <v>131</v>
      </c>
      <c r="B72" t="s">
        <v>132</v>
      </c>
      <c r="C72">
        <f>VLOOKUP(CONCATENATE("2011",'2011_60'!A72),aktivnepesseg!$C$2:$D$2226,2,FALSE)</f>
        <v>17777</v>
      </c>
      <c r="D72">
        <f t="shared" si="7"/>
        <v>12456</v>
      </c>
      <c r="E72">
        <f t="shared" si="8"/>
        <v>5321</v>
      </c>
      <c r="F72">
        <v>2288</v>
      </c>
      <c r="G72">
        <v>1277</v>
      </c>
      <c r="H72">
        <v>846</v>
      </c>
      <c r="I72">
        <v>1147</v>
      </c>
      <c r="J72">
        <v>1431</v>
      </c>
      <c r="K72">
        <v>1418</v>
      </c>
      <c r="L72">
        <v>898</v>
      </c>
      <c r="M72">
        <v>565</v>
      </c>
      <c r="N72">
        <v>975</v>
      </c>
      <c r="O72">
        <v>561</v>
      </c>
      <c r="P72">
        <v>552</v>
      </c>
      <c r="Q72">
        <v>277</v>
      </c>
      <c r="R72">
        <v>206</v>
      </c>
      <c r="S72">
        <v>15</v>
      </c>
      <c r="T72">
        <v>0</v>
      </c>
      <c r="U72">
        <f t="shared" ref="U72:Y103" si="16">E72*E$5</f>
        <v>5321</v>
      </c>
      <c r="V72">
        <f t="shared" si="16"/>
        <v>1944.8</v>
      </c>
      <c r="W72">
        <f t="shared" si="16"/>
        <v>702.35</v>
      </c>
      <c r="X72">
        <f t="shared" si="16"/>
        <v>253.79999999999998</v>
      </c>
      <c r="Y72">
        <f t="shared" si="16"/>
        <v>114.7</v>
      </c>
      <c r="Z72" s="4">
        <f t="shared" si="9"/>
        <v>0.46895707937222264</v>
      </c>
      <c r="AA72">
        <f t="shared" si="10"/>
        <v>5321</v>
      </c>
      <c r="AB72">
        <f t="shared" si="11"/>
        <v>1859</v>
      </c>
      <c r="AC72">
        <f t="shared" si="12"/>
        <v>558.6875</v>
      </c>
      <c r="AD72">
        <f t="shared" si="13"/>
        <v>105.75</v>
      </c>
      <c r="AE72">
        <f t="shared" si="14"/>
        <v>0.44126891489002645</v>
      </c>
    </row>
    <row r="73" spans="1:31" x14ac:dyDescent="0.35">
      <c r="A73" t="s">
        <v>133</v>
      </c>
      <c r="B73" t="s">
        <v>134</v>
      </c>
      <c r="C73">
        <f>VLOOKUP(CONCATENATE("2011",'2011_60'!A73),aktivnepesseg!$C$2:$D$2226,2,FALSE)</f>
        <v>17499</v>
      </c>
      <c r="D73">
        <f t="shared" ref="D73:D136" si="17">SUM(F73:T73)</f>
        <v>13831</v>
      </c>
      <c r="E73">
        <f t="shared" ref="E73:E136" si="18">C73-D73</f>
        <v>3668</v>
      </c>
      <c r="F73">
        <v>2182</v>
      </c>
      <c r="G73">
        <v>1233</v>
      </c>
      <c r="H73">
        <v>728</v>
      </c>
      <c r="I73">
        <v>1100</v>
      </c>
      <c r="J73">
        <v>1414</v>
      </c>
      <c r="K73">
        <v>1404</v>
      </c>
      <c r="L73">
        <v>1144</v>
      </c>
      <c r="M73">
        <v>583</v>
      </c>
      <c r="N73">
        <v>1043</v>
      </c>
      <c r="O73">
        <v>723</v>
      </c>
      <c r="P73">
        <v>845</v>
      </c>
      <c r="Q73">
        <v>497</v>
      </c>
      <c r="R73">
        <v>681</v>
      </c>
      <c r="S73">
        <v>212</v>
      </c>
      <c r="T73">
        <v>42</v>
      </c>
      <c r="U73">
        <f t="shared" si="16"/>
        <v>3668</v>
      </c>
      <c r="V73">
        <f t="shared" si="16"/>
        <v>1854.7</v>
      </c>
      <c r="W73">
        <f t="shared" si="16"/>
        <v>678.15000000000009</v>
      </c>
      <c r="X73">
        <f t="shared" si="16"/>
        <v>218.4</v>
      </c>
      <c r="Y73">
        <f t="shared" si="16"/>
        <v>110</v>
      </c>
      <c r="Z73" s="4">
        <f t="shared" ref="Z73:Z136" si="19">SUM(U73:Y73)/$C73</f>
        <v>0.37312132121835534</v>
      </c>
      <c r="AA73">
        <f t="shared" ref="AA73:AA136" si="20">E73*E$6</f>
        <v>3668</v>
      </c>
      <c r="AB73">
        <f t="shared" ref="AB73:AB136" si="21">F73*F$6</f>
        <v>1772.875</v>
      </c>
      <c r="AC73">
        <f t="shared" ref="AC73:AC136" si="22">G73*G$6</f>
        <v>539.4375</v>
      </c>
      <c r="AD73">
        <f t="shared" ref="AD73:AD136" si="23">H73*H$6</f>
        <v>91</v>
      </c>
      <c r="AE73">
        <f t="shared" ref="AE73:AE136" si="24">SUM(AA73:AD73)/$C73</f>
        <v>0.34695196868392481</v>
      </c>
    </row>
    <row r="74" spans="1:31" x14ac:dyDescent="0.35">
      <c r="A74" t="s">
        <v>135</v>
      </c>
      <c r="B74" t="s">
        <v>136</v>
      </c>
      <c r="C74">
        <f>VLOOKUP(CONCATENATE("2011",'2011_60'!A74),aktivnepesseg!$C$2:$D$2226,2,FALSE)</f>
        <v>85428</v>
      </c>
      <c r="D74">
        <f t="shared" si="17"/>
        <v>61460</v>
      </c>
      <c r="E74">
        <f t="shared" si="18"/>
        <v>23968</v>
      </c>
      <c r="F74">
        <v>7882</v>
      </c>
      <c r="G74">
        <v>5392</v>
      </c>
      <c r="H74">
        <v>2826</v>
      </c>
      <c r="I74">
        <v>4985</v>
      </c>
      <c r="J74">
        <v>6430</v>
      </c>
      <c r="K74">
        <v>5470</v>
      </c>
      <c r="L74">
        <v>5183</v>
      </c>
      <c r="M74">
        <v>2792</v>
      </c>
      <c r="N74">
        <v>4831</v>
      </c>
      <c r="O74">
        <v>3436</v>
      </c>
      <c r="P74">
        <v>4502</v>
      </c>
      <c r="Q74">
        <v>2564</v>
      </c>
      <c r="R74">
        <v>3853</v>
      </c>
      <c r="S74">
        <v>1060</v>
      </c>
      <c r="T74">
        <v>254</v>
      </c>
      <c r="U74">
        <f t="shared" si="16"/>
        <v>23968</v>
      </c>
      <c r="V74">
        <f t="shared" si="16"/>
        <v>6699.7</v>
      </c>
      <c r="W74">
        <f t="shared" si="16"/>
        <v>2965.6000000000004</v>
      </c>
      <c r="X74">
        <f t="shared" si="16"/>
        <v>847.8</v>
      </c>
      <c r="Y74">
        <f t="shared" si="16"/>
        <v>498.5</v>
      </c>
      <c r="Z74" s="4">
        <f t="shared" si="19"/>
        <v>0.4094629395514352</v>
      </c>
      <c r="AA74">
        <f t="shared" si="20"/>
        <v>23968</v>
      </c>
      <c r="AB74">
        <f t="shared" si="21"/>
        <v>6404.125</v>
      </c>
      <c r="AC74">
        <f t="shared" si="22"/>
        <v>2359</v>
      </c>
      <c r="AD74">
        <f t="shared" si="23"/>
        <v>353.25</v>
      </c>
      <c r="AE74">
        <f t="shared" si="24"/>
        <v>0.38727788312965306</v>
      </c>
    </row>
    <row r="75" spans="1:31" x14ac:dyDescent="0.35">
      <c r="A75" t="s">
        <v>137</v>
      </c>
      <c r="B75" t="s">
        <v>138</v>
      </c>
      <c r="C75">
        <f>VLOOKUP(CONCATENATE("2011",'2011_60'!A75),aktivnepesseg!$C$2:$D$2226,2,FALSE)</f>
        <v>9622</v>
      </c>
      <c r="D75">
        <f t="shared" si="17"/>
        <v>6527</v>
      </c>
      <c r="E75">
        <f t="shared" si="18"/>
        <v>3095</v>
      </c>
      <c r="F75">
        <v>1829</v>
      </c>
      <c r="G75">
        <v>804</v>
      </c>
      <c r="H75">
        <v>443</v>
      </c>
      <c r="I75">
        <v>547</v>
      </c>
      <c r="J75">
        <v>600</v>
      </c>
      <c r="K75">
        <v>647</v>
      </c>
      <c r="L75">
        <v>441</v>
      </c>
      <c r="M75">
        <v>236</v>
      </c>
      <c r="N75">
        <v>366</v>
      </c>
      <c r="O75">
        <v>231</v>
      </c>
      <c r="P75">
        <v>250</v>
      </c>
      <c r="Q75">
        <v>81</v>
      </c>
      <c r="R75">
        <v>49</v>
      </c>
      <c r="S75">
        <v>3</v>
      </c>
      <c r="T75">
        <v>0</v>
      </c>
      <c r="U75">
        <f t="shared" si="16"/>
        <v>3095</v>
      </c>
      <c r="V75">
        <f t="shared" si="16"/>
        <v>1554.6499999999999</v>
      </c>
      <c r="W75">
        <f t="shared" si="16"/>
        <v>442.20000000000005</v>
      </c>
      <c r="X75">
        <f t="shared" si="16"/>
        <v>132.9</v>
      </c>
      <c r="Y75">
        <f t="shared" si="16"/>
        <v>54.7</v>
      </c>
      <c r="Z75" s="4">
        <f t="shared" si="19"/>
        <v>0.54868530451049669</v>
      </c>
      <c r="AA75">
        <f t="shared" si="20"/>
        <v>3095</v>
      </c>
      <c r="AB75">
        <f t="shared" si="21"/>
        <v>1486.0625</v>
      </c>
      <c r="AC75">
        <f t="shared" si="22"/>
        <v>351.75</v>
      </c>
      <c r="AD75">
        <f t="shared" si="23"/>
        <v>55.375</v>
      </c>
      <c r="AE75">
        <f t="shared" si="24"/>
        <v>0.51841483059654958</v>
      </c>
    </row>
    <row r="76" spans="1:31" x14ac:dyDescent="0.35">
      <c r="A76" t="s">
        <v>139</v>
      </c>
      <c r="B76" t="s">
        <v>140</v>
      </c>
      <c r="C76">
        <f>VLOOKUP(CONCATENATE("2011",'2011_60'!A76),aktivnepesseg!$C$2:$D$2226,2,FALSE)</f>
        <v>25417</v>
      </c>
      <c r="D76">
        <f t="shared" si="17"/>
        <v>17891</v>
      </c>
      <c r="E76">
        <f t="shared" si="18"/>
        <v>7526</v>
      </c>
      <c r="F76">
        <v>2447</v>
      </c>
      <c r="G76">
        <v>1672</v>
      </c>
      <c r="H76">
        <v>996</v>
      </c>
      <c r="I76">
        <v>1585</v>
      </c>
      <c r="J76">
        <v>1972</v>
      </c>
      <c r="K76">
        <v>1742</v>
      </c>
      <c r="L76">
        <v>1603</v>
      </c>
      <c r="M76">
        <v>831</v>
      </c>
      <c r="N76">
        <v>1429</v>
      </c>
      <c r="O76">
        <v>965</v>
      </c>
      <c r="P76">
        <v>1267</v>
      </c>
      <c r="Q76">
        <v>586</v>
      </c>
      <c r="R76">
        <v>666</v>
      </c>
      <c r="S76">
        <v>113</v>
      </c>
      <c r="T76">
        <v>17</v>
      </c>
      <c r="U76">
        <f t="shared" si="16"/>
        <v>7526</v>
      </c>
      <c r="V76">
        <f t="shared" si="16"/>
        <v>2079.9499999999998</v>
      </c>
      <c r="W76">
        <f t="shared" si="16"/>
        <v>919.6</v>
      </c>
      <c r="X76">
        <f t="shared" si="16"/>
        <v>298.8</v>
      </c>
      <c r="Y76">
        <f t="shared" si="16"/>
        <v>158.5</v>
      </c>
      <c r="Z76" s="4">
        <f t="shared" si="19"/>
        <v>0.43210646417751902</v>
      </c>
      <c r="AA76">
        <f t="shared" si="20"/>
        <v>7526</v>
      </c>
      <c r="AB76">
        <f t="shared" si="21"/>
        <v>1988.1875</v>
      </c>
      <c r="AC76">
        <f t="shared" si="22"/>
        <v>731.5</v>
      </c>
      <c r="AD76">
        <f t="shared" si="23"/>
        <v>124.5</v>
      </c>
      <c r="AE76">
        <f t="shared" si="24"/>
        <v>0.40800202620293502</v>
      </c>
    </row>
    <row r="77" spans="1:31" x14ac:dyDescent="0.35">
      <c r="A77" t="s">
        <v>141</v>
      </c>
      <c r="B77" t="s">
        <v>142</v>
      </c>
      <c r="C77">
        <f>VLOOKUP(CONCATENATE("2011",'2011_60'!A77),aktivnepesseg!$C$2:$D$2226,2,FALSE)</f>
        <v>14082</v>
      </c>
      <c r="D77">
        <f t="shared" si="17"/>
        <v>10967</v>
      </c>
      <c r="E77">
        <f t="shared" si="18"/>
        <v>3115</v>
      </c>
      <c r="F77">
        <v>2155</v>
      </c>
      <c r="G77">
        <v>1235</v>
      </c>
      <c r="H77">
        <v>818</v>
      </c>
      <c r="I77">
        <v>1198</v>
      </c>
      <c r="J77">
        <v>1451</v>
      </c>
      <c r="K77">
        <v>1217</v>
      </c>
      <c r="L77">
        <v>810</v>
      </c>
      <c r="M77">
        <v>392</v>
      </c>
      <c r="N77">
        <v>632</v>
      </c>
      <c r="O77">
        <v>405</v>
      </c>
      <c r="P77">
        <v>361</v>
      </c>
      <c r="Q77">
        <v>153</v>
      </c>
      <c r="R77">
        <v>127</v>
      </c>
      <c r="S77">
        <v>13</v>
      </c>
      <c r="T77">
        <v>0</v>
      </c>
      <c r="U77">
        <f t="shared" si="16"/>
        <v>3115</v>
      </c>
      <c r="V77">
        <f t="shared" si="16"/>
        <v>1831.75</v>
      </c>
      <c r="W77">
        <f t="shared" si="16"/>
        <v>679.25</v>
      </c>
      <c r="X77">
        <f t="shared" si="16"/>
        <v>245.39999999999998</v>
      </c>
      <c r="Y77">
        <f t="shared" si="16"/>
        <v>119.80000000000001</v>
      </c>
      <c r="Z77" s="4">
        <f t="shared" si="19"/>
        <v>0.42545093026558728</v>
      </c>
      <c r="AA77">
        <f t="shared" si="20"/>
        <v>3115</v>
      </c>
      <c r="AB77">
        <f t="shared" si="21"/>
        <v>1750.9375</v>
      </c>
      <c r="AC77">
        <f t="shared" si="22"/>
        <v>540.3125</v>
      </c>
      <c r="AD77">
        <f t="shared" si="23"/>
        <v>102.25</v>
      </c>
      <c r="AE77">
        <f t="shared" si="24"/>
        <v>0.39117312881692939</v>
      </c>
    </row>
    <row r="78" spans="1:31" x14ac:dyDescent="0.35">
      <c r="A78" t="s">
        <v>143</v>
      </c>
      <c r="B78" t="s">
        <v>144</v>
      </c>
      <c r="C78">
        <f>VLOOKUP(CONCATENATE("2011",'2011_60'!A78),aktivnepesseg!$C$2:$D$2226,2,FALSE)</f>
        <v>42806</v>
      </c>
      <c r="D78">
        <f t="shared" si="17"/>
        <v>33365</v>
      </c>
      <c r="E78">
        <f t="shared" si="18"/>
        <v>9441</v>
      </c>
      <c r="F78">
        <v>5194</v>
      </c>
      <c r="G78">
        <v>2951</v>
      </c>
      <c r="H78">
        <v>1640</v>
      </c>
      <c r="I78">
        <v>2423</v>
      </c>
      <c r="J78">
        <v>3634</v>
      </c>
      <c r="K78">
        <v>3413</v>
      </c>
      <c r="L78">
        <v>2737</v>
      </c>
      <c r="M78">
        <v>1558</v>
      </c>
      <c r="N78">
        <v>2702</v>
      </c>
      <c r="O78">
        <v>1736</v>
      </c>
      <c r="P78">
        <v>2178</v>
      </c>
      <c r="Q78">
        <v>1257</v>
      </c>
      <c r="R78">
        <v>1603</v>
      </c>
      <c r="S78">
        <v>305</v>
      </c>
      <c r="T78">
        <v>34</v>
      </c>
      <c r="U78">
        <f t="shared" si="16"/>
        <v>9441</v>
      </c>
      <c r="V78">
        <f t="shared" si="16"/>
        <v>4414.8999999999996</v>
      </c>
      <c r="W78">
        <f t="shared" si="16"/>
        <v>1623.0500000000002</v>
      </c>
      <c r="X78">
        <f t="shared" si="16"/>
        <v>492</v>
      </c>
      <c r="Y78">
        <f t="shared" si="16"/>
        <v>242.3</v>
      </c>
      <c r="Z78" s="4">
        <f t="shared" si="19"/>
        <v>0.37876115497827406</v>
      </c>
      <c r="AA78">
        <f t="shared" si="20"/>
        <v>9441</v>
      </c>
      <c r="AB78">
        <f t="shared" si="21"/>
        <v>4220.125</v>
      </c>
      <c r="AC78">
        <f t="shared" si="22"/>
        <v>1291.0625</v>
      </c>
      <c r="AD78">
        <f t="shared" si="23"/>
        <v>205</v>
      </c>
      <c r="AE78">
        <f t="shared" si="24"/>
        <v>0.35409025603887306</v>
      </c>
    </row>
    <row r="79" spans="1:31" x14ac:dyDescent="0.35">
      <c r="A79" t="s">
        <v>145</v>
      </c>
      <c r="B79" t="s">
        <v>146</v>
      </c>
      <c r="C79">
        <f>VLOOKUP(CONCATENATE("2011",'2011_60'!A79),aktivnepesseg!$C$2:$D$2226,2,FALSE)</f>
        <v>118570</v>
      </c>
      <c r="D79">
        <f t="shared" si="17"/>
        <v>92223</v>
      </c>
      <c r="E79">
        <f t="shared" si="18"/>
        <v>26347</v>
      </c>
      <c r="F79">
        <v>13419</v>
      </c>
      <c r="G79">
        <v>7260</v>
      </c>
      <c r="H79">
        <v>4345</v>
      </c>
      <c r="I79">
        <v>6578</v>
      </c>
      <c r="J79">
        <v>9219</v>
      </c>
      <c r="K79">
        <v>8891</v>
      </c>
      <c r="L79">
        <v>7690</v>
      </c>
      <c r="M79">
        <v>4362</v>
      </c>
      <c r="N79">
        <v>8199</v>
      </c>
      <c r="O79">
        <v>5410</v>
      </c>
      <c r="P79">
        <v>6396</v>
      </c>
      <c r="Q79">
        <v>3914</v>
      </c>
      <c r="R79">
        <v>5445</v>
      </c>
      <c r="S79">
        <v>933</v>
      </c>
      <c r="T79">
        <v>162</v>
      </c>
      <c r="U79">
        <f t="shared" si="16"/>
        <v>26347</v>
      </c>
      <c r="V79">
        <f t="shared" si="16"/>
        <v>11406.15</v>
      </c>
      <c r="W79">
        <f t="shared" si="16"/>
        <v>3993.0000000000005</v>
      </c>
      <c r="X79">
        <f t="shared" si="16"/>
        <v>1303.5</v>
      </c>
      <c r="Y79">
        <f t="shared" si="16"/>
        <v>657.80000000000007</v>
      </c>
      <c r="Z79" s="4">
        <f t="shared" si="19"/>
        <v>0.36862148941553519</v>
      </c>
      <c r="AA79">
        <f t="shared" si="20"/>
        <v>26347</v>
      </c>
      <c r="AB79">
        <f t="shared" si="21"/>
        <v>10902.9375</v>
      </c>
      <c r="AC79">
        <f t="shared" si="22"/>
        <v>3176.25</v>
      </c>
      <c r="AD79">
        <f t="shared" si="23"/>
        <v>543.125</v>
      </c>
      <c r="AE79">
        <f t="shared" si="24"/>
        <v>0.34552848528295521</v>
      </c>
    </row>
    <row r="80" spans="1:31" x14ac:dyDescent="0.35">
      <c r="A80" t="s">
        <v>147</v>
      </c>
      <c r="B80" t="s">
        <v>148</v>
      </c>
      <c r="C80">
        <f>VLOOKUP(CONCATENATE("2011",'2011_60'!A80),aktivnepesseg!$C$2:$D$2226,2,FALSE)</f>
        <v>24768</v>
      </c>
      <c r="D80">
        <f t="shared" si="17"/>
        <v>18622</v>
      </c>
      <c r="E80">
        <f t="shared" si="18"/>
        <v>6146</v>
      </c>
      <c r="F80">
        <v>3496</v>
      </c>
      <c r="G80">
        <v>1896</v>
      </c>
      <c r="H80">
        <v>987</v>
      </c>
      <c r="I80">
        <v>1284</v>
      </c>
      <c r="J80">
        <v>2025</v>
      </c>
      <c r="K80">
        <v>2018</v>
      </c>
      <c r="L80">
        <v>1560</v>
      </c>
      <c r="M80">
        <v>894</v>
      </c>
      <c r="N80">
        <v>1567</v>
      </c>
      <c r="O80">
        <v>901</v>
      </c>
      <c r="P80">
        <v>1015</v>
      </c>
      <c r="Q80">
        <v>424</v>
      </c>
      <c r="R80">
        <v>491</v>
      </c>
      <c r="S80">
        <v>57</v>
      </c>
      <c r="T80">
        <v>7</v>
      </c>
      <c r="U80">
        <f t="shared" si="16"/>
        <v>6146</v>
      </c>
      <c r="V80">
        <f t="shared" si="16"/>
        <v>2971.6</v>
      </c>
      <c r="W80">
        <f t="shared" si="16"/>
        <v>1042.8000000000002</v>
      </c>
      <c r="X80">
        <f t="shared" si="16"/>
        <v>296.09999999999997</v>
      </c>
      <c r="Y80">
        <f t="shared" si="16"/>
        <v>128.4</v>
      </c>
      <c r="Z80" s="4">
        <f t="shared" si="19"/>
        <v>0.42736191860465123</v>
      </c>
      <c r="AA80">
        <f t="shared" si="20"/>
        <v>6146</v>
      </c>
      <c r="AB80">
        <f t="shared" si="21"/>
        <v>2840.5</v>
      </c>
      <c r="AC80">
        <f t="shared" si="22"/>
        <v>829.5</v>
      </c>
      <c r="AD80">
        <f t="shared" si="23"/>
        <v>123.375</v>
      </c>
      <c r="AE80">
        <f t="shared" si="24"/>
        <v>0.40129905523255816</v>
      </c>
    </row>
    <row r="81" spans="1:31" x14ac:dyDescent="0.35">
      <c r="A81" t="s">
        <v>149</v>
      </c>
      <c r="B81" t="s">
        <v>150</v>
      </c>
      <c r="C81">
        <f>VLOOKUP(CONCATENATE("2011",'2011_60'!A81),aktivnepesseg!$C$2:$D$2226,2,FALSE)</f>
        <v>24434</v>
      </c>
      <c r="D81">
        <f t="shared" si="17"/>
        <v>18301</v>
      </c>
      <c r="E81">
        <f t="shared" si="18"/>
        <v>6133</v>
      </c>
      <c r="F81">
        <v>3540</v>
      </c>
      <c r="G81">
        <v>1860</v>
      </c>
      <c r="H81">
        <v>1261</v>
      </c>
      <c r="I81">
        <v>1730</v>
      </c>
      <c r="J81">
        <v>2419</v>
      </c>
      <c r="K81">
        <v>1948</v>
      </c>
      <c r="L81">
        <v>1519</v>
      </c>
      <c r="M81">
        <v>715</v>
      </c>
      <c r="N81">
        <v>1246</v>
      </c>
      <c r="O81">
        <v>737</v>
      </c>
      <c r="P81">
        <v>691</v>
      </c>
      <c r="Q81">
        <v>292</v>
      </c>
      <c r="R81">
        <v>300</v>
      </c>
      <c r="S81">
        <v>39</v>
      </c>
      <c r="T81">
        <v>4</v>
      </c>
      <c r="U81">
        <f t="shared" si="16"/>
        <v>6133</v>
      </c>
      <c r="V81">
        <f t="shared" si="16"/>
        <v>3009</v>
      </c>
      <c r="W81">
        <f t="shared" si="16"/>
        <v>1023.0000000000001</v>
      </c>
      <c r="X81">
        <f t="shared" si="16"/>
        <v>378.3</v>
      </c>
      <c r="Y81">
        <f t="shared" si="16"/>
        <v>173</v>
      </c>
      <c r="Z81" s="4">
        <f t="shared" si="19"/>
        <v>0.43858148481623965</v>
      </c>
      <c r="AA81">
        <f t="shared" si="20"/>
        <v>6133</v>
      </c>
      <c r="AB81">
        <f t="shared" si="21"/>
        <v>2876.25</v>
      </c>
      <c r="AC81">
        <f t="shared" si="22"/>
        <v>813.75</v>
      </c>
      <c r="AD81">
        <f t="shared" si="23"/>
        <v>157.625</v>
      </c>
      <c r="AE81">
        <f t="shared" si="24"/>
        <v>0.40847282475239421</v>
      </c>
    </row>
    <row r="82" spans="1:31" x14ac:dyDescent="0.35">
      <c r="A82" t="s">
        <v>151</v>
      </c>
      <c r="B82" t="s">
        <v>152</v>
      </c>
      <c r="C82">
        <f>VLOOKUP(CONCATENATE("2011",'2011_60'!A82),aktivnepesseg!$C$2:$D$2226,2,FALSE)</f>
        <v>13306</v>
      </c>
      <c r="D82">
        <f t="shared" si="17"/>
        <v>8200</v>
      </c>
      <c r="E82">
        <f t="shared" si="18"/>
        <v>5106</v>
      </c>
      <c r="F82">
        <v>1567</v>
      </c>
      <c r="G82">
        <v>850</v>
      </c>
      <c r="H82">
        <v>518</v>
      </c>
      <c r="I82">
        <v>752</v>
      </c>
      <c r="J82">
        <v>1069</v>
      </c>
      <c r="K82">
        <v>855</v>
      </c>
      <c r="L82">
        <v>696</v>
      </c>
      <c r="M82">
        <v>311</v>
      </c>
      <c r="N82">
        <v>634</v>
      </c>
      <c r="O82">
        <v>345</v>
      </c>
      <c r="P82">
        <v>341</v>
      </c>
      <c r="Q82">
        <v>132</v>
      </c>
      <c r="R82">
        <v>117</v>
      </c>
      <c r="S82">
        <v>13</v>
      </c>
      <c r="T82">
        <v>0</v>
      </c>
      <c r="U82">
        <f t="shared" si="16"/>
        <v>5106</v>
      </c>
      <c r="V82">
        <f t="shared" si="16"/>
        <v>1331.95</v>
      </c>
      <c r="W82">
        <f t="shared" si="16"/>
        <v>467.50000000000006</v>
      </c>
      <c r="X82">
        <f t="shared" si="16"/>
        <v>155.4</v>
      </c>
      <c r="Y82">
        <f t="shared" si="16"/>
        <v>75.2</v>
      </c>
      <c r="Z82" s="4">
        <f t="shared" si="19"/>
        <v>0.53630317150157814</v>
      </c>
      <c r="AA82">
        <f t="shared" si="20"/>
        <v>5106</v>
      </c>
      <c r="AB82">
        <f t="shared" si="21"/>
        <v>1273.1875</v>
      </c>
      <c r="AC82">
        <f t="shared" si="22"/>
        <v>371.875</v>
      </c>
      <c r="AD82">
        <f t="shared" si="23"/>
        <v>64.75</v>
      </c>
      <c r="AE82">
        <f t="shared" si="24"/>
        <v>0.51223602134375468</v>
      </c>
    </row>
    <row r="83" spans="1:31" x14ac:dyDescent="0.35">
      <c r="A83" t="s">
        <v>153</v>
      </c>
      <c r="B83" t="s">
        <v>154</v>
      </c>
      <c r="C83">
        <f>VLOOKUP(CONCATENATE("2011",'2011_60'!A83),aktivnepesseg!$C$2:$D$2226,2,FALSE)</f>
        <v>17802</v>
      </c>
      <c r="D83">
        <f t="shared" si="17"/>
        <v>13506</v>
      </c>
      <c r="E83">
        <f t="shared" si="18"/>
        <v>4296</v>
      </c>
      <c r="F83">
        <v>2442</v>
      </c>
      <c r="G83">
        <v>1319</v>
      </c>
      <c r="H83">
        <v>924</v>
      </c>
      <c r="I83">
        <v>1288</v>
      </c>
      <c r="J83">
        <v>1817</v>
      </c>
      <c r="K83">
        <v>1452</v>
      </c>
      <c r="L83">
        <v>1059</v>
      </c>
      <c r="M83">
        <v>550</v>
      </c>
      <c r="N83">
        <v>979</v>
      </c>
      <c r="O83">
        <v>501</v>
      </c>
      <c r="P83">
        <v>619</v>
      </c>
      <c r="Q83">
        <v>237</v>
      </c>
      <c r="R83">
        <v>283</v>
      </c>
      <c r="S83">
        <v>31</v>
      </c>
      <c r="T83">
        <v>5</v>
      </c>
      <c r="U83">
        <f t="shared" si="16"/>
        <v>4296</v>
      </c>
      <c r="V83">
        <f t="shared" si="16"/>
        <v>2075.6999999999998</v>
      </c>
      <c r="W83">
        <f t="shared" si="16"/>
        <v>725.45</v>
      </c>
      <c r="X83">
        <f t="shared" si="16"/>
        <v>277.2</v>
      </c>
      <c r="Y83">
        <f t="shared" si="16"/>
        <v>128.80000000000001</v>
      </c>
      <c r="Z83" s="4">
        <f t="shared" si="19"/>
        <v>0.42147792382878324</v>
      </c>
      <c r="AA83">
        <f t="shared" si="20"/>
        <v>4296</v>
      </c>
      <c r="AB83">
        <f t="shared" si="21"/>
        <v>1984.125</v>
      </c>
      <c r="AC83">
        <f t="shared" si="22"/>
        <v>577.0625</v>
      </c>
      <c r="AD83">
        <f t="shared" si="23"/>
        <v>115.5</v>
      </c>
      <c r="AE83">
        <f t="shared" si="24"/>
        <v>0.39168000786428492</v>
      </c>
    </row>
    <row r="84" spans="1:31" x14ac:dyDescent="0.35">
      <c r="A84" t="s">
        <v>155</v>
      </c>
      <c r="B84" t="s">
        <v>156</v>
      </c>
      <c r="C84">
        <f>VLOOKUP(CONCATENATE("2011",'2011_60'!A84),aktivnepesseg!$C$2:$D$2226,2,FALSE)</f>
        <v>26096</v>
      </c>
      <c r="D84">
        <f t="shared" si="17"/>
        <v>19988</v>
      </c>
      <c r="E84">
        <f t="shared" si="18"/>
        <v>6108</v>
      </c>
      <c r="F84">
        <v>4177</v>
      </c>
      <c r="G84">
        <v>1936</v>
      </c>
      <c r="H84">
        <v>1113</v>
      </c>
      <c r="I84">
        <v>1655</v>
      </c>
      <c r="J84">
        <v>2238</v>
      </c>
      <c r="K84">
        <v>2215</v>
      </c>
      <c r="L84">
        <v>1709</v>
      </c>
      <c r="M84">
        <v>856</v>
      </c>
      <c r="N84">
        <v>1342</v>
      </c>
      <c r="O84">
        <v>766</v>
      </c>
      <c r="P84">
        <v>900</v>
      </c>
      <c r="Q84">
        <v>436</v>
      </c>
      <c r="R84">
        <v>516</v>
      </c>
      <c r="S84">
        <v>110</v>
      </c>
      <c r="T84">
        <v>19</v>
      </c>
      <c r="U84">
        <f t="shared" si="16"/>
        <v>6108</v>
      </c>
      <c r="V84">
        <f t="shared" si="16"/>
        <v>3550.45</v>
      </c>
      <c r="W84">
        <f t="shared" si="16"/>
        <v>1064.8000000000002</v>
      </c>
      <c r="X84">
        <f t="shared" si="16"/>
        <v>333.9</v>
      </c>
      <c r="Y84">
        <f t="shared" si="16"/>
        <v>165.5</v>
      </c>
      <c r="Z84" s="4">
        <f t="shared" si="19"/>
        <v>0.43005249846719801</v>
      </c>
      <c r="AA84">
        <f t="shared" si="20"/>
        <v>6108</v>
      </c>
      <c r="AB84">
        <f t="shared" si="21"/>
        <v>3393.8125</v>
      </c>
      <c r="AC84">
        <f t="shared" si="22"/>
        <v>847</v>
      </c>
      <c r="AD84">
        <f t="shared" si="23"/>
        <v>139.125</v>
      </c>
      <c r="AE84">
        <f t="shared" si="24"/>
        <v>0.40189827942979767</v>
      </c>
    </row>
    <row r="85" spans="1:31" x14ac:dyDescent="0.35">
      <c r="A85" t="s">
        <v>157</v>
      </c>
      <c r="B85" t="s">
        <v>158</v>
      </c>
      <c r="C85">
        <f>VLOOKUP(CONCATENATE("2011",'2011_60'!A85),aktivnepesseg!$C$2:$D$2226,2,FALSE)</f>
        <v>31658</v>
      </c>
      <c r="D85">
        <f t="shared" si="17"/>
        <v>24742</v>
      </c>
      <c r="E85">
        <f t="shared" si="18"/>
        <v>6916</v>
      </c>
      <c r="F85">
        <v>3507</v>
      </c>
      <c r="G85">
        <v>2074</v>
      </c>
      <c r="H85">
        <v>1336</v>
      </c>
      <c r="I85">
        <v>1919</v>
      </c>
      <c r="J85">
        <v>2457</v>
      </c>
      <c r="K85">
        <v>2398</v>
      </c>
      <c r="L85">
        <v>2137</v>
      </c>
      <c r="M85">
        <v>1431</v>
      </c>
      <c r="N85">
        <v>2397</v>
      </c>
      <c r="O85">
        <v>1607</v>
      </c>
      <c r="P85">
        <v>1777</v>
      </c>
      <c r="Q85">
        <v>775</v>
      </c>
      <c r="R85">
        <v>822</v>
      </c>
      <c r="S85">
        <v>92</v>
      </c>
      <c r="T85">
        <v>13</v>
      </c>
      <c r="U85">
        <f t="shared" si="16"/>
        <v>6916</v>
      </c>
      <c r="V85">
        <f t="shared" si="16"/>
        <v>2980.95</v>
      </c>
      <c r="W85">
        <f t="shared" si="16"/>
        <v>1140.7</v>
      </c>
      <c r="X85">
        <f t="shared" si="16"/>
        <v>400.8</v>
      </c>
      <c r="Y85">
        <f t="shared" si="16"/>
        <v>191.9</v>
      </c>
      <c r="Z85" s="4">
        <f t="shared" si="19"/>
        <v>0.36737475519615898</v>
      </c>
      <c r="AA85">
        <f t="shared" si="20"/>
        <v>6916</v>
      </c>
      <c r="AB85">
        <f t="shared" si="21"/>
        <v>2849.4375</v>
      </c>
      <c r="AC85">
        <f t="shared" si="22"/>
        <v>907.375</v>
      </c>
      <c r="AD85">
        <f t="shared" si="23"/>
        <v>167</v>
      </c>
      <c r="AE85">
        <f t="shared" si="24"/>
        <v>0.34240357887421818</v>
      </c>
    </row>
    <row r="86" spans="1:31" x14ac:dyDescent="0.35">
      <c r="A86" t="s">
        <v>159</v>
      </c>
      <c r="B86" t="s">
        <v>160</v>
      </c>
      <c r="C86">
        <f>VLOOKUP(CONCATENATE("2011",'2011_60'!A86),aktivnepesseg!$C$2:$D$2226,2,FALSE)</f>
        <v>7661</v>
      </c>
      <c r="D86">
        <f t="shared" si="17"/>
        <v>5096</v>
      </c>
      <c r="E86">
        <f t="shared" si="18"/>
        <v>2565</v>
      </c>
      <c r="F86">
        <v>1169</v>
      </c>
      <c r="G86">
        <v>533</v>
      </c>
      <c r="H86">
        <v>326</v>
      </c>
      <c r="I86">
        <v>443</v>
      </c>
      <c r="J86">
        <v>699</v>
      </c>
      <c r="K86">
        <v>533</v>
      </c>
      <c r="L86">
        <v>440</v>
      </c>
      <c r="M86">
        <v>196</v>
      </c>
      <c r="N86">
        <v>315</v>
      </c>
      <c r="O86">
        <v>172</v>
      </c>
      <c r="P86">
        <v>159</v>
      </c>
      <c r="Q86">
        <v>53</v>
      </c>
      <c r="R86">
        <v>55</v>
      </c>
      <c r="S86">
        <v>3</v>
      </c>
      <c r="T86">
        <v>0</v>
      </c>
      <c r="U86">
        <f t="shared" si="16"/>
        <v>2565</v>
      </c>
      <c r="V86">
        <f t="shared" si="16"/>
        <v>993.65</v>
      </c>
      <c r="W86">
        <f t="shared" si="16"/>
        <v>293.15000000000003</v>
      </c>
      <c r="X86">
        <f t="shared" si="16"/>
        <v>97.8</v>
      </c>
      <c r="Y86">
        <f t="shared" si="16"/>
        <v>44.300000000000004</v>
      </c>
      <c r="Z86" s="4">
        <f t="shared" si="19"/>
        <v>0.52132880824957584</v>
      </c>
      <c r="AA86">
        <f t="shared" si="20"/>
        <v>2565</v>
      </c>
      <c r="AB86">
        <f t="shared" si="21"/>
        <v>949.8125</v>
      </c>
      <c r="AC86">
        <f t="shared" si="22"/>
        <v>233.1875</v>
      </c>
      <c r="AD86">
        <f t="shared" si="23"/>
        <v>40.75</v>
      </c>
      <c r="AE86">
        <f t="shared" si="24"/>
        <v>0.49455031980159248</v>
      </c>
    </row>
    <row r="87" spans="1:31" x14ac:dyDescent="0.35">
      <c r="A87" t="s">
        <v>161</v>
      </c>
      <c r="B87" t="s">
        <v>162</v>
      </c>
      <c r="C87">
        <f>VLOOKUP(CONCATENATE("2011",'2011_60'!A87),aktivnepesseg!$C$2:$D$2226,2,FALSE)</f>
        <v>20104</v>
      </c>
      <c r="D87">
        <f t="shared" si="17"/>
        <v>13267</v>
      </c>
      <c r="E87">
        <f t="shared" si="18"/>
        <v>6837</v>
      </c>
      <c r="F87">
        <v>2792</v>
      </c>
      <c r="G87">
        <v>1530</v>
      </c>
      <c r="H87">
        <v>927</v>
      </c>
      <c r="I87">
        <v>1234</v>
      </c>
      <c r="J87">
        <v>1508</v>
      </c>
      <c r="K87">
        <v>1349</v>
      </c>
      <c r="L87">
        <v>1006</v>
      </c>
      <c r="M87">
        <v>526</v>
      </c>
      <c r="N87">
        <v>891</v>
      </c>
      <c r="O87">
        <v>506</v>
      </c>
      <c r="P87">
        <v>485</v>
      </c>
      <c r="Q87">
        <v>239</v>
      </c>
      <c r="R87">
        <v>252</v>
      </c>
      <c r="S87">
        <v>22</v>
      </c>
      <c r="T87">
        <v>0</v>
      </c>
      <c r="U87">
        <f t="shared" si="16"/>
        <v>6837</v>
      </c>
      <c r="V87">
        <f t="shared" si="16"/>
        <v>2373.1999999999998</v>
      </c>
      <c r="W87">
        <f t="shared" si="16"/>
        <v>841.50000000000011</v>
      </c>
      <c r="X87">
        <f t="shared" si="16"/>
        <v>278.09999999999997</v>
      </c>
      <c r="Y87">
        <f t="shared" si="16"/>
        <v>123.4</v>
      </c>
      <c r="Z87" s="4">
        <f t="shared" si="19"/>
        <v>0.51995622761639482</v>
      </c>
      <c r="AA87">
        <f t="shared" si="20"/>
        <v>6837</v>
      </c>
      <c r="AB87">
        <f t="shared" si="21"/>
        <v>2268.5</v>
      </c>
      <c r="AC87">
        <f t="shared" si="22"/>
        <v>669.375</v>
      </c>
      <c r="AD87">
        <f t="shared" si="23"/>
        <v>115.875</v>
      </c>
      <c r="AE87">
        <f t="shared" si="24"/>
        <v>0.4919792081177875</v>
      </c>
    </row>
    <row r="88" spans="1:31" x14ac:dyDescent="0.35">
      <c r="A88" t="s">
        <v>163</v>
      </c>
      <c r="B88" t="s">
        <v>164</v>
      </c>
      <c r="C88">
        <f>VLOOKUP(CONCATENATE("2011",'2011_60'!A88),aktivnepesseg!$C$2:$D$2226,2,FALSE)</f>
        <v>34253</v>
      </c>
      <c r="D88">
        <f t="shared" si="17"/>
        <v>25176</v>
      </c>
      <c r="E88">
        <f t="shared" si="18"/>
        <v>9077</v>
      </c>
      <c r="F88">
        <v>4783</v>
      </c>
      <c r="G88">
        <v>2503</v>
      </c>
      <c r="H88">
        <v>1419</v>
      </c>
      <c r="I88">
        <v>1996</v>
      </c>
      <c r="J88">
        <v>2812</v>
      </c>
      <c r="K88">
        <v>2705</v>
      </c>
      <c r="L88">
        <v>2231</v>
      </c>
      <c r="M88">
        <v>1170</v>
      </c>
      <c r="N88">
        <v>2116</v>
      </c>
      <c r="O88">
        <v>1162</v>
      </c>
      <c r="P88">
        <v>1166</v>
      </c>
      <c r="Q88">
        <v>473</v>
      </c>
      <c r="R88">
        <v>543</v>
      </c>
      <c r="S88">
        <v>77</v>
      </c>
      <c r="T88">
        <v>20</v>
      </c>
      <c r="U88">
        <f t="shared" si="16"/>
        <v>9077</v>
      </c>
      <c r="V88">
        <f t="shared" si="16"/>
        <v>4065.5499999999997</v>
      </c>
      <c r="W88">
        <f t="shared" si="16"/>
        <v>1376.65</v>
      </c>
      <c r="X88">
        <f t="shared" si="16"/>
        <v>425.7</v>
      </c>
      <c r="Y88">
        <f t="shared" si="16"/>
        <v>199.60000000000002</v>
      </c>
      <c r="Z88" s="4">
        <f t="shared" si="19"/>
        <v>0.44213645520100431</v>
      </c>
      <c r="AA88">
        <f t="shared" si="20"/>
        <v>9077</v>
      </c>
      <c r="AB88">
        <f t="shared" si="21"/>
        <v>3886.1875</v>
      </c>
      <c r="AC88">
        <f t="shared" si="22"/>
        <v>1095.0625</v>
      </c>
      <c r="AD88">
        <f t="shared" si="23"/>
        <v>177.375</v>
      </c>
      <c r="AE88">
        <f t="shared" si="24"/>
        <v>0.41560228301170699</v>
      </c>
    </row>
    <row r="89" spans="1:31" x14ac:dyDescent="0.35">
      <c r="A89" t="s">
        <v>165</v>
      </c>
      <c r="B89" t="s">
        <v>166</v>
      </c>
      <c r="C89">
        <f>VLOOKUP(CONCATENATE("2011",'2011_60'!A89),aktivnepesseg!$C$2:$D$2226,2,FALSE)</f>
        <v>14125</v>
      </c>
      <c r="D89">
        <f t="shared" si="17"/>
        <v>9550</v>
      </c>
      <c r="E89">
        <f t="shared" si="18"/>
        <v>4575</v>
      </c>
      <c r="F89">
        <v>2231</v>
      </c>
      <c r="G89">
        <v>1167</v>
      </c>
      <c r="H89">
        <v>721</v>
      </c>
      <c r="I89">
        <v>896</v>
      </c>
      <c r="J89">
        <v>1083</v>
      </c>
      <c r="K89">
        <v>912</v>
      </c>
      <c r="L89">
        <v>732</v>
      </c>
      <c r="M89">
        <v>336</v>
      </c>
      <c r="N89">
        <v>621</v>
      </c>
      <c r="O89">
        <v>373</v>
      </c>
      <c r="P89">
        <v>297</v>
      </c>
      <c r="Q89">
        <v>119</v>
      </c>
      <c r="R89">
        <v>59</v>
      </c>
      <c r="S89">
        <v>3</v>
      </c>
      <c r="T89">
        <v>0</v>
      </c>
      <c r="U89">
        <f t="shared" si="16"/>
        <v>4575</v>
      </c>
      <c r="V89">
        <f t="shared" si="16"/>
        <v>1896.35</v>
      </c>
      <c r="W89">
        <f t="shared" si="16"/>
        <v>641.85</v>
      </c>
      <c r="X89">
        <f t="shared" si="16"/>
        <v>216.29999999999998</v>
      </c>
      <c r="Y89">
        <f t="shared" si="16"/>
        <v>89.600000000000009</v>
      </c>
      <c r="Z89" s="4">
        <f t="shared" si="19"/>
        <v>0.52524601769911516</v>
      </c>
      <c r="AA89">
        <f t="shared" si="20"/>
        <v>4575</v>
      </c>
      <c r="AB89">
        <f t="shared" si="21"/>
        <v>1812.6875</v>
      </c>
      <c r="AC89">
        <f t="shared" si="22"/>
        <v>510.5625</v>
      </c>
      <c r="AD89">
        <f t="shared" si="23"/>
        <v>90.125</v>
      </c>
      <c r="AE89">
        <f t="shared" si="24"/>
        <v>0.49475221238938055</v>
      </c>
    </row>
    <row r="90" spans="1:31" x14ac:dyDescent="0.35">
      <c r="A90" t="s">
        <v>431</v>
      </c>
      <c r="B90" t="s">
        <v>168</v>
      </c>
      <c r="C90">
        <f>VLOOKUP(CONCATENATE("2011",'2011_60'!A90),aktivnepesseg!$C$2:$D$2226,2,FALSE)</f>
        <v>9897</v>
      </c>
      <c r="D90">
        <f t="shared" si="17"/>
        <v>6965</v>
      </c>
      <c r="E90">
        <f t="shared" si="18"/>
        <v>2932</v>
      </c>
      <c r="F90">
        <v>1761</v>
      </c>
      <c r="G90">
        <v>791</v>
      </c>
      <c r="H90">
        <v>466</v>
      </c>
      <c r="I90">
        <v>518</v>
      </c>
      <c r="J90">
        <v>723</v>
      </c>
      <c r="K90">
        <v>739</v>
      </c>
      <c r="L90">
        <v>564</v>
      </c>
      <c r="M90">
        <v>245</v>
      </c>
      <c r="N90">
        <v>466</v>
      </c>
      <c r="O90">
        <v>272</v>
      </c>
      <c r="P90">
        <v>268</v>
      </c>
      <c r="Q90">
        <v>82</v>
      </c>
      <c r="R90">
        <v>62</v>
      </c>
      <c r="S90">
        <v>8</v>
      </c>
      <c r="T90">
        <v>0</v>
      </c>
      <c r="U90">
        <f t="shared" si="16"/>
        <v>2932</v>
      </c>
      <c r="V90">
        <f t="shared" si="16"/>
        <v>1496.85</v>
      </c>
      <c r="W90">
        <f t="shared" si="16"/>
        <v>435.05</v>
      </c>
      <c r="X90">
        <f t="shared" si="16"/>
        <v>139.79999999999998</v>
      </c>
      <c r="Y90">
        <f t="shared" si="16"/>
        <v>51.800000000000004</v>
      </c>
      <c r="Z90" s="4">
        <f t="shared" si="19"/>
        <v>0.51081135697686175</v>
      </c>
      <c r="AA90">
        <f t="shared" si="20"/>
        <v>2932</v>
      </c>
      <c r="AB90">
        <f t="shared" si="21"/>
        <v>1430.8125</v>
      </c>
      <c r="AC90">
        <f t="shared" si="22"/>
        <v>346.0625</v>
      </c>
      <c r="AD90">
        <f t="shared" si="23"/>
        <v>58.25</v>
      </c>
      <c r="AE90">
        <f t="shared" si="24"/>
        <v>0.48167373951702536</v>
      </c>
    </row>
    <row r="91" spans="1:31" x14ac:dyDescent="0.35">
      <c r="A91" t="s">
        <v>169</v>
      </c>
      <c r="B91" t="s">
        <v>170</v>
      </c>
      <c r="C91">
        <f>VLOOKUP(CONCATENATE("2011",'2011_60'!A91),aktivnepesseg!$C$2:$D$2226,2,FALSE)</f>
        <v>19130</v>
      </c>
      <c r="D91">
        <f t="shared" si="17"/>
        <v>13156</v>
      </c>
      <c r="E91">
        <f t="shared" si="18"/>
        <v>5974</v>
      </c>
      <c r="F91">
        <v>2208</v>
      </c>
      <c r="G91">
        <v>1327</v>
      </c>
      <c r="H91">
        <v>864</v>
      </c>
      <c r="I91">
        <v>1144</v>
      </c>
      <c r="J91">
        <v>1499</v>
      </c>
      <c r="K91">
        <v>1720</v>
      </c>
      <c r="L91">
        <v>1185</v>
      </c>
      <c r="M91">
        <v>624</v>
      </c>
      <c r="N91">
        <v>982</v>
      </c>
      <c r="O91">
        <v>554</v>
      </c>
      <c r="P91">
        <v>569</v>
      </c>
      <c r="Q91">
        <v>221</v>
      </c>
      <c r="R91">
        <v>230</v>
      </c>
      <c r="S91">
        <v>29</v>
      </c>
      <c r="T91">
        <v>0</v>
      </c>
      <c r="U91">
        <f t="shared" si="16"/>
        <v>5974</v>
      </c>
      <c r="V91">
        <f t="shared" si="16"/>
        <v>1876.8</v>
      </c>
      <c r="W91">
        <f t="shared" si="16"/>
        <v>729.85</v>
      </c>
      <c r="X91">
        <f t="shared" si="16"/>
        <v>259.2</v>
      </c>
      <c r="Y91">
        <f t="shared" si="16"/>
        <v>114.4</v>
      </c>
      <c r="Z91" s="4">
        <f t="shared" si="19"/>
        <v>0.46807370622059591</v>
      </c>
      <c r="AA91">
        <f t="shared" si="20"/>
        <v>5974</v>
      </c>
      <c r="AB91">
        <f t="shared" si="21"/>
        <v>1794</v>
      </c>
      <c r="AC91">
        <f t="shared" si="22"/>
        <v>580.5625</v>
      </c>
      <c r="AD91">
        <f t="shared" si="23"/>
        <v>108</v>
      </c>
      <c r="AE91">
        <f t="shared" si="24"/>
        <v>0.44205763199163617</v>
      </c>
    </row>
    <row r="92" spans="1:31" x14ac:dyDescent="0.35">
      <c r="A92" t="s">
        <v>171</v>
      </c>
      <c r="B92" t="s">
        <v>172</v>
      </c>
      <c r="C92">
        <f>VLOOKUP(CONCATENATE("2011",'2011_60'!A92),aktivnepesseg!$C$2:$D$2226,2,FALSE)</f>
        <v>30636</v>
      </c>
      <c r="D92">
        <f t="shared" si="17"/>
        <v>23715</v>
      </c>
      <c r="E92">
        <f t="shared" si="18"/>
        <v>6921</v>
      </c>
      <c r="F92">
        <v>3400</v>
      </c>
      <c r="G92">
        <v>1922</v>
      </c>
      <c r="H92">
        <v>1290</v>
      </c>
      <c r="I92">
        <v>1915</v>
      </c>
      <c r="J92">
        <v>2614</v>
      </c>
      <c r="K92">
        <v>2950</v>
      </c>
      <c r="L92">
        <v>2228</v>
      </c>
      <c r="M92">
        <v>1181</v>
      </c>
      <c r="N92">
        <v>2193</v>
      </c>
      <c r="O92">
        <v>1215</v>
      </c>
      <c r="P92">
        <v>1293</v>
      </c>
      <c r="Q92">
        <v>592</v>
      </c>
      <c r="R92">
        <v>756</v>
      </c>
      <c r="S92">
        <v>135</v>
      </c>
      <c r="T92">
        <v>31</v>
      </c>
      <c r="U92">
        <f t="shared" si="16"/>
        <v>6921</v>
      </c>
      <c r="V92">
        <f t="shared" si="16"/>
        <v>2890</v>
      </c>
      <c r="W92">
        <f t="shared" si="16"/>
        <v>1057.1000000000001</v>
      </c>
      <c r="X92">
        <f t="shared" si="16"/>
        <v>387</v>
      </c>
      <c r="Y92">
        <f t="shared" si="16"/>
        <v>191.5</v>
      </c>
      <c r="Z92" s="4">
        <f t="shared" si="19"/>
        <v>0.37363232798015406</v>
      </c>
      <c r="AA92">
        <f t="shared" si="20"/>
        <v>6921</v>
      </c>
      <c r="AB92">
        <f t="shared" si="21"/>
        <v>2762.5</v>
      </c>
      <c r="AC92">
        <f t="shared" si="22"/>
        <v>840.875</v>
      </c>
      <c r="AD92">
        <f t="shared" si="23"/>
        <v>161.25</v>
      </c>
      <c r="AE92">
        <f t="shared" si="24"/>
        <v>0.34879308656482572</v>
      </c>
    </row>
    <row r="93" spans="1:31" x14ac:dyDescent="0.35">
      <c r="A93" t="s">
        <v>173</v>
      </c>
      <c r="B93" t="s">
        <v>174</v>
      </c>
      <c r="C93">
        <f>VLOOKUP(CONCATENATE("2011",'2011_60'!A93),aktivnepesseg!$C$2:$D$2226,2,FALSE)</f>
        <v>31987</v>
      </c>
      <c r="D93">
        <f t="shared" si="17"/>
        <v>22590</v>
      </c>
      <c r="E93">
        <f t="shared" si="18"/>
        <v>9397</v>
      </c>
      <c r="F93">
        <v>4799</v>
      </c>
      <c r="G93">
        <v>2519</v>
      </c>
      <c r="H93">
        <v>1388</v>
      </c>
      <c r="I93">
        <v>2029</v>
      </c>
      <c r="J93">
        <v>3028</v>
      </c>
      <c r="K93">
        <v>2226</v>
      </c>
      <c r="L93">
        <v>1560</v>
      </c>
      <c r="M93">
        <v>883</v>
      </c>
      <c r="N93">
        <v>1612</v>
      </c>
      <c r="O93">
        <v>785</v>
      </c>
      <c r="P93">
        <v>908</v>
      </c>
      <c r="Q93">
        <v>386</v>
      </c>
      <c r="R93">
        <v>412</v>
      </c>
      <c r="S93">
        <v>52</v>
      </c>
      <c r="T93">
        <v>3</v>
      </c>
      <c r="U93">
        <f t="shared" si="16"/>
        <v>9397</v>
      </c>
      <c r="V93">
        <f t="shared" si="16"/>
        <v>4079.15</v>
      </c>
      <c r="W93">
        <f t="shared" si="16"/>
        <v>1385.45</v>
      </c>
      <c r="X93">
        <f t="shared" si="16"/>
        <v>416.4</v>
      </c>
      <c r="Y93">
        <f t="shared" si="16"/>
        <v>202.9</v>
      </c>
      <c r="Z93" s="4">
        <f t="shared" si="19"/>
        <v>0.48397473973801858</v>
      </c>
      <c r="AA93">
        <f t="shared" si="20"/>
        <v>9397</v>
      </c>
      <c r="AB93">
        <f t="shared" si="21"/>
        <v>3899.1875</v>
      </c>
      <c r="AC93">
        <f t="shared" si="22"/>
        <v>1102.0625</v>
      </c>
      <c r="AD93">
        <f t="shared" si="23"/>
        <v>173.5</v>
      </c>
      <c r="AE93">
        <f t="shared" si="24"/>
        <v>0.45555225560383905</v>
      </c>
    </row>
    <row r="94" spans="1:31" x14ac:dyDescent="0.35">
      <c r="A94" t="s">
        <v>175</v>
      </c>
      <c r="B94" t="s">
        <v>176</v>
      </c>
      <c r="C94">
        <f>VLOOKUP(CONCATENATE("2011",'2011_60'!A94),aktivnepesseg!$C$2:$D$2226,2,FALSE)</f>
        <v>71200</v>
      </c>
      <c r="D94">
        <f t="shared" si="17"/>
        <v>51109</v>
      </c>
      <c r="E94">
        <f t="shared" si="18"/>
        <v>20091</v>
      </c>
      <c r="F94">
        <v>9800</v>
      </c>
      <c r="G94">
        <v>4776</v>
      </c>
      <c r="H94">
        <v>2702</v>
      </c>
      <c r="I94">
        <v>4247</v>
      </c>
      <c r="J94">
        <v>5687</v>
      </c>
      <c r="K94">
        <v>5486</v>
      </c>
      <c r="L94">
        <v>4340</v>
      </c>
      <c r="M94">
        <v>2270</v>
      </c>
      <c r="N94">
        <v>3947</v>
      </c>
      <c r="O94">
        <v>2331</v>
      </c>
      <c r="P94">
        <v>2672</v>
      </c>
      <c r="Q94">
        <v>1231</v>
      </c>
      <c r="R94">
        <v>1432</v>
      </c>
      <c r="S94">
        <v>173</v>
      </c>
      <c r="T94">
        <v>15</v>
      </c>
      <c r="U94">
        <f t="shared" si="16"/>
        <v>20091</v>
      </c>
      <c r="V94">
        <f t="shared" si="16"/>
        <v>8330</v>
      </c>
      <c r="W94">
        <f t="shared" si="16"/>
        <v>2626.8</v>
      </c>
      <c r="X94">
        <f t="shared" si="16"/>
        <v>810.6</v>
      </c>
      <c r="Y94">
        <f t="shared" si="16"/>
        <v>424.70000000000005</v>
      </c>
      <c r="Z94" s="4">
        <f t="shared" si="19"/>
        <v>0.45341432584269659</v>
      </c>
      <c r="AA94">
        <f t="shared" si="20"/>
        <v>20091</v>
      </c>
      <c r="AB94">
        <f t="shared" si="21"/>
        <v>7962.5</v>
      </c>
      <c r="AC94">
        <f t="shared" si="22"/>
        <v>2089.5</v>
      </c>
      <c r="AD94">
        <f t="shared" si="23"/>
        <v>337.75</v>
      </c>
      <c r="AE94">
        <f t="shared" si="24"/>
        <v>0.42810042134831461</v>
      </c>
    </row>
    <row r="95" spans="1:31" x14ac:dyDescent="0.35">
      <c r="A95" t="s">
        <v>177</v>
      </c>
      <c r="B95" t="s">
        <v>178</v>
      </c>
      <c r="C95">
        <f>VLOOKUP(CONCATENATE("2011",'2011_60'!A95),aktivnepesseg!$C$2:$D$2226,2,FALSE)</f>
        <v>15265</v>
      </c>
      <c r="D95">
        <f t="shared" si="17"/>
        <v>12217</v>
      </c>
      <c r="E95">
        <f t="shared" si="18"/>
        <v>3048</v>
      </c>
      <c r="F95">
        <v>2310</v>
      </c>
      <c r="G95">
        <v>981</v>
      </c>
      <c r="H95">
        <v>617</v>
      </c>
      <c r="I95">
        <v>994</v>
      </c>
      <c r="J95">
        <v>1536</v>
      </c>
      <c r="K95">
        <v>1401</v>
      </c>
      <c r="L95">
        <v>1081</v>
      </c>
      <c r="M95">
        <v>613</v>
      </c>
      <c r="N95">
        <v>1091</v>
      </c>
      <c r="O95">
        <v>638</v>
      </c>
      <c r="P95">
        <v>526</v>
      </c>
      <c r="Q95">
        <v>210</v>
      </c>
      <c r="R95">
        <v>206</v>
      </c>
      <c r="S95">
        <v>13</v>
      </c>
      <c r="T95">
        <v>0</v>
      </c>
      <c r="U95">
        <f t="shared" si="16"/>
        <v>3048</v>
      </c>
      <c r="V95">
        <f t="shared" si="16"/>
        <v>1963.5</v>
      </c>
      <c r="W95">
        <f t="shared" si="16"/>
        <v>539.55000000000007</v>
      </c>
      <c r="X95">
        <f t="shared" si="16"/>
        <v>185.1</v>
      </c>
      <c r="Y95">
        <f t="shared" si="16"/>
        <v>99.4</v>
      </c>
      <c r="Z95" s="4">
        <f t="shared" si="19"/>
        <v>0.3822830003275467</v>
      </c>
      <c r="AA95">
        <f t="shared" si="20"/>
        <v>3048</v>
      </c>
      <c r="AB95">
        <f t="shared" si="21"/>
        <v>1876.875</v>
      </c>
      <c r="AC95">
        <f t="shared" si="22"/>
        <v>429.1875</v>
      </c>
      <c r="AD95">
        <f t="shared" si="23"/>
        <v>77.125</v>
      </c>
      <c r="AE95">
        <f t="shared" si="24"/>
        <v>0.3557934818211595</v>
      </c>
    </row>
    <row r="96" spans="1:31" x14ac:dyDescent="0.35">
      <c r="A96" t="s">
        <v>179</v>
      </c>
      <c r="B96" t="s">
        <v>180</v>
      </c>
      <c r="C96">
        <f>VLOOKUP(CONCATENATE("2011",'2011_60'!A96),aktivnepesseg!$C$2:$D$2226,2,FALSE)</f>
        <v>25478</v>
      </c>
      <c r="D96">
        <f t="shared" si="17"/>
        <v>18161</v>
      </c>
      <c r="E96">
        <f t="shared" si="18"/>
        <v>7317</v>
      </c>
      <c r="F96">
        <v>3828</v>
      </c>
      <c r="G96">
        <v>1967</v>
      </c>
      <c r="H96">
        <v>1018</v>
      </c>
      <c r="I96">
        <v>1483</v>
      </c>
      <c r="J96">
        <v>2063</v>
      </c>
      <c r="K96">
        <v>1943</v>
      </c>
      <c r="L96">
        <v>1420</v>
      </c>
      <c r="M96">
        <v>764</v>
      </c>
      <c r="N96">
        <v>1358</v>
      </c>
      <c r="O96">
        <v>824</v>
      </c>
      <c r="P96">
        <v>785</v>
      </c>
      <c r="Q96">
        <v>329</v>
      </c>
      <c r="R96">
        <v>340</v>
      </c>
      <c r="S96">
        <v>35</v>
      </c>
      <c r="T96">
        <v>4</v>
      </c>
      <c r="U96">
        <f t="shared" si="16"/>
        <v>7317</v>
      </c>
      <c r="V96">
        <f t="shared" si="16"/>
        <v>3253.7999999999997</v>
      </c>
      <c r="W96">
        <f t="shared" si="16"/>
        <v>1081.8500000000001</v>
      </c>
      <c r="X96">
        <f t="shared" si="16"/>
        <v>305.39999999999998</v>
      </c>
      <c r="Y96">
        <f t="shared" si="16"/>
        <v>148.30000000000001</v>
      </c>
      <c r="Z96" s="4">
        <f t="shared" si="19"/>
        <v>0.47516877305910976</v>
      </c>
      <c r="AA96">
        <f t="shared" si="20"/>
        <v>7317</v>
      </c>
      <c r="AB96">
        <f t="shared" si="21"/>
        <v>3110.25</v>
      </c>
      <c r="AC96">
        <f t="shared" si="22"/>
        <v>860.5625</v>
      </c>
      <c r="AD96">
        <f t="shared" si="23"/>
        <v>127.25</v>
      </c>
      <c r="AE96">
        <f t="shared" si="24"/>
        <v>0.44803605071041686</v>
      </c>
    </row>
    <row r="97" spans="1:31" x14ac:dyDescent="0.35">
      <c r="A97" t="s">
        <v>181</v>
      </c>
      <c r="B97" t="s">
        <v>182</v>
      </c>
      <c r="C97">
        <f>VLOOKUP(CONCATENATE("2011",'2011_60'!A97),aktivnepesseg!$C$2:$D$2226,2,FALSE)</f>
        <v>40405</v>
      </c>
      <c r="D97">
        <f t="shared" si="17"/>
        <v>27966</v>
      </c>
      <c r="E97">
        <f t="shared" si="18"/>
        <v>12439</v>
      </c>
      <c r="F97">
        <v>5100</v>
      </c>
      <c r="G97">
        <v>2691</v>
      </c>
      <c r="H97">
        <v>1617</v>
      </c>
      <c r="I97">
        <v>2007</v>
      </c>
      <c r="J97">
        <v>2873</v>
      </c>
      <c r="K97">
        <v>2844</v>
      </c>
      <c r="L97">
        <v>2153</v>
      </c>
      <c r="M97">
        <v>1160</v>
      </c>
      <c r="N97">
        <v>2259</v>
      </c>
      <c r="O97">
        <v>1650</v>
      </c>
      <c r="P97">
        <v>1847</v>
      </c>
      <c r="Q97">
        <v>776</v>
      </c>
      <c r="R97">
        <v>858</v>
      </c>
      <c r="S97">
        <v>109</v>
      </c>
      <c r="T97">
        <v>22</v>
      </c>
      <c r="U97">
        <f t="shared" si="16"/>
        <v>12439</v>
      </c>
      <c r="V97">
        <f t="shared" si="16"/>
        <v>4335</v>
      </c>
      <c r="W97">
        <f t="shared" si="16"/>
        <v>1480.0500000000002</v>
      </c>
      <c r="X97">
        <f t="shared" si="16"/>
        <v>485.09999999999997</v>
      </c>
      <c r="Y97">
        <f t="shared" si="16"/>
        <v>200.70000000000002</v>
      </c>
      <c r="Z97" s="4">
        <f t="shared" si="19"/>
        <v>0.46875015468382625</v>
      </c>
      <c r="AA97">
        <f t="shared" si="20"/>
        <v>12439</v>
      </c>
      <c r="AB97">
        <f t="shared" si="21"/>
        <v>4143.75</v>
      </c>
      <c r="AC97">
        <f t="shared" si="22"/>
        <v>1177.3125</v>
      </c>
      <c r="AD97">
        <f t="shared" si="23"/>
        <v>202.125</v>
      </c>
      <c r="AE97">
        <f t="shared" si="24"/>
        <v>0.44455358247741616</v>
      </c>
    </row>
    <row r="98" spans="1:31" x14ac:dyDescent="0.35">
      <c r="A98" t="s">
        <v>183</v>
      </c>
      <c r="B98" t="s">
        <v>184</v>
      </c>
      <c r="C98">
        <f>VLOOKUP(CONCATENATE("2011",'2011_60'!A98),aktivnepesseg!$C$2:$D$2226,2,FALSE)</f>
        <v>95763</v>
      </c>
      <c r="D98">
        <f t="shared" si="17"/>
        <v>70901</v>
      </c>
      <c r="E98">
        <f t="shared" si="18"/>
        <v>24862</v>
      </c>
      <c r="F98">
        <v>11067</v>
      </c>
      <c r="G98">
        <v>6323</v>
      </c>
      <c r="H98">
        <v>3640</v>
      </c>
      <c r="I98">
        <v>5536</v>
      </c>
      <c r="J98">
        <v>8105</v>
      </c>
      <c r="K98">
        <v>7228</v>
      </c>
      <c r="L98">
        <v>6144</v>
      </c>
      <c r="M98">
        <v>3259</v>
      </c>
      <c r="N98">
        <v>6051</v>
      </c>
      <c r="O98">
        <v>3779</v>
      </c>
      <c r="P98">
        <v>4440</v>
      </c>
      <c r="Q98">
        <v>2112</v>
      </c>
      <c r="R98">
        <v>2637</v>
      </c>
      <c r="S98">
        <v>469</v>
      </c>
      <c r="T98">
        <v>111</v>
      </c>
      <c r="U98">
        <f t="shared" si="16"/>
        <v>24862</v>
      </c>
      <c r="V98">
        <f t="shared" si="16"/>
        <v>9406.9499999999989</v>
      </c>
      <c r="W98">
        <f t="shared" si="16"/>
        <v>3477.65</v>
      </c>
      <c r="X98">
        <f t="shared" si="16"/>
        <v>1092</v>
      </c>
      <c r="Y98">
        <f t="shared" si="16"/>
        <v>553.6</v>
      </c>
      <c r="Z98" s="4">
        <f t="shared" si="19"/>
        <v>0.41135093929805872</v>
      </c>
      <c r="AA98">
        <f t="shared" si="20"/>
        <v>24862</v>
      </c>
      <c r="AB98">
        <f t="shared" si="21"/>
        <v>8991.9375</v>
      </c>
      <c r="AC98">
        <f t="shared" si="22"/>
        <v>2766.3125</v>
      </c>
      <c r="AD98">
        <f t="shared" si="23"/>
        <v>455</v>
      </c>
      <c r="AE98">
        <f t="shared" si="24"/>
        <v>0.38715631298100517</v>
      </c>
    </row>
    <row r="99" spans="1:31" x14ac:dyDescent="0.35">
      <c r="A99" t="s">
        <v>185</v>
      </c>
      <c r="B99" t="s">
        <v>186</v>
      </c>
      <c r="C99">
        <f>VLOOKUP(CONCATENATE("2011",'2011_60'!A99),aktivnepesseg!$C$2:$D$2226,2,FALSE)</f>
        <v>13388</v>
      </c>
      <c r="D99">
        <f t="shared" si="17"/>
        <v>8947</v>
      </c>
      <c r="E99">
        <f t="shared" si="18"/>
        <v>4441</v>
      </c>
      <c r="F99">
        <v>1966</v>
      </c>
      <c r="G99">
        <v>1101</v>
      </c>
      <c r="H99">
        <v>721</v>
      </c>
      <c r="I99">
        <v>787</v>
      </c>
      <c r="J99">
        <v>998</v>
      </c>
      <c r="K99">
        <v>987</v>
      </c>
      <c r="L99">
        <v>690</v>
      </c>
      <c r="M99">
        <v>318</v>
      </c>
      <c r="N99">
        <v>596</v>
      </c>
      <c r="O99">
        <v>326</v>
      </c>
      <c r="P99">
        <v>297</v>
      </c>
      <c r="Q99">
        <v>92</v>
      </c>
      <c r="R99">
        <v>62</v>
      </c>
      <c r="S99">
        <v>6</v>
      </c>
      <c r="T99">
        <v>0</v>
      </c>
      <c r="U99">
        <f t="shared" si="16"/>
        <v>4441</v>
      </c>
      <c r="V99">
        <f t="shared" si="16"/>
        <v>1671.1</v>
      </c>
      <c r="W99">
        <f t="shared" si="16"/>
        <v>605.55000000000007</v>
      </c>
      <c r="X99">
        <f t="shared" si="16"/>
        <v>216.29999999999998</v>
      </c>
      <c r="Y99">
        <f t="shared" si="16"/>
        <v>78.7</v>
      </c>
      <c r="Z99" s="4">
        <f t="shared" si="19"/>
        <v>0.52380116522258746</v>
      </c>
      <c r="AA99">
        <f t="shared" si="20"/>
        <v>4441</v>
      </c>
      <c r="AB99">
        <f t="shared" si="21"/>
        <v>1597.375</v>
      </c>
      <c r="AC99">
        <f t="shared" si="22"/>
        <v>481.6875</v>
      </c>
      <c r="AD99">
        <f t="shared" si="23"/>
        <v>90.125</v>
      </c>
      <c r="AE99">
        <f t="shared" si="24"/>
        <v>0.49373972960860474</v>
      </c>
    </row>
    <row r="100" spans="1:31" x14ac:dyDescent="0.35">
      <c r="A100" t="s">
        <v>187</v>
      </c>
      <c r="B100" t="s">
        <v>188</v>
      </c>
      <c r="C100">
        <f>VLOOKUP(CONCATENATE("2011",'2011_60'!A100),aktivnepesseg!$C$2:$D$2226,2,FALSE)</f>
        <v>29737</v>
      </c>
      <c r="D100">
        <f t="shared" si="17"/>
        <v>23184</v>
      </c>
      <c r="E100">
        <f t="shared" si="18"/>
        <v>6553</v>
      </c>
      <c r="F100">
        <v>4640</v>
      </c>
      <c r="G100">
        <v>2279</v>
      </c>
      <c r="H100">
        <v>1378</v>
      </c>
      <c r="I100">
        <v>2031</v>
      </c>
      <c r="J100">
        <v>2932</v>
      </c>
      <c r="K100">
        <v>2781</v>
      </c>
      <c r="L100">
        <v>1836</v>
      </c>
      <c r="M100">
        <v>932</v>
      </c>
      <c r="N100">
        <v>1485</v>
      </c>
      <c r="O100">
        <v>836</v>
      </c>
      <c r="P100">
        <v>950</v>
      </c>
      <c r="Q100">
        <v>465</v>
      </c>
      <c r="R100">
        <v>545</v>
      </c>
      <c r="S100">
        <v>82</v>
      </c>
      <c r="T100">
        <v>12</v>
      </c>
      <c r="U100">
        <f t="shared" si="16"/>
        <v>6553</v>
      </c>
      <c r="V100">
        <f t="shared" si="16"/>
        <v>3944</v>
      </c>
      <c r="W100">
        <f t="shared" si="16"/>
        <v>1253.45</v>
      </c>
      <c r="X100">
        <f t="shared" si="16"/>
        <v>413.4</v>
      </c>
      <c r="Y100">
        <f t="shared" si="16"/>
        <v>203.10000000000002</v>
      </c>
      <c r="Z100" s="4">
        <f t="shared" si="19"/>
        <v>0.41587752631401959</v>
      </c>
      <c r="AA100">
        <f t="shared" si="20"/>
        <v>6553</v>
      </c>
      <c r="AB100">
        <f t="shared" si="21"/>
        <v>3770</v>
      </c>
      <c r="AC100">
        <f t="shared" si="22"/>
        <v>997.0625</v>
      </c>
      <c r="AD100">
        <f t="shared" si="23"/>
        <v>172.25</v>
      </c>
      <c r="AE100">
        <f t="shared" si="24"/>
        <v>0.38646509399065138</v>
      </c>
    </row>
    <row r="101" spans="1:31" x14ac:dyDescent="0.35">
      <c r="A101" t="s">
        <v>189</v>
      </c>
      <c r="B101" t="s">
        <v>190</v>
      </c>
      <c r="C101">
        <f>VLOOKUP(CONCATENATE("2011",'2011_60'!A101),aktivnepesseg!$C$2:$D$2226,2,FALSE)</f>
        <v>12734</v>
      </c>
      <c r="D101">
        <f t="shared" si="17"/>
        <v>10135</v>
      </c>
      <c r="E101">
        <f t="shared" si="18"/>
        <v>2599</v>
      </c>
      <c r="F101">
        <v>1296</v>
      </c>
      <c r="G101">
        <v>765</v>
      </c>
      <c r="H101">
        <v>462</v>
      </c>
      <c r="I101">
        <v>732</v>
      </c>
      <c r="J101">
        <v>929</v>
      </c>
      <c r="K101">
        <v>1124</v>
      </c>
      <c r="L101">
        <v>1284</v>
      </c>
      <c r="M101">
        <v>787</v>
      </c>
      <c r="N101">
        <v>1118</v>
      </c>
      <c r="O101">
        <v>586</v>
      </c>
      <c r="P101">
        <v>543</v>
      </c>
      <c r="Q101">
        <v>247</v>
      </c>
      <c r="R101">
        <v>254</v>
      </c>
      <c r="S101">
        <v>8</v>
      </c>
      <c r="T101">
        <v>0</v>
      </c>
      <c r="U101">
        <f t="shared" si="16"/>
        <v>2599</v>
      </c>
      <c r="V101">
        <f t="shared" si="16"/>
        <v>1101.5999999999999</v>
      </c>
      <c r="W101">
        <f t="shared" si="16"/>
        <v>420.75000000000006</v>
      </c>
      <c r="X101">
        <f t="shared" si="16"/>
        <v>138.6</v>
      </c>
      <c r="Y101">
        <f t="shared" si="16"/>
        <v>73.2</v>
      </c>
      <c r="Z101" s="4">
        <f t="shared" si="19"/>
        <v>0.34028192241243921</v>
      </c>
      <c r="AA101">
        <f t="shared" si="20"/>
        <v>2599</v>
      </c>
      <c r="AB101">
        <f t="shared" si="21"/>
        <v>1053</v>
      </c>
      <c r="AC101">
        <f t="shared" si="22"/>
        <v>334.6875</v>
      </c>
      <c r="AD101">
        <f t="shared" si="23"/>
        <v>57.75</v>
      </c>
      <c r="AE101">
        <f t="shared" si="24"/>
        <v>0.31760935291346004</v>
      </c>
    </row>
    <row r="102" spans="1:31" x14ac:dyDescent="0.35">
      <c r="A102" t="s">
        <v>191</v>
      </c>
      <c r="B102" t="s">
        <v>192</v>
      </c>
      <c r="C102">
        <f>VLOOKUP(CONCATENATE("2011",'2011_60'!A102),aktivnepesseg!$C$2:$D$2226,2,FALSE)</f>
        <v>32404</v>
      </c>
      <c r="D102">
        <f t="shared" si="17"/>
        <v>23303</v>
      </c>
      <c r="E102">
        <f t="shared" si="18"/>
        <v>9101</v>
      </c>
      <c r="F102">
        <v>5310</v>
      </c>
      <c r="G102">
        <v>2708</v>
      </c>
      <c r="H102">
        <v>1469</v>
      </c>
      <c r="I102">
        <v>2393</v>
      </c>
      <c r="J102">
        <v>3403</v>
      </c>
      <c r="K102">
        <v>2052</v>
      </c>
      <c r="L102">
        <v>1585</v>
      </c>
      <c r="M102">
        <v>795</v>
      </c>
      <c r="N102">
        <v>1274</v>
      </c>
      <c r="O102">
        <v>800</v>
      </c>
      <c r="P102">
        <v>792</v>
      </c>
      <c r="Q102">
        <v>328</v>
      </c>
      <c r="R102">
        <v>327</v>
      </c>
      <c r="S102">
        <v>64</v>
      </c>
      <c r="T102">
        <v>3</v>
      </c>
      <c r="U102">
        <f t="shared" si="16"/>
        <v>9101</v>
      </c>
      <c r="V102">
        <f t="shared" si="16"/>
        <v>4513.5</v>
      </c>
      <c r="W102">
        <f t="shared" si="16"/>
        <v>1489.4</v>
      </c>
      <c r="X102">
        <f t="shared" si="16"/>
        <v>440.7</v>
      </c>
      <c r="Y102">
        <f t="shared" si="16"/>
        <v>239.3</v>
      </c>
      <c r="Z102" s="4">
        <f t="shared" si="19"/>
        <v>0.48709727194173558</v>
      </c>
      <c r="AA102">
        <f t="shared" si="20"/>
        <v>9101</v>
      </c>
      <c r="AB102">
        <f t="shared" si="21"/>
        <v>4314.375</v>
      </c>
      <c r="AC102">
        <f t="shared" si="22"/>
        <v>1184.75</v>
      </c>
      <c r="AD102">
        <f t="shared" si="23"/>
        <v>183.625</v>
      </c>
      <c r="AE102">
        <f t="shared" si="24"/>
        <v>0.4562322552771263</v>
      </c>
    </row>
    <row r="103" spans="1:31" x14ac:dyDescent="0.35">
      <c r="A103" t="s">
        <v>193</v>
      </c>
      <c r="B103" t="s">
        <v>194</v>
      </c>
      <c r="C103">
        <f>VLOOKUP(CONCATENATE("2011",'2011_60'!A103),aktivnepesseg!$C$2:$D$2226,2,FALSE)</f>
        <v>22396</v>
      </c>
      <c r="D103">
        <f t="shared" si="17"/>
        <v>16866</v>
      </c>
      <c r="E103">
        <f t="shared" si="18"/>
        <v>5530</v>
      </c>
      <c r="F103">
        <v>3312</v>
      </c>
      <c r="G103">
        <v>1543</v>
      </c>
      <c r="H103">
        <v>904</v>
      </c>
      <c r="I103">
        <v>1293</v>
      </c>
      <c r="J103">
        <v>2005</v>
      </c>
      <c r="K103">
        <v>1907</v>
      </c>
      <c r="L103">
        <v>1599</v>
      </c>
      <c r="M103">
        <v>731</v>
      </c>
      <c r="N103">
        <v>1285</v>
      </c>
      <c r="O103">
        <v>674</v>
      </c>
      <c r="P103">
        <v>823</v>
      </c>
      <c r="Q103">
        <v>366</v>
      </c>
      <c r="R103">
        <v>372</v>
      </c>
      <c r="S103">
        <v>49</v>
      </c>
      <c r="T103">
        <v>3</v>
      </c>
      <c r="U103">
        <f t="shared" si="16"/>
        <v>5530</v>
      </c>
      <c r="V103">
        <f t="shared" si="16"/>
        <v>2815.2</v>
      </c>
      <c r="W103">
        <f t="shared" si="16"/>
        <v>848.65000000000009</v>
      </c>
      <c r="X103">
        <f t="shared" si="16"/>
        <v>271.2</v>
      </c>
      <c r="Y103">
        <f t="shared" si="16"/>
        <v>129.30000000000001</v>
      </c>
      <c r="Z103" s="4">
        <f t="shared" si="19"/>
        <v>0.42839569565993929</v>
      </c>
      <c r="AA103">
        <f t="shared" si="20"/>
        <v>5530</v>
      </c>
      <c r="AB103">
        <f t="shared" si="21"/>
        <v>2691</v>
      </c>
      <c r="AC103">
        <f t="shared" si="22"/>
        <v>675.0625</v>
      </c>
      <c r="AD103">
        <f t="shared" si="23"/>
        <v>113</v>
      </c>
      <c r="AE103">
        <f t="shared" si="24"/>
        <v>0.40226212270048223</v>
      </c>
    </row>
    <row r="104" spans="1:31" x14ac:dyDescent="0.35">
      <c r="A104" t="s">
        <v>195</v>
      </c>
      <c r="B104" t="s">
        <v>196</v>
      </c>
      <c r="C104">
        <f>VLOOKUP(CONCATENATE("2011",'2011_60'!A104),aktivnepesseg!$C$2:$D$2226,2,FALSE)</f>
        <v>26499</v>
      </c>
      <c r="D104">
        <f t="shared" si="17"/>
        <v>18620</v>
      </c>
      <c r="E104">
        <f t="shared" si="18"/>
        <v>7879</v>
      </c>
      <c r="F104">
        <v>3513</v>
      </c>
      <c r="G104">
        <v>1936</v>
      </c>
      <c r="H104">
        <v>985</v>
      </c>
      <c r="I104">
        <v>1511</v>
      </c>
      <c r="J104">
        <v>2436</v>
      </c>
      <c r="K104">
        <v>2122</v>
      </c>
      <c r="L104">
        <v>1424</v>
      </c>
      <c r="M104">
        <v>751</v>
      </c>
      <c r="N104">
        <v>1363</v>
      </c>
      <c r="O104">
        <v>845</v>
      </c>
      <c r="P104">
        <v>919</v>
      </c>
      <c r="Q104">
        <v>368</v>
      </c>
      <c r="R104">
        <v>392</v>
      </c>
      <c r="S104">
        <v>47</v>
      </c>
      <c r="T104">
        <v>8</v>
      </c>
      <c r="U104">
        <f t="shared" ref="U104:Y135" si="25">E104*E$5</f>
        <v>7879</v>
      </c>
      <c r="V104">
        <f t="shared" si="25"/>
        <v>2986.0499999999997</v>
      </c>
      <c r="W104">
        <f t="shared" si="25"/>
        <v>1064.8000000000002</v>
      </c>
      <c r="X104">
        <f t="shared" si="25"/>
        <v>295.5</v>
      </c>
      <c r="Y104">
        <f t="shared" si="25"/>
        <v>151.1</v>
      </c>
      <c r="Z104" s="4">
        <f t="shared" si="19"/>
        <v>0.46705347371598926</v>
      </c>
      <c r="AA104">
        <f t="shared" si="20"/>
        <v>7879</v>
      </c>
      <c r="AB104">
        <f t="shared" si="21"/>
        <v>2854.3125</v>
      </c>
      <c r="AC104">
        <f t="shared" si="22"/>
        <v>847</v>
      </c>
      <c r="AD104">
        <f t="shared" si="23"/>
        <v>123.125</v>
      </c>
      <c r="AE104">
        <f t="shared" si="24"/>
        <v>0.44165581720064906</v>
      </c>
    </row>
    <row r="105" spans="1:31" x14ac:dyDescent="0.35">
      <c r="A105" t="s">
        <v>197</v>
      </c>
      <c r="B105" t="s">
        <v>198</v>
      </c>
      <c r="C105">
        <f>VLOOKUP(CONCATENATE("2011",'2011_60'!A105),aktivnepesseg!$C$2:$D$2226,2,FALSE)</f>
        <v>11147</v>
      </c>
      <c r="D105">
        <f t="shared" si="17"/>
        <v>8165</v>
      </c>
      <c r="E105">
        <f t="shared" si="18"/>
        <v>2982</v>
      </c>
      <c r="F105">
        <v>2035</v>
      </c>
      <c r="G105">
        <v>854</v>
      </c>
      <c r="H105">
        <v>514</v>
      </c>
      <c r="I105">
        <v>835</v>
      </c>
      <c r="J105">
        <v>974</v>
      </c>
      <c r="K105">
        <v>743</v>
      </c>
      <c r="L105">
        <v>452</v>
      </c>
      <c r="M105">
        <v>258</v>
      </c>
      <c r="N105">
        <v>500</v>
      </c>
      <c r="O105">
        <v>313</v>
      </c>
      <c r="P105">
        <v>347</v>
      </c>
      <c r="Q105">
        <v>153</v>
      </c>
      <c r="R105">
        <v>166</v>
      </c>
      <c r="S105">
        <v>17</v>
      </c>
      <c r="T105">
        <v>4</v>
      </c>
      <c r="U105">
        <f t="shared" si="25"/>
        <v>2982</v>
      </c>
      <c r="V105">
        <f t="shared" si="25"/>
        <v>1729.75</v>
      </c>
      <c r="W105">
        <f t="shared" si="25"/>
        <v>469.70000000000005</v>
      </c>
      <c r="X105">
        <f t="shared" si="25"/>
        <v>154.19999999999999</v>
      </c>
      <c r="Y105">
        <f t="shared" si="25"/>
        <v>83.5</v>
      </c>
      <c r="Z105" s="4">
        <f t="shared" si="19"/>
        <v>0.48615322508298192</v>
      </c>
      <c r="AA105">
        <f t="shared" si="20"/>
        <v>2982</v>
      </c>
      <c r="AB105">
        <f t="shared" si="21"/>
        <v>1653.4375</v>
      </c>
      <c r="AC105">
        <f t="shared" si="22"/>
        <v>373.625</v>
      </c>
      <c r="AD105">
        <f t="shared" si="23"/>
        <v>64.25</v>
      </c>
      <c r="AE105">
        <f t="shared" si="24"/>
        <v>0.45512806136180139</v>
      </c>
    </row>
    <row r="106" spans="1:31" x14ac:dyDescent="0.35">
      <c r="A106" t="s">
        <v>199</v>
      </c>
      <c r="B106" t="s">
        <v>200</v>
      </c>
      <c r="C106">
        <f>VLOOKUP(CONCATENATE("2011",'2011_60'!A106),aktivnepesseg!$C$2:$D$2226,2,FALSE)</f>
        <v>10793</v>
      </c>
      <c r="D106">
        <f t="shared" si="17"/>
        <v>6983</v>
      </c>
      <c r="E106">
        <f t="shared" si="18"/>
        <v>3810</v>
      </c>
      <c r="F106">
        <v>1730</v>
      </c>
      <c r="G106">
        <v>690</v>
      </c>
      <c r="H106">
        <v>492</v>
      </c>
      <c r="I106">
        <v>635</v>
      </c>
      <c r="J106">
        <v>846</v>
      </c>
      <c r="K106">
        <v>771</v>
      </c>
      <c r="L106">
        <v>527</v>
      </c>
      <c r="M106">
        <v>300</v>
      </c>
      <c r="N106">
        <v>397</v>
      </c>
      <c r="O106">
        <v>205</v>
      </c>
      <c r="P106">
        <v>220</v>
      </c>
      <c r="Q106">
        <v>80</v>
      </c>
      <c r="R106">
        <v>81</v>
      </c>
      <c r="S106">
        <v>9</v>
      </c>
      <c r="T106">
        <v>0</v>
      </c>
      <c r="U106">
        <f t="shared" si="25"/>
        <v>3810</v>
      </c>
      <c r="V106">
        <f t="shared" si="25"/>
        <v>1470.5</v>
      </c>
      <c r="W106">
        <f t="shared" si="25"/>
        <v>379.50000000000006</v>
      </c>
      <c r="X106">
        <f t="shared" si="25"/>
        <v>147.6</v>
      </c>
      <c r="Y106">
        <f t="shared" si="25"/>
        <v>63.5</v>
      </c>
      <c r="Z106" s="4">
        <f t="shared" si="19"/>
        <v>0.543972945427592</v>
      </c>
      <c r="AA106">
        <f t="shared" si="20"/>
        <v>3810</v>
      </c>
      <c r="AB106">
        <f t="shared" si="21"/>
        <v>1405.625</v>
      </c>
      <c r="AC106">
        <f t="shared" si="22"/>
        <v>301.875</v>
      </c>
      <c r="AD106">
        <f t="shared" si="23"/>
        <v>61.5</v>
      </c>
      <c r="AE106">
        <f t="shared" si="24"/>
        <v>0.51690910775502641</v>
      </c>
    </row>
    <row r="107" spans="1:31" x14ac:dyDescent="0.35">
      <c r="A107" t="s">
        <v>201</v>
      </c>
      <c r="B107" t="s">
        <v>202</v>
      </c>
      <c r="C107">
        <f>VLOOKUP(CONCATENATE("2011",'2011_60'!A107),aktivnepesseg!$C$2:$D$2226,2,FALSE)</f>
        <v>34248</v>
      </c>
      <c r="D107">
        <f t="shared" si="17"/>
        <v>23933</v>
      </c>
      <c r="E107">
        <f t="shared" si="18"/>
        <v>10315</v>
      </c>
      <c r="F107">
        <v>4419</v>
      </c>
      <c r="G107">
        <v>2452</v>
      </c>
      <c r="H107">
        <v>1722</v>
      </c>
      <c r="I107">
        <v>2079</v>
      </c>
      <c r="J107">
        <v>2659</v>
      </c>
      <c r="K107">
        <v>2395</v>
      </c>
      <c r="L107">
        <v>1976</v>
      </c>
      <c r="M107">
        <v>1112</v>
      </c>
      <c r="N107">
        <v>1853</v>
      </c>
      <c r="O107">
        <v>1136</v>
      </c>
      <c r="P107">
        <v>1143</v>
      </c>
      <c r="Q107">
        <v>478</v>
      </c>
      <c r="R107">
        <v>455</v>
      </c>
      <c r="S107">
        <v>47</v>
      </c>
      <c r="T107">
        <v>7</v>
      </c>
      <c r="U107">
        <f t="shared" si="25"/>
        <v>10315</v>
      </c>
      <c r="V107">
        <f t="shared" si="25"/>
        <v>3756.15</v>
      </c>
      <c r="W107">
        <f t="shared" si="25"/>
        <v>1348.6000000000001</v>
      </c>
      <c r="X107">
        <f t="shared" si="25"/>
        <v>516.6</v>
      </c>
      <c r="Y107">
        <f t="shared" si="25"/>
        <v>207.9</v>
      </c>
      <c r="Z107" s="4">
        <f t="shared" si="19"/>
        <v>0.47139249007241296</v>
      </c>
      <c r="AA107">
        <f t="shared" si="20"/>
        <v>10315</v>
      </c>
      <c r="AB107">
        <f t="shared" si="21"/>
        <v>3590.4375</v>
      </c>
      <c r="AC107">
        <f t="shared" si="22"/>
        <v>1072.75</v>
      </c>
      <c r="AD107">
        <f t="shared" si="23"/>
        <v>215.25</v>
      </c>
      <c r="AE107">
        <f t="shared" si="24"/>
        <v>0.44362991999532819</v>
      </c>
    </row>
    <row r="108" spans="1:31" x14ac:dyDescent="0.35">
      <c r="A108" t="s">
        <v>203</v>
      </c>
      <c r="B108" t="s">
        <v>204</v>
      </c>
      <c r="C108">
        <f>VLOOKUP(CONCATENATE("2011",'2011_60'!A108),aktivnepesseg!$C$2:$D$2226,2,FALSE)</f>
        <v>24578</v>
      </c>
      <c r="D108">
        <f t="shared" si="17"/>
        <v>20092</v>
      </c>
      <c r="E108">
        <f t="shared" si="18"/>
        <v>4486</v>
      </c>
      <c r="F108">
        <v>2544</v>
      </c>
      <c r="G108">
        <v>1504</v>
      </c>
      <c r="H108">
        <v>966</v>
      </c>
      <c r="I108">
        <v>1348</v>
      </c>
      <c r="J108">
        <v>1972</v>
      </c>
      <c r="K108">
        <v>2155</v>
      </c>
      <c r="L108">
        <v>1792</v>
      </c>
      <c r="M108">
        <v>1223</v>
      </c>
      <c r="N108">
        <v>2250</v>
      </c>
      <c r="O108">
        <v>1283</v>
      </c>
      <c r="P108">
        <v>1430</v>
      </c>
      <c r="Q108">
        <v>720</v>
      </c>
      <c r="R108">
        <v>772</v>
      </c>
      <c r="S108">
        <v>121</v>
      </c>
      <c r="T108">
        <v>12</v>
      </c>
      <c r="U108">
        <f t="shared" si="25"/>
        <v>4486</v>
      </c>
      <c r="V108">
        <f t="shared" si="25"/>
        <v>2162.4</v>
      </c>
      <c r="W108">
        <f t="shared" si="25"/>
        <v>827.2</v>
      </c>
      <c r="X108">
        <f t="shared" si="25"/>
        <v>289.8</v>
      </c>
      <c r="Y108">
        <f t="shared" si="25"/>
        <v>134.80000000000001</v>
      </c>
      <c r="Z108" s="4">
        <f t="shared" si="19"/>
        <v>0.32143380258768001</v>
      </c>
      <c r="AA108">
        <f t="shared" si="20"/>
        <v>4486</v>
      </c>
      <c r="AB108">
        <f t="shared" si="21"/>
        <v>2067</v>
      </c>
      <c r="AC108">
        <f t="shared" si="22"/>
        <v>658</v>
      </c>
      <c r="AD108">
        <f t="shared" si="23"/>
        <v>120.75</v>
      </c>
      <c r="AE108">
        <f t="shared" si="24"/>
        <v>0.29830539506876069</v>
      </c>
    </row>
    <row r="109" spans="1:31" x14ac:dyDescent="0.35">
      <c r="A109" t="s">
        <v>205</v>
      </c>
      <c r="B109" t="s">
        <v>206</v>
      </c>
      <c r="C109">
        <f>VLOOKUP(CONCATENATE("2011",'2011_60'!A109),aktivnepesseg!$C$2:$D$2226,2,FALSE)</f>
        <v>21542</v>
      </c>
      <c r="D109">
        <f t="shared" si="17"/>
        <v>15173</v>
      </c>
      <c r="E109">
        <f t="shared" si="18"/>
        <v>6369</v>
      </c>
      <c r="F109">
        <v>2911</v>
      </c>
      <c r="G109">
        <v>1598</v>
      </c>
      <c r="H109">
        <v>1103</v>
      </c>
      <c r="I109">
        <v>1436</v>
      </c>
      <c r="J109">
        <v>1710</v>
      </c>
      <c r="K109">
        <v>1543</v>
      </c>
      <c r="L109">
        <v>1228</v>
      </c>
      <c r="M109">
        <v>692</v>
      </c>
      <c r="N109">
        <v>1154</v>
      </c>
      <c r="O109">
        <v>656</v>
      </c>
      <c r="P109">
        <v>633</v>
      </c>
      <c r="Q109">
        <v>241</v>
      </c>
      <c r="R109">
        <v>239</v>
      </c>
      <c r="S109">
        <v>29</v>
      </c>
      <c r="T109">
        <v>0</v>
      </c>
      <c r="U109">
        <f t="shared" si="25"/>
        <v>6369</v>
      </c>
      <c r="V109">
        <f t="shared" si="25"/>
        <v>2474.35</v>
      </c>
      <c r="W109">
        <f t="shared" si="25"/>
        <v>878.90000000000009</v>
      </c>
      <c r="X109">
        <f t="shared" si="25"/>
        <v>330.9</v>
      </c>
      <c r="Y109">
        <f t="shared" si="25"/>
        <v>143.6</v>
      </c>
      <c r="Z109" s="4">
        <f t="shared" si="19"/>
        <v>0.47334277225884319</v>
      </c>
      <c r="AA109">
        <f t="shared" si="20"/>
        <v>6369</v>
      </c>
      <c r="AB109">
        <f t="shared" si="21"/>
        <v>2365.1875</v>
      </c>
      <c r="AC109">
        <f t="shared" si="22"/>
        <v>699.125</v>
      </c>
      <c r="AD109">
        <f t="shared" si="23"/>
        <v>137.875</v>
      </c>
      <c r="AE109">
        <f t="shared" si="24"/>
        <v>0.44430356977068053</v>
      </c>
    </row>
    <row r="110" spans="1:31" x14ac:dyDescent="0.35">
      <c r="A110" t="s">
        <v>207</v>
      </c>
      <c r="B110" t="s">
        <v>208</v>
      </c>
      <c r="C110">
        <f>VLOOKUP(CONCATENATE("2011",'2011_60'!A110),aktivnepesseg!$C$2:$D$2226,2,FALSE)</f>
        <v>16801</v>
      </c>
      <c r="D110">
        <f t="shared" si="17"/>
        <v>13010</v>
      </c>
      <c r="E110">
        <f t="shared" si="18"/>
        <v>3791</v>
      </c>
      <c r="F110">
        <v>1903</v>
      </c>
      <c r="G110">
        <v>1012</v>
      </c>
      <c r="H110">
        <v>787</v>
      </c>
      <c r="I110">
        <v>957</v>
      </c>
      <c r="J110">
        <v>1500</v>
      </c>
      <c r="K110">
        <v>1458</v>
      </c>
      <c r="L110">
        <v>1199</v>
      </c>
      <c r="M110">
        <v>663</v>
      </c>
      <c r="N110">
        <v>1192</v>
      </c>
      <c r="O110">
        <v>807</v>
      </c>
      <c r="P110">
        <v>834</v>
      </c>
      <c r="Q110">
        <v>304</v>
      </c>
      <c r="R110">
        <v>361</v>
      </c>
      <c r="S110">
        <v>29</v>
      </c>
      <c r="T110">
        <v>4</v>
      </c>
      <c r="U110">
        <f t="shared" si="25"/>
        <v>3791</v>
      </c>
      <c r="V110">
        <f t="shared" si="25"/>
        <v>1617.55</v>
      </c>
      <c r="W110">
        <f t="shared" si="25"/>
        <v>556.6</v>
      </c>
      <c r="X110">
        <f t="shared" si="25"/>
        <v>236.1</v>
      </c>
      <c r="Y110">
        <f t="shared" si="25"/>
        <v>95.7</v>
      </c>
      <c r="Z110" s="4">
        <f t="shared" si="19"/>
        <v>0.37479614308672105</v>
      </c>
      <c r="AA110">
        <f t="shared" si="20"/>
        <v>3791</v>
      </c>
      <c r="AB110">
        <f t="shared" si="21"/>
        <v>1546.1875</v>
      </c>
      <c r="AC110">
        <f t="shared" si="22"/>
        <v>442.75</v>
      </c>
      <c r="AD110">
        <f t="shared" si="23"/>
        <v>98.375</v>
      </c>
      <c r="AE110">
        <f t="shared" si="24"/>
        <v>0.34987872745669901</v>
      </c>
    </row>
    <row r="111" spans="1:31" x14ac:dyDescent="0.35">
      <c r="A111" t="s">
        <v>209</v>
      </c>
      <c r="B111" t="s">
        <v>210</v>
      </c>
      <c r="C111">
        <f>VLOOKUP(CONCATENATE("2011",'2011_60'!A111),aktivnepesseg!$C$2:$D$2226,2,FALSE)</f>
        <v>15367</v>
      </c>
      <c r="D111">
        <f t="shared" si="17"/>
        <v>11680</v>
      </c>
      <c r="E111">
        <f t="shared" si="18"/>
        <v>3687</v>
      </c>
      <c r="F111">
        <v>2348</v>
      </c>
      <c r="G111">
        <v>912</v>
      </c>
      <c r="H111">
        <v>587</v>
      </c>
      <c r="I111">
        <v>810</v>
      </c>
      <c r="J111">
        <v>1173</v>
      </c>
      <c r="K111">
        <v>1342</v>
      </c>
      <c r="L111">
        <v>1153</v>
      </c>
      <c r="M111">
        <v>497</v>
      </c>
      <c r="N111">
        <v>1043</v>
      </c>
      <c r="O111">
        <v>598</v>
      </c>
      <c r="P111">
        <v>600</v>
      </c>
      <c r="Q111">
        <v>281</v>
      </c>
      <c r="R111">
        <v>289</v>
      </c>
      <c r="S111">
        <v>44</v>
      </c>
      <c r="T111">
        <v>3</v>
      </c>
      <c r="U111">
        <f t="shared" si="25"/>
        <v>3687</v>
      </c>
      <c r="V111">
        <f t="shared" si="25"/>
        <v>1995.8</v>
      </c>
      <c r="W111">
        <f t="shared" si="25"/>
        <v>501.6</v>
      </c>
      <c r="X111">
        <f t="shared" si="25"/>
        <v>176.1</v>
      </c>
      <c r="Y111">
        <f t="shared" si="25"/>
        <v>81</v>
      </c>
      <c r="Z111" s="4">
        <f t="shared" si="19"/>
        <v>0.41917745818962721</v>
      </c>
      <c r="AA111">
        <f t="shared" si="20"/>
        <v>3687</v>
      </c>
      <c r="AB111">
        <f t="shared" si="21"/>
        <v>1907.75</v>
      </c>
      <c r="AC111">
        <f t="shared" si="22"/>
        <v>399</v>
      </c>
      <c r="AD111">
        <f t="shared" si="23"/>
        <v>73.375</v>
      </c>
      <c r="AE111">
        <f t="shared" si="24"/>
        <v>0.39481518839070734</v>
      </c>
    </row>
    <row r="112" spans="1:31" x14ac:dyDescent="0.35">
      <c r="A112" t="s">
        <v>211</v>
      </c>
      <c r="B112" t="s">
        <v>212</v>
      </c>
      <c r="C112">
        <f>VLOOKUP(CONCATENATE("2011",'2011_60'!A112),aktivnepesseg!$C$2:$D$2226,2,FALSE)</f>
        <v>11611</v>
      </c>
      <c r="D112">
        <f t="shared" si="17"/>
        <v>7888</v>
      </c>
      <c r="E112">
        <f t="shared" si="18"/>
        <v>3723</v>
      </c>
      <c r="F112">
        <v>2300</v>
      </c>
      <c r="G112">
        <v>963</v>
      </c>
      <c r="H112">
        <v>532</v>
      </c>
      <c r="I112">
        <v>715</v>
      </c>
      <c r="J112">
        <v>794</v>
      </c>
      <c r="K112">
        <v>732</v>
      </c>
      <c r="L112">
        <v>576</v>
      </c>
      <c r="M112">
        <v>234</v>
      </c>
      <c r="N112">
        <v>395</v>
      </c>
      <c r="O112">
        <v>234</v>
      </c>
      <c r="P112">
        <v>268</v>
      </c>
      <c r="Q112">
        <v>66</v>
      </c>
      <c r="R112">
        <v>79</v>
      </c>
      <c r="S112">
        <v>0</v>
      </c>
      <c r="T112">
        <v>0</v>
      </c>
      <c r="U112">
        <f t="shared" si="25"/>
        <v>3723</v>
      </c>
      <c r="V112">
        <f t="shared" si="25"/>
        <v>1955</v>
      </c>
      <c r="W112">
        <f t="shared" si="25"/>
        <v>529.65000000000009</v>
      </c>
      <c r="X112">
        <f t="shared" si="25"/>
        <v>159.6</v>
      </c>
      <c r="Y112">
        <f t="shared" si="25"/>
        <v>71.5</v>
      </c>
      <c r="Z112" s="4">
        <f t="shared" si="19"/>
        <v>0.55453879941434847</v>
      </c>
      <c r="AA112">
        <f t="shared" si="20"/>
        <v>3723</v>
      </c>
      <c r="AB112">
        <f t="shared" si="21"/>
        <v>1868.75</v>
      </c>
      <c r="AC112">
        <f t="shared" si="22"/>
        <v>421.3125</v>
      </c>
      <c r="AD112">
        <f t="shared" si="23"/>
        <v>66.5</v>
      </c>
      <c r="AE112">
        <f t="shared" si="24"/>
        <v>0.52360369477219881</v>
      </c>
    </row>
    <row r="113" spans="1:31" x14ac:dyDescent="0.35">
      <c r="A113" t="s">
        <v>213</v>
      </c>
      <c r="B113" t="s">
        <v>214</v>
      </c>
      <c r="C113">
        <f>VLOOKUP(CONCATENATE("2011",'2011_60'!A113),aktivnepesseg!$C$2:$D$2226,2,FALSE)</f>
        <v>21092</v>
      </c>
      <c r="D113">
        <f t="shared" si="17"/>
        <v>14805</v>
      </c>
      <c r="E113">
        <f t="shared" si="18"/>
        <v>6287</v>
      </c>
      <c r="F113">
        <v>3003</v>
      </c>
      <c r="G113">
        <v>1580</v>
      </c>
      <c r="H113">
        <v>981</v>
      </c>
      <c r="I113">
        <v>1405</v>
      </c>
      <c r="J113">
        <v>1863</v>
      </c>
      <c r="K113">
        <v>1673</v>
      </c>
      <c r="L113">
        <v>1148</v>
      </c>
      <c r="M113">
        <v>572</v>
      </c>
      <c r="N113">
        <v>936</v>
      </c>
      <c r="O113">
        <v>566</v>
      </c>
      <c r="P113">
        <v>593</v>
      </c>
      <c r="Q113">
        <v>253</v>
      </c>
      <c r="R113">
        <v>212</v>
      </c>
      <c r="S113">
        <v>20</v>
      </c>
      <c r="T113">
        <v>0</v>
      </c>
      <c r="U113">
        <f t="shared" si="25"/>
        <v>6287</v>
      </c>
      <c r="V113">
        <f t="shared" si="25"/>
        <v>2552.5499999999997</v>
      </c>
      <c r="W113">
        <f t="shared" si="25"/>
        <v>869.00000000000011</v>
      </c>
      <c r="X113">
        <f t="shared" si="25"/>
        <v>294.3</v>
      </c>
      <c r="Y113">
        <f t="shared" si="25"/>
        <v>140.5</v>
      </c>
      <c r="Z113" s="4">
        <f t="shared" si="19"/>
        <v>0.48090982362981216</v>
      </c>
      <c r="AA113">
        <f t="shared" si="20"/>
        <v>6287</v>
      </c>
      <c r="AB113">
        <f t="shared" si="21"/>
        <v>2439.9375</v>
      </c>
      <c r="AC113">
        <f t="shared" si="22"/>
        <v>691.25</v>
      </c>
      <c r="AD113">
        <f t="shared" si="23"/>
        <v>122.625</v>
      </c>
      <c r="AE113">
        <f t="shared" si="24"/>
        <v>0.45234271287692018</v>
      </c>
    </row>
    <row r="114" spans="1:31" x14ac:dyDescent="0.35">
      <c r="A114" t="s">
        <v>215</v>
      </c>
      <c r="B114" t="s">
        <v>216</v>
      </c>
      <c r="C114">
        <f>VLOOKUP(CONCATENATE("2011",'2011_60'!A114),aktivnepesseg!$C$2:$D$2226,2,FALSE)</f>
        <v>17899</v>
      </c>
      <c r="D114">
        <f t="shared" si="17"/>
        <v>13206</v>
      </c>
      <c r="E114">
        <f t="shared" si="18"/>
        <v>4693</v>
      </c>
      <c r="F114">
        <v>2501</v>
      </c>
      <c r="G114">
        <v>1392</v>
      </c>
      <c r="H114">
        <v>810</v>
      </c>
      <c r="I114">
        <v>1166</v>
      </c>
      <c r="J114">
        <v>1606</v>
      </c>
      <c r="K114">
        <v>1283</v>
      </c>
      <c r="L114">
        <v>1022</v>
      </c>
      <c r="M114">
        <v>553</v>
      </c>
      <c r="N114">
        <v>1183</v>
      </c>
      <c r="O114">
        <v>612</v>
      </c>
      <c r="P114">
        <v>673</v>
      </c>
      <c r="Q114">
        <v>189</v>
      </c>
      <c r="R114">
        <v>192</v>
      </c>
      <c r="S114">
        <v>24</v>
      </c>
      <c r="T114">
        <v>0</v>
      </c>
      <c r="U114">
        <f t="shared" si="25"/>
        <v>4693</v>
      </c>
      <c r="V114">
        <f t="shared" si="25"/>
        <v>2125.85</v>
      </c>
      <c r="W114">
        <f t="shared" si="25"/>
        <v>765.6</v>
      </c>
      <c r="X114">
        <f t="shared" si="25"/>
        <v>243</v>
      </c>
      <c r="Y114">
        <f t="shared" si="25"/>
        <v>116.60000000000001</v>
      </c>
      <c r="Z114" s="4">
        <f t="shared" si="19"/>
        <v>0.44382647075255605</v>
      </c>
      <c r="AA114">
        <f t="shared" si="20"/>
        <v>4693</v>
      </c>
      <c r="AB114">
        <f t="shared" si="21"/>
        <v>2032.0625</v>
      </c>
      <c r="AC114">
        <f t="shared" si="22"/>
        <v>609</v>
      </c>
      <c r="AD114">
        <f t="shared" si="23"/>
        <v>101.25</v>
      </c>
      <c r="AE114">
        <f t="shared" si="24"/>
        <v>0.41540379350801721</v>
      </c>
    </row>
    <row r="115" spans="1:31" x14ac:dyDescent="0.35">
      <c r="A115" t="s">
        <v>217</v>
      </c>
      <c r="B115" t="s">
        <v>218</v>
      </c>
      <c r="C115">
        <f>VLOOKUP(CONCATENATE("2011",'2011_60'!A115),aktivnepesseg!$C$2:$D$2226,2,FALSE)</f>
        <v>11861</v>
      </c>
      <c r="D115">
        <f t="shared" si="17"/>
        <v>9294</v>
      </c>
      <c r="E115">
        <f t="shared" si="18"/>
        <v>2567</v>
      </c>
      <c r="F115">
        <v>1586</v>
      </c>
      <c r="G115">
        <v>798</v>
      </c>
      <c r="H115">
        <v>470</v>
      </c>
      <c r="I115">
        <v>770</v>
      </c>
      <c r="J115">
        <v>1114</v>
      </c>
      <c r="K115">
        <v>1130</v>
      </c>
      <c r="L115">
        <v>935</v>
      </c>
      <c r="M115">
        <v>450</v>
      </c>
      <c r="N115">
        <v>765</v>
      </c>
      <c r="O115">
        <v>443</v>
      </c>
      <c r="P115">
        <v>447</v>
      </c>
      <c r="Q115">
        <v>188</v>
      </c>
      <c r="R115">
        <v>182</v>
      </c>
      <c r="S115">
        <v>16</v>
      </c>
      <c r="T115">
        <v>0</v>
      </c>
      <c r="U115">
        <f t="shared" si="25"/>
        <v>2567</v>
      </c>
      <c r="V115">
        <f t="shared" si="25"/>
        <v>1348.1</v>
      </c>
      <c r="W115">
        <f t="shared" si="25"/>
        <v>438.90000000000003</v>
      </c>
      <c r="X115">
        <f t="shared" si="25"/>
        <v>141</v>
      </c>
      <c r="Y115">
        <f t="shared" si="25"/>
        <v>77</v>
      </c>
      <c r="Z115" s="4">
        <f t="shared" si="19"/>
        <v>0.38546496922687801</v>
      </c>
      <c r="AA115">
        <f t="shared" si="20"/>
        <v>2567</v>
      </c>
      <c r="AB115">
        <f t="shared" si="21"/>
        <v>1288.625</v>
      </c>
      <c r="AC115">
        <f t="shared" si="22"/>
        <v>349.125</v>
      </c>
      <c r="AD115">
        <f t="shared" si="23"/>
        <v>58.75</v>
      </c>
      <c r="AE115">
        <f t="shared" si="24"/>
        <v>0.35945535789562433</v>
      </c>
    </row>
    <row r="116" spans="1:31" x14ac:dyDescent="0.35">
      <c r="A116" t="s">
        <v>219</v>
      </c>
      <c r="B116" t="s">
        <v>220</v>
      </c>
      <c r="C116">
        <f>VLOOKUP(CONCATENATE("2011",'2011_60'!A116),aktivnepesseg!$C$2:$D$2226,2,FALSE)</f>
        <v>9823</v>
      </c>
      <c r="D116">
        <f t="shared" si="17"/>
        <v>7193</v>
      </c>
      <c r="E116">
        <f t="shared" si="18"/>
        <v>2630</v>
      </c>
      <c r="F116">
        <v>1350</v>
      </c>
      <c r="G116">
        <v>640</v>
      </c>
      <c r="H116">
        <v>358</v>
      </c>
      <c r="I116">
        <v>600</v>
      </c>
      <c r="J116">
        <v>905</v>
      </c>
      <c r="K116">
        <v>1002</v>
      </c>
      <c r="L116">
        <v>678</v>
      </c>
      <c r="M116">
        <v>315</v>
      </c>
      <c r="N116">
        <v>532</v>
      </c>
      <c r="O116">
        <v>306</v>
      </c>
      <c r="P116">
        <v>287</v>
      </c>
      <c r="Q116">
        <v>107</v>
      </c>
      <c r="R116">
        <v>106</v>
      </c>
      <c r="S116">
        <v>7</v>
      </c>
      <c r="T116">
        <v>0</v>
      </c>
      <c r="U116">
        <f t="shared" si="25"/>
        <v>2630</v>
      </c>
      <c r="V116">
        <f t="shared" si="25"/>
        <v>1147.5</v>
      </c>
      <c r="W116">
        <f t="shared" si="25"/>
        <v>352</v>
      </c>
      <c r="X116">
        <f t="shared" si="25"/>
        <v>107.39999999999999</v>
      </c>
      <c r="Y116">
        <f t="shared" si="25"/>
        <v>60</v>
      </c>
      <c r="Z116" s="4">
        <f t="shared" si="19"/>
        <v>0.43743255624554611</v>
      </c>
      <c r="AA116">
        <f t="shared" si="20"/>
        <v>2630</v>
      </c>
      <c r="AB116">
        <f t="shared" si="21"/>
        <v>1096.875</v>
      </c>
      <c r="AC116">
        <f t="shared" si="22"/>
        <v>280</v>
      </c>
      <c r="AD116">
        <f t="shared" si="23"/>
        <v>44.75</v>
      </c>
      <c r="AE116">
        <f t="shared" si="24"/>
        <v>0.41246309681360072</v>
      </c>
    </row>
    <row r="117" spans="1:31" x14ac:dyDescent="0.35">
      <c r="A117" t="s">
        <v>221</v>
      </c>
      <c r="B117" t="s">
        <v>222</v>
      </c>
      <c r="C117">
        <f>VLOOKUP(CONCATENATE("2011",'2011_60'!A117),aktivnepesseg!$C$2:$D$2226,2,FALSE)</f>
        <v>26558</v>
      </c>
      <c r="D117">
        <f t="shared" si="17"/>
        <v>18915</v>
      </c>
      <c r="E117">
        <f t="shared" si="18"/>
        <v>7643</v>
      </c>
      <c r="F117">
        <v>3641</v>
      </c>
      <c r="G117">
        <v>1851</v>
      </c>
      <c r="H117">
        <v>1117</v>
      </c>
      <c r="I117">
        <v>1399</v>
      </c>
      <c r="J117">
        <v>1948</v>
      </c>
      <c r="K117">
        <v>2000</v>
      </c>
      <c r="L117">
        <v>1422</v>
      </c>
      <c r="M117">
        <v>970</v>
      </c>
      <c r="N117">
        <v>1560</v>
      </c>
      <c r="O117">
        <v>1166</v>
      </c>
      <c r="P117">
        <v>1097</v>
      </c>
      <c r="Q117">
        <v>417</v>
      </c>
      <c r="R117">
        <v>301</v>
      </c>
      <c r="S117">
        <v>22</v>
      </c>
      <c r="T117">
        <v>4</v>
      </c>
      <c r="U117">
        <f t="shared" si="25"/>
        <v>7643</v>
      </c>
      <c r="V117">
        <f t="shared" si="25"/>
        <v>3094.85</v>
      </c>
      <c r="W117">
        <f t="shared" si="25"/>
        <v>1018.0500000000001</v>
      </c>
      <c r="X117">
        <f t="shared" si="25"/>
        <v>335.09999999999997</v>
      </c>
      <c r="Y117">
        <f t="shared" si="25"/>
        <v>139.9</v>
      </c>
      <c r="Z117" s="4">
        <f t="shared" si="19"/>
        <v>0.46053543188493107</v>
      </c>
      <c r="AA117">
        <f t="shared" si="20"/>
        <v>7643</v>
      </c>
      <c r="AB117">
        <f t="shared" si="21"/>
        <v>2958.3125</v>
      </c>
      <c r="AC117">
        <f t="shared" si="22"/>
        <v>809.8125</v>
      </c>
      <c r="AD117">
        <f t="shared" si="23"/>
        <v>139.625</v>
      </c>
      <c r="AE117">
        <f t="shared" si="24"/>
        <v>0.43492544619323742</v>
      </c>
    </row>
    <row r="118" spans="1:31" x14ac:dyDescent="0.35">
      <c r="A118" t="s">
        <v>223</v>
      </c>
      <c r="B118" t="s">
        <v>224</v>
      </c>
      <c r="C118">
        <f>VLOOKUP(CONCATENATE("2011",'2011_60'!A118),aktivnepesseg!$C$2:$D$2226,2,FALSE)</f>
        <v>20514</v>
      </c>
      <c r="D118">
        <f t="shared" si="17"/>
        <v>14431</v>
      </c>
      <c r="E118">
        <f t="shared" si="18"/>
        <v>6083</v>
      </c>
      <c r="F118">
        <v>2949</v>
      </c>
      <c r="G118">
        <v>1338</v>
      </c>
      <c r="H118">
        <v>877</v>
      </c>
      <c r="I118">
        <v>1310</v>
      </c>
      <c r="J118">
        <v>1833</v>
      </c>
      <c r="K118">
        <v>1612</v>
      </c>
      <c r="L118">
        <v>1189</v>
      </c>
      <c r="M118">
        <v>634</v>
      </c>
      <c r="N118">
        <v>1173</v>
      </c>
      <c r="O118">
        <v>575</v>
      </c>
      <c r="P118">
        <v>528</v>
      </c>
      <c r="Q118">
        <v>201</v>
      </c>
      <c r="R118">
        <v>191</v>
      </c>
      <c r="S118">
        <v>18</v>
      </c>
      <c r="T118">
        <v>3</v>
      </c>
      <c r="U118">
        <f t="shared" si="25"/>
        <v>6083</v>
      </c>
      <c r="V118">
        <f t="shared" si="25"/>
        <v>2506.65</v>
      </c>
      <c r="W118">
        <f t="shared" si="25"/>
        <v>735.90000000000009</v>
      </c>
      <c r="X118">
        <f t="shared" si="25"/>
        <v>263.09999999999997</v>
      </c>
      <c r="Y118">
        <f t="shared" si="25"/>
        <v>131</v>
      </c>
      <c r="Z118" s="4">
        <f t="shared" si="19"/>
        <v>0.47380569367261383</v>
      </c>
      <c r="AA118">
        <f t="shared" si="20"/>
        <v>6083</v>
      </c>
      <c r="AB118">
        <f t="shared" si="21"/>
        <v>2396.0625</v>
      </c>
      <c r="AC118">
        <f t="shared" si="22"/>
        <v>585.375</v>
      </c>
      <c r="AD118">
        <f t="shared" si="23"/>
        <v>109.625</v>
      </c>
      <c r="AE118">
        <f t="shared" si="24"/>
        <v>0.44720983230964217</v>
      </c>
    </row>
    <row r="119" spans="1:31" x14ac:dyDescent="0.35">
      <c r="A119" t="s">
        <v>225</v>
      </c>
      <c r="B119" t="s">
        <v>226</v>
      </c>
      <c r="C119">
        <f>VLOOKUP(CONCATENATE("2011",'2011_60'!A119),aktivnepesseg!$C$2:$D$2226,2,FALSE)</f>
        <v>17570</v>
      </c>
      <c r="D119">
        <f t="shared" si="17"/>
        <v>11819</v>
      </c>
      <c r="E119">
        <f t="shared" si="18"/>
        <v>5751</v>
      </c>
      <c r="F119">
        <v>1765</v>
      </c>
      <c r="G119">
        <v>1047</v>
      </c>
      <c r="H119">
        <v>617</v>
      </c>
      <c r="I119">
        <v>957</v>
      </c>
      <c r="J119">
        <v>1218</v>
      </c>
      <c r="K119">
        <v>1219</v>
      </c>
      <c r="L119">
        <v>1030</v>
      </c>
      <c r="M119">
        <v>505</v>
      </c>
      <c r="N119">
        <v>1040</v>
      </c>
      <c r="O119">
        <v>673</v>
      </c>
      <c r="P119">
        <v>768</v>
      </c>
      <c r="Q119">
        <v>386</v>
      </c>
      <c r="R119">
        <v>486</v>
      </c>
      <c r="S119">
        <v>95</v>
      </c>
      <c r="T119">
        <v>13</v>
      </c>
      <c r="U119">
        <f t="shared" si="25"/>
        <v>5751</v>
      </c>
      <c r="V119">
        <f t="shared" si="25"/>
        <v>1500.25</v>
      </c>
      <c r="W119">
        <f t="shared" si="25"/>
        <v>575.85</v>
      </c>
      <c r="X119">
        <f t="shared" si="25"/>
        <v>185.1</v>
      </c>
      <c r="Y119">
        <f t="shared" si="25"/>
        <v>95.7</v>
      </c>
      <c r="Z119" s="4">
        <f t="shared" si="19"/>
        <v>0.46146272054638593</v>
      </c>
      <c r="AA119">
        <f t="shared" si="20"/>
        <v>5751</v>
      </c>
      <c r="AB119">
        <f t="shared" si="21"/>
        <v>1434.0625</v>
      </c>
      <c r="AC119">
        <f t="shared" si="22"/>
        <v>458.0625</v>
      </c>
      <c r="AD119">
        <f t="shared" si="23"/>
        <v>77.125</v>
      </c>
      <c r="AE119">
        <f t="shared" si="24"/>
        <v>0.43939954467842912</v>
      </c>
    </row>
    <row r="120" spans="1:31" x14ac:dyDescent="0.35">
      <c r="A120" t="s">
        <v>227</v>
      </c>
      <c r="B120" t="s">
        <v>228</v>
      </c>
      <c r="C120">
        <f>VLOOKUP(CONCATENATE("2011",'2011_60'!A120),aktivnepesseg!$C$2:$D$2226,2,FALSE)</f>
        <v>38953</v>
      </c>
      <c r="D120">
        <f t="shared" si="17"/>
        <v>25944</v>
      </c>
      <c r="E120">
        <f t="shared" si="18"/>
        <v>13009</v>
      </c>
      <c r="F120">
        <v>6288</v>
      </c>
      <c r="G120">
        <v>2902</v>
      </c>
      <c r="H120">
        <v>1547</v>
      </c>
      <c r="I120">
        <v>1944</v>
      </c>
      <c r="J120">
        <v>2835</v>
      </c>
      <c r="K120">
        <v>2590</v>
      </c>
      <c r="L120">
        <v>2219</v>
      </c>
      <c r="M120">
        <v>1049</v>
      </c>
      <c r="N120">
        <v>1740</v>
      </c>
      <c r="O120">
        <v>1006</v>
      </c>
      <c r="P120">
        <v>975</v>
      </c>
      <c r="Q120">
        <v>456</v>
      </c>
      <c r="R120">
        <v>360</v>
      </c>
      <c r="S120">
        <v>33</v>
      </c>
      <c r="T120">
        <v>0</v>
      </c>
      <c r="U120">
        <f t="shared" si="25"/>
        <v>13009</v>
      </c>
      <c r="V120">
        <f t="shared" si="25"/>
        <v>5344.8</v>
      </c>
      <c r="W120">
        <f t="shared" si="25"/>
        <v>1596.1000000000001</v>
      </c>
      <c r="X120">
        <f t="shared" si="25"/>
        <v>464.09999999999997</v>
      </c>
      <c r="Y120">
        <f t="shared" si="25"/>
        <v>194.4</v>
      </c>
      <c r="Z120" s="4">
        <f t="shared" si="19"/>
        <v>0.52905809565373652</v>
      </c>
      <c r="AA120">
        <f t="shared" si="20"/>
        <v>13009</v>
      </c>
      <c r="AB120">
        <f t="shared" si="21"/>
        <v>5109</v>
      </c>
      <c r="AC120">
        <f t="shared" si="22"/>
        <v>1269.625</v>
      </c>
      <c r="AD120">
        <f t="shared" si="23"/>
        <v>193.375</v>
      </c>
      <c r="AE120">
        <f t="shared" si="24"/>
        <v>0.50268272020126814</v>
      </c>
    </row>
    <row r="121" spans="1:31" x14ac:dyDescent="0.35">
      <c r="A121" t="s">
        <v>229</v>
      </c>
      <c r="B121" t="s">
        <v>230</v>
      </c>
      <c r="C121">
        <f>VLOOKUP(CONCATENATE("2011",'2011_60'!A121),aktivnepesseg!$C$2:$D$2226,2,FALSE)</f>
        <v>8610</v>
      </c>
      <c r="D121">
        <f t="shared" si="17"/>
        <v>6074</v>
      </c>
      <c r="E121">
        <f t="shared" si="18"/>
        <v>2536</v>
      </c>
      <c r="F121">
        <v>1378</v>
      </c>
      <c r="G121">
        <v>659</v>
      </c>
      <c r="H121">
        <v>421</v>
      </c>
      <c r="I121">
        <v>554</v>
      </c>
      <c r="J121">
        <v>699</v>
      </c>
      <c r="K121">
        <v>624</v>
      </c>
      <c r="L121">
        <v>461</v>
      </c>
      <c r="M121">
        <v>231</v>
      </c>
      <c r="N121">
        <v>407</v>
      </c>
      <c r="O121">
        <v>235</v>
      </c>
      <c r="P121">
        <v>238</v>
      </c>
      <c r="Q121">
        <v>92</v>
      </c>
      <c r="R121">
        <v>71</v>
      </c>
      <c r="S121">
        <v>4</v>
      </c>
      <c r="T121">
        <v>0</v>
      </c>
      <c r="U121">
        <f t="shared" si="25"/>
        <v>2536</v>
      </c>
      <c r="V121">
        <f t="shared" si="25"/>
        <v>1171.3</v>
      </c>
      <c r="W121">
        <f t="shared" si="25"/>
        <v>362.45000000000005</v>
      </c>
      <c r="X121">
        <f t="shared" si="25"/>
        <v>126.3</v>
      </c>
      <c r="Y121">
        <f t="shared" si="25"/>
        <v>55.400000000000006</v>
      </c>
      <c r="Z121" s="4">
        <f t="shared" si="19"/>
        <v>0.49378048780487804</v>
      </c>
      <c r="AA121">
        <f t="shared" si="20"/>
        <v>2536</v>
      </c>
      <c r="AB121">
        <f t="shared" si="21"/>
        <v>1119.625</v>
      </c>
      <c r="AC121">
        <f t="shared" si="22"/>
        <v>288.3125</v>
      </c>
      <c r="AD121">
        <f t="shared" si="23"/>
        <v>52.625</v>
      </c>
      <c r="AE121">
        <f t="shared" si="24"/>
        <v>0.46417682926829268</v>
      </c>
    </row>
    <row r="122" spans="1:31" x14ac:dyDescent="0.35">
      <c r="A122" t="s">
        <v>231</v>
      </c>
      <c r="B122" t="s">
        <v>232</v>
      </c>
      <c r="C122">
        <f>VLOOKUP(CONCATENATE("2011",'2011_60'!A122),aktivnepesseg!$C$2:$D$2226,2,FALSE)</f>
        <v>23795</v>
      </c>
      <c r="D122">
        <f t="shared" si="17"/>
        <v>17132</v>
      </c>
      <c r="E122">
        <f t="shared" si="18"/>
        <v>6663</v>
      </c>
      <c r="F122">
        <v>4853</v>
      </c>
      <c r="G122">
        <v>2075</v>
      </c>
      <c r="H122">
        <v>1046</v>
      </c>
      <c r="I122">
        <v>1252</v>
      </c>
      <c r="J122">
        <v>1732</v>
      </c>
      <c r="K122">
        <v>1563</v>
      </c>
      <c r="L122">
        <v>1231</v>
      </c>
      <c r="M122">
        <v>666</v>
      </c>
      <c r="N122">
        <v>1094</v>
      </c>
      <c r="O122">
        <v>619</v>
      </c>
      <c r="P122">
        <v>537</v>
      </c>
      <c r="Q122">
        <v>214</v>
      </c>
      <c r="R122">
        <v>231</v>
      </c>
      <c r="S122">
        <v>15</v>
      </c>
      <c r="T122">
        <v>4</v>
      </c>
      <c r="U122">
        <f t="shared" si="25"/>
        <v>6663</v>
      </c>
      <c r="V122">
        <f t="shared" si="25"/>
        <v>4125.05</v>
      </c>
      <c r="W122">
        <f t="shared" si="25"/>
        <v>1141.25</v>
      </c>
      <c r="X122">
        <f t="shared" si="25"/>
        <v>313.8</v>
      </c>
      <c r="Y122">
        <f t="shared" si="25"/>
        <v>125.2</v>
      </c>
      <c r="Z122" s="4">
        <f t="shared" si="19"/>
        <v>0.51978566925824754</v>
      </c>
      <c r="AA122">
        <f t="shared" si="20"/>
        <v>6663</v>
      </c>
      <c r="AB122">
        <f t="shared" si="21"/>
        <v>3943.0625</v>
      </c>
      <c r="AC122">
        <f t="shared" si="22"/>
        <v>907.8125</v>
      </c>
      <c r="AD122">
        <f t="shared" si="23"/>
        <v>130.75</v>
      </c>
      <c r="AE122">
        <f t="shared" si="24"/>
        <v>0.48937276738810676</v>
      </c>
    </row>
    <row r="123" spans="1:31" x14ac:dyDescent="0.35">
      <c r="A123" t="s">
        <v>233</v>
      </c>
      <c r="B123" t="s">
        <v>234</v>
      </c>
      <c r="C123">
        <f>VLOOKUP(CONCATENATE("2011",'2011_60'!A123),aktivnepesseg!$C$2:$D$2226,2,FALSE)</f>
        <v>24905</v>
      </c>
      <c r="D123">
        <f t="shared" si="17"/>
        <v>18461</v>
      </c>
      <c r="E123">
        <f t="shared" si="18"/>
        <v>6444</v>
      </c>
      <c r="F123">
        <v>3531</v>
      </c>
      <c r="G123">
        <v>1700</v>
      </c>
      <c r="H123">
        <v>1230</v>
      </c>
      <c r="I123">
        <v>1546</v>
      </c>
      <c r="J123">
        <v>1951</v>
      </c>
      <c r="K123">
        <v>1734</v>
      </c>
      <c r="L123">
        <v>1479</v>
      </c>
      <c r="M123">
        <v>799</v>
      </c>
      <c r="N123">
        <v>1389</v>
      </c>
      <c r="O123">
        <v>880</v>
      </c>
      <c r="P123">
        <v>1000</v>
      </c>
      <c r="Q123">
        <v>576</v>
      </c>
      <c r="R123">
        <v>564</v>
      </c>
      <c r="S123">
        <v>72</v>
      </c>
      <c r="T123">
        <v>10</v>
      </c>
      <c r="U123">
        <f t="shared" si="25"/>
        <v>6444</v>
      </c>
      <c r="V123">
        <f t="shared" si="25"/>
        <v>3001.35</v>
      </c>
      <c r="W123">
        <f t="shared" si="25"/>
        <v>935.00000000000011</v>
      </c>
      <c r="X123">
        <f t="shared" si="25"/>
        <v>369</v>
      </c>
      <c r="Y123">
        <f t="shared" si="25"/>
        <v>154.60000000000002</v>
      </c>
      <c r="Z123" s="4">
        <f t="shared" si="19"/>
        <v>0.43782172254567359</v>
      </c>
      <c r="AA123">
        <f t="shared" si="20"/>
        <v>6444</v>
      </c>
      <c r="AB123">
        <f t="shared" si="21"/>
        <v>2868.9375</v>
      </c>
      <c r="AC123">
        <f t="shared" si="22"/>
        <v>743.75</v>
      </c>
      <c r="AD123">
        <f t="shared" si="23"/>
        <v>153.75</v>
      </c>
      <c r="AE123">
        <f t="shared" si="24"/>
        <v>0.40997540654487052</v>
      </c>
    </row>
    <row r="124" spans="1:31" x14ac:dyDescent="0.35">
      <c r="A124" t="s">
        <v>235</v>
      </c>
      <c r="B124" t="s">
        <v>236</v>
      </c>
      <c r="C124">
        <f>VLOOKUP(CONCATENATE("2011",'2011_60'!A124),aktivnepesseg!$C$2:$D$2226,2,FALSE)</f>
        <v>16668</v>
      </c>
      <c r="D124">
        <f t="shared" si="17"/>
        <v>12352</v>
      </c>
      <c r="E124">
        <f t="shared" si="18"/>
        <v>4316</v>
      </c>
      <c r="F124">
        <v>2213</v>
      </c>
      <c r="G124">
        <v>1284</v>
      </c>
      <c r="H124">
        <v>801</v>
      </c>
      <c r="I124">
        <v>1327</v>
      </c>
      <c r="J124">
        <v>1567</v>
      </c>
      <c r="K124">
        <v>1450</v>
      </c>
      <c r="L124">
        <v>971</v>
      </c>
      <c r="M124">
        <v>491</v>
      </c>
      <c r="N124">
        <v>863</v>
      </c>
      <c r="O124">
        <v>446</v>
      </c>
      <c r="P124">
        <v>494</v>
      </c>
      <c r="Q124">
        <v>200</v>
      </c>
      <c r="R124">
        <v>209</v>
      </c>
      <c r="S124">
        <v>33</v>
      </c>
      <c r="T124">
        <v>3</v>
      </c>
      <c r="U124">
        <f t="shared" si="25"/>
        <v>4316</v>
      </c>
      <c r="V124">
        <f t="shared" si="25"/>
        <v>1881.05</v>
      </c>
      <c r="W124">
        <f t="shared" si="25"/>
        <v>706.2</v>
      </c>
      <c r="X124">
        <f t="shared" si="25"/>
        <v>240.29999999999998</v>
      </c>
      <c r="Y124">
        <f t="shared" si="25"/>
        <v>132.70000000000002</v>
      </c>
      <c r="Z124" s="4">
        <f t="shared" si="19"/>
        <v>0.43654007679385648</v>
      </c>
      <c r="AA124">
        <f t="shared" si="20"/>
        <v>4316</v>
      </c>
      <c r="AB124">
        <f t="shared" si="21"/>
        <v>1798.0625</v>
      </c>
      <c r="AC124">
        <f t="shared" si="22"/>
        <v>561.75</v>
      </c>
      <c r="AD124">
        <f t="shared" si="23"/>
        <v>100.125</v>
      </c>
      <c r="AE124">
        <f t="shared" si="24"/>
        <v>0.40652372810175186</v>
      </c>
    </row>
    <row r="125" spans="1:31" x14ac:dyDescent="0.35">
      <c r="A125" t="s">
        <v>237</v>
      </c>
      <c r="B125" t="s">
        <v>238</v>
      </c>
      <c r="C125">
        <f>VLOOKUP(CONCATENATE("2011",'2011_60'!A125),aktivnepesseg!$C$2:$D$2226,2,FALSE)</f>
        <v>152278</v>
      </c>
      <c r="D125">
        <f t="shared" si="17"/>
        <v>106186</v>
      </c>
      <c r="E125">
        <f t="shared" si="18"/>
        <v>46092</v>
      </c>
      <c r="F125">
        <v>16462</v>
      </c>
      <c r="G125">
        <v>9540</v>
      </c>
      <c r="H125">
        <v>5661</v>
      </c>
      <c r="I125">
        <v>7579</v>
      </c>
      <c r="J125">
        <v>11270</v>
      </c>
      <c r="K125">
        <v>11682</v>
      </c>
      <c r="L125">
        <v>8961</v>
      </c>
      <c r="M125">
        <v>4796</v>
      </c>
      <c r="N125">
        <v>8925</v>
      </c>
      <c r="O125">
        <v>5650</v>
      </c>
      <c r="P125">
        <v>6987</v>
      </c>
      <c r="Q125">
        <v>3490</v>
      </c>
      <c r="R125">
        <v>4339</v>
      </c>
      <c r="S125">
        <v>738</v>
      </c>
      <c r="T125">
        <v>106</v>
      </c>
      <c r="U125">
        <f t="shared" si="25"/>
        <v>46092</v>
      </c>
      <c r="V125">
        <f t="shared" si="25"/>
        <v>13992.699999999999</v>
      </c>
      <c r="W125">
        <f t="shared" si="25"/>
        <v>5247</v>
      </c>
      <c r="X125">
        <f t="shared" si="25"/>
        <v>1698.3</v>
      </c>
      <c r="Y125">
        <f t="shared" si="25"/>
        <v>757.90000000000009</v>
      </c>
      <c r="Z125" s="4">
        <f t="shared" si="19"/>
        <v>0.44515885420086942</v>
      </c>
      <c r="AA125">
        <f t="shared" si="20"/>
        <v>46092</v>
      </c>
      <c r="AB125">
        <f t="shared" si="21"/>
        <v>13375.375</v>
      </c>
      <c r="AC125">
        <f t="shared" si="22"/>
        <v>4173.75</v>
      </c>
      <c r="AD125">
        <f t="shared" si="23"/>
        <v>707.625</v>
      </c>
      <c r="AE125">
        <f t="shared" si="24"/>
        <v>0.42257417355100541</v>
      </c>
    </row>
    <row r="126" spans="1:31" x14ac:dyDescent="0.35">
      <c r="A126" t="s">
        <v>239</v>
      </c>
      <c r="B126" t="s">
        <v>240</v>
      </c>
      <c r="C126">
        <f>VLOOKUP(CONCATENATE("2011",'2011_60'!A126),aktivnepesseg!$C$2:$D$2226,2,FALSE)</f>
        <v>21137</v>
      </c>
      <c r="D126">
        <f t="shared" si="17"/>
        <v>15794</v>
      </c>
      <c r="E126">
        <f t="shared" si="18"/>
        <v>5343</v>
      </c>
      <c r="F126">
        <v>3268</v>
      </c>
      <c r="G126">
        <v>1523</v>
      </c>
      <c r="H126">
        <v>1012</v>
      </c>
      <c r="I126">
        <v>1227</v>
      </c>
      <c r="J126">
        <v>1903</v>
      </c>
      <c r="K126">
        <v>1701</v>
      </c>
      <c r="L126">
        <v>1321</v>
      </c>
      <c r="M126">
        <v>765</v>
      </c>
      <c r="N126">
        <v>1174</v>
      </c>
      <c r="O126">
        <v>600</v>
      </c>
      <c r="P126">
        <v>685</v>
      </c>
      <c r="Q126">
        <v>256</v>
      </c>
      <c r="R126">
        <v>319</v>
      </c>
      <c r="S126">
        <v>36</v>
      </c>
      <c r="T126">
        <v>4</v>
      </c>
      <c r="U126">
        <f t="shared" si="25"/>
        <v>5343</v>
      </c>
      <c r="V126">
        <f t="shared" si="25"/>
        <v>2777.7999999999997</v>
      </c>
      <c r="W126">
        <f t="shared" si="25"/>
        <v>837.65000000000009</v>
      </c>
      <c r="X126">
        <f t="shared" si="25"/>
        <v>303.59999999999997</v>
      </c>
      <c r="Y126">
        <f t="shared" si="25"/>
        <v>122.7</v>
      </c>
      <c r="Z126" s="4">
        <f t="shared" si="19"/>
        <v>0.4439963097885225</v>
      </c>
      <c r="AA126">
        <f t="shared" si="20"/>
        <v>5343</v>
      </c>
      <c r="AB126">
        <f t="shared" si="21"/>
        <v>2655.25</v>
      </c>
      <c r="AC126">
        <f t="shared" si="22"/>
        <v>666.3125</v>
      </c>
      <c r="AD126">
        <f t="shared" si="23"/>
        <v>126.5</v>
      </c>
      <c r="AE126">
        <f t="shared" si="24"/>
        <v>0.41590871457633533</v>
      </c>
    </row>
    <row r="127" spans="1:31" x14ac:dyDescent="0.35">
      <c r="A127" t="s">
        <v>241</v>
      </c>
      <c r="B127" t="s">
        <v>242</v>
      </c>
      <c r="C127">
        <f>VLOOKUP(CONCATENATE("2011",'2011_60'!A127),aktivnepesseg!$C$2:$D$2226,2,FALSE)</f>
        <v>40650</v>
      </c>
      <c r="D127">
        <f t="shared" si="17"/>
        <v>27782</v>
      </c>
      <c r="E127">
        <f t="shared" si="18"/>
        <v>12868</v>
      </c>
      <c r="F127">
        <v>3503</v>
      </c>
      <c r="G127">
        <v>2590</v>
      </c>
      <c r="H127">
        <v>1522</v>
      </c>
      <c r="I127">
        <v>2460</v>
      </c>
      <c r="J127">
        <v>3066</v>
      </c>
      <c r="K127">
        <v>2858</v>
      </c>
      <c r="L127">
        <v>2525</v>
      </c>
      <c r="M127">
        <v>1352</v>
      </c>
      <c r="N127">
        <v>2360</v>
      </c>
      <c r="O127">
        <v>1627</v>
      </c>
      <c r="P127">
        <v>1903</v>
      </c>
      <c r="Q127">
        <v>870</v>
      </c>
      <c r="R127">
        <v>983</v>
      </c>
      <c r="S127">
        <v>146</v>
      </c>
      <c r="T127">
        <v>17</v>
      </c>
      <c r="U127">
        <f t="shared" si="25"/>
        <v>12868</v>
      </c>
      <c r="V127">
        <f t="shared" si="25"/>
        <v>2977.5499999999997</v>
      </c>
      <c r="W127">
        <f t="shared" si="25"/>
        <v>1424.5000000000002</v>
      </c>
      <c r="X127">
        <f t="shared" si="25"/>
        <v>456.59999999999997</v>
      </c>
      <c r="Y127">
        <f t="shared" si="25"/>
        <v>246</v>
      </c>
      <c r="Z127" s="4">
        <f t="shared" si="19"/>
        <v>0.44213161131611312</v>
      </c>
      <c r="AA127">
        <f t="shared" si="20"/>
        <v>12868</v>
      </c>
      <c r="AB127">
        <f t="shared" si="21"/>
        <v>2846.1875</v>
      </c>
      <c r="AC127">
        <f t="shared" si="22"/>
        <v>1133.125</v>
      </c>
      <c r="AD127">
        <f t="shared" si="23"/>
        <v>190.25</v>
      </c>
      <c r="AE127">
        <f t="shared" si="24"/>
        <v>0.41912822878228784</v>
      </c>
    </row>
    <row r="128" spans="1:31" x14ac:dyDescent="0.35">
      <c r="A128" t="s">
        <v>243</v>
      </c>
      <c r="B128" t="s">
        <v>244</v>
      </c>
      <c r="C128">
        <f>VLOOKUP(CONCATENATE("2011",'2011_60'!A128),aktivnepesseg!$C$2:$D$2226,2,FALSE)</f>
        <v>17279</v>
      </c>
      <c r="D128">
        <f t="shared" si="17"/>
        <v>11976</v>
      </c>
      <c r="E128">
        <f t="shared" si="18"/>
        <v>5303</v>
      </c>
      <c r="F128">
        <v>3031</v>
      </c>
      <c r="G128">
        <v>1201</v>
      </c>
      <c r="H128">
        <v>670</v>
      </c>
      <c r="I128">
        <v>979</v>
      </c>
      <c r="J128">
        <v>1413</v>
      </c>
      <c r="K128">
        <v>1303</v>
      </c>
      <c r="L128">
        <v>852</v>
      </c>
      <c r="M128">
        <v>498</v>
      </c>
      <c r="N128">
        <v>750</v>
      </c>
      <c r="O128">
        <v>397</v>
      </c>
      <c r="P128">
        <v>496</v>
      </c>
      <c r="Q128">
        <v>195</v>
      </c>
      <c r="R128">
        <v>175</v>
      </c>
      <c r="S128">
        <v>13</v>
      </c>
      <c r="T128">
        <v>3</v>
      </c>
      <c r="U128">
        <f t="shared" si="25"/>
        <v>5303</v>
      </c>
      <c r="V128">
        <f t="shared" si="25"/>
        <v>2576.35</v>
      </c>
      <c r="W128">
        <f t="shared" si="25"/>
        <v>660.55000000000007</v>
      </c>
      <c r="X128">
        <f t="shared" si="25"/>
        <v>201</v>
      </c>
      <c r="Y128">
        <f t="shared" si="25"/>
        <v>97.9</v>
      </c>
      <c r="Z128" s="4">
        <f t="shared" si="19"/>
        <v>0.51153423230511019</v>
      </c>
      <c r="AA128">
        <f t="shared" si="20"/>
        <v>5303</v>
      </c>
      <c r="AB128">
        <f t="shared" si="21"/>
        <v>2462.6875</v>
      </c>
      <c r="AC128">
        <f t="shared" si="22"/>
        <v>525.4375</v>
      </c>
      <c r="AD128">
        <f t="shared" si="23"/>
        <v>83.75</v>
      </c>
      <c r="AE128">
        <f t="shared" si="24"/>
        <v>0.48468516696568087</v>
      </c>
    </row>
    <row r="129" spans="1:31" x14ac:dyDescent="0.35">
      <c r="A129" t="s">
        <v>245</v>
      </c>
      <c r="B129" t="s">
        <v>246</v>
      </c>
      <c r="C129">
        <f>VLOOKUP(CONCATENATE("2011",'2011_60'!A129),aktivnepesseg!$C$2:$D$2226,2,FALSE)</f>
        <v>21745</v>
      </c>
      <c r="D129">
        <f t="shared" si="17"/>
        <v>17164</v>
      </c>
      <c r="E129">
        <f t="shared" si="18"/>
        <v>4581</v>
      </c>
      <c r="F129">
        <v>2125</v>
      </c>
      <c r="G129">
        <v>1310</v>
      </c>
      <c r="H129">
        <v>728</v>
      </c>
      <c r="I129">
        <v>1092</v>
      </c>
      <c r="J129">
        <v>1495</v>
      </c>
      <c r="K129">
        <v>1808</v>
      </c>
      <c r="L129">
        <v>1905</v>
      </c>
      <c r="M129">
        <v>1129</v>
      </c>
      <c r="N129">
        <v>1821</v>
      </c>
      <c r="O129">
        <v>1114</v>
      </c>
      <c r="P129">
        <v>1293</v>
      </c>
      <c r="Q129">
        <v>564</v>
      </c>
      <c r="R129">
        <v>680</v>
      </c>
      <c r="S129">
        <v>92</v>
      </c>
      <c r="T129">
        <v>8</v>
      </c>
      <c r="U129">
        <f t="shared" si="25"/>
        <v>4581</v>
      </c>
      <c r="V129">
        <f t="shared" si="25"/>
        <v>1806.25</v>
      </c>
      <c r="W129">
        <f t="shared" si="25"/>
        <v>720.50000000000011</v>
      </c>
      <c r="X129">
        <f t="shared" si="25"/>
        <v>218.4</v>
      </c>
      <c r="Y129">
        <f t="shared" si="25"/>
        <v>109.2</v>
      </c>
      <c r="Z129" s="4">
        <f t="shared" si="19"/>
        <v>0.34193377787997237</v>
      </c>
      <c r="AA129">
        <f t="shared" si="20"/>
        <v>4581</v>
      </c>
      <c r="AB129">
        <f t="shared" si="21"/>
        <v>1726.5625</v>
      </c>
      <c r="AC129">
        <f t="shared" si="22"/>
        <v>573.125</v>
      </c>
      <c r="AD129">
        <f t="shared" si="23"/>
        <v>91</v>
      </c>
      <c r="AE129">
        <f t="shared" si="24"/>
        <v>0.3206110600137963</v>
      </c>
    </row>
    <row r="130" spans="1:31" x14ac:dyDescent="0.35">
      <c r="A130" t="s">
        <v>247</v>
      </c>
      <c r="B130" t="s">
        <v>248</v>
      </c>
      <c r="C130">
        <f>VLOOKUP(CONCATENATE("2011",'2011_60'!A130),aktivnepesseg!$C$2:$D$2226,2,FALSE)</f>
        <v>45791</v>
      </c>
      <c r="D130">
        <f t="shared" si="17"/>
        <v>34438</v>
      </c>
      <c r="E130">
        <f t="shared" si="18"/>
        <v>11353</v>
      </c>
      <c r="F130">
        <v>6792</v>
      </c>
      <c r="G130">
        <v>2930</v>
      </c>
      <c r="H130">
        <v>1669</v>
      </c>
      <c r="I130">
        <v>2363</v>
      </c>
      <c r="J130">
        <v>3382</v>
      </c>
      <c r="K130">
        <v>3307</v>
      </c>
      <c r="L130">
        <v>2921</v>
      </c>
      <c r="M130">
        <v>1693</v>
      </c>
      <c r="N130">
        <v>3286</v>
      </c>
      <c r="O130">
        <v>2083</v>
      </c>
      <c r="P130">
        <v>2090</v>
      </c>
      <c r="Q130">
        <v>837</v>
      </c>
      <c r="R130">
        <v>938</v>
      </c>
      <c r="S130">
        <v>127</v>
      </c>
      <c r="T130">
        <v>20</v>
      </c>
      <c r="U130">
        <f t="shared" si="25"/>
        <v>11353</v>
      </c>
      <c r="V130">
        <f t="shared" si="25"/>
        <v>5773.2</v>
      </c>
      <c r="W130">
        <f t="shared" si="25"/>
        <v>1611.5000000000002</v>
      </c>
      <c r="X130">
        <f t="shared" si="25"/>
        <v>500.7</v>
      </c>
      <c r="Y130">
        <f t="shared" si="25"/>
        <v>236.3</v>
      </c>
      <c r="Z130" s="4">
        <f t="shared" si="19"/>
        <v>0.42529536371776117</v>
      </c>
      <c r="AA130">
        <f t="shared" si="20"/>
        <v>11353</v>
      </c>
      <c r="AB130">
        <f t="shared" si="21"/>
        <v>5518.5</v>
      </c>
      <c r="AC130">
        <f t="shared" si="22"/>
        <v>1281.875</v>
      </c>
      <c r="AD130">
        <f t="shared" si="23"/>
        <v>208.625</v>
      </c>
      <c r="AE130">
        <f t="shared" si="24"/>
        <v>0.40099582887466967</v>
      </c>
    </row>
    <row r="131" spans="1:31" x14ac:dyDescent="0.35">
      <c r="A131" t="s">
        <v>249</v>
      </c>
      <c r="B131" t="s">
        <v>250</v>
      </c>
      <c r="C131">
        <f>VLOOKUP(CONCATENATE("2011",'2011_60'!A131),aktivnepesseg!$C$2:$D$2226,2,FALSE)</f>
        <v>15772</v>
      </c>
      <c r="D131">
        <f t="shared" si="17"/>
        <v>11252</v>
      </c>
      <c r="E131">
        <f t="shared" si="18"/>
        <v>4520</v>
      </c>
      <c r="F131">
        <v>2322</v>
      </c>
      <c r="G131">
        <v>1000</v>
      </c>
      <c r="H131">
        <v>713</v>
      </c>
      <c r="I131">
        <v>884</v>
      </c>
      <c r="J131">
        <v>1512</v>
      </c>
      <c r="K131">
        <v>1361</v>
      </c>
      <c r="L131">
        <v>961</v>
      </c>
      <c r="M131">
        <v>537</v>
      </c>
      <c r="N131">
        <v>842</v>
      </c>
      <c r="O131">
        <v>443</v>
      </c>
      <c r="P131">
        <v>364</v>
      </c>
      <c r="Q131">
        <v>141</v>
      </c>
      <c r="R131">
        <v>147</v>
      </c>
      <c r="S131">
        <v>22</v>
      </c>
      <c r="T131">
        <v>3</v>
      </c>
      <c r="U131">
        <f t="shared" si="25"/>
        <v>4520</v>
      </c>
      <c r="V131">
        <f t="shared" si="25"/>
        <v>1973.7</v>
      </c>
      <c r="W131">
        <f t="shared" si="25"/>
        <v>550</v>
      </c>
      <c r="X131">
        <f t="shared" si="25"/>
        <v>213.9</v>
      </c>
      <c r="Y131">
        <f t="shared" si="25"/>
        <v>88.4</v>
      </c>
      <c r="Z131" s="4">
        <f t="shared" si="19"/>
        <v>0.46576211006847573</v>
      </c>
      <c r="AA131">
        <f t="shared" si="20"/>
        <v>4520</v>
      </c>
      <c r="AB131">
        <f t="shared" si="21"/>
        <v>1886.625</v>
      </c>
      <c r="AC131">
        <f t="shared" si="22"/>
        <v>437.5</v>
      </c>
      <c r="AD131">
        <f t="shared" si="23"/>
        <v>89.125</v>
      </c>
      <c r="AE131">
        <f t="shared" si="24"/>
        <v>0.43959231549581534</v>
      </c>
    </row>
    <row r="132" spans="1:31" x14ac:dyDescent="0.35">
      <c r="A132" t="s">
        <v>251</v>
      </c>
      <c r="B132" t="s">
        <v>252</v>
      </c>
      <c r="C132">
        <f>VLOOKUP(CONCATENATE("2011",'2011_60'!A132),aktivnepesseg!$C$2:$D$2226,2,FALSE)</f>
        <v>18594</v>
      </c>
      <c r="D132">
        <f t="shared" si="17"/>
        <v>12656</v>
      </c>
      <c r="E132">
        <f t="shared" si="18"/>
        <v>5938</v>
      </c>
      <c r="F132">
        <v>2759</v>
      </c>
      <c r="G132">
        <v>1583</v>
      </c>
      <c r="H132">
        <v>957</v>
      </c>
      <c r="I132">
        <v>1434</v>
      </c>
      <c r="J132">
        <v>1524</v>
      </c>
      <c r="K132">
        <v>1212</v>
      </c>
      <c r="L132">
        <v>913</v>
      </c>
      <c r="M132">
        <v>446</v>
      </c>
      <c r="N132">
        <v>711</v>
      </c>
      <c r="O132">
        <v>394</v>
      </c>
      <c r="P132">
        <v>444</v>
      </c>
      <c r="Q132">
        <v>139</v>
      </c>
      <c r="R132">
        <v>124</v>
      </c>
      <c r="S132">
        <v>16</v>
      </c>
      <c r="T132">
        <v>0</v>
      </c>
      <c r="U132">
        <f t="shared" si="25"/>
        <v>5938</v>
      </c>
      <c r="V132">
        <f t="shared" si="25"/>
        <v>2345.15</v>
      </c>
      <c r="W132">
        <f t="shared" si="25"/>
        <v>870.65000000000009</v>
      </c>
      <c r="X132">
        <f t="shared" si="25"/>
        <v>287.09999999999997</v>
      </c>
      <c r="Y132">
        <f t="shared" si="25"/>
        <v>143.4</v>
      </c>
      <c r="Z132" s="4">
        <f t="shared" si="19"/>
        <v>0.5154512208239217</v>
      </c>
      <c r="AA132">
        <f t="shared" si="20"/>
        <v>5938</v>
      </c>
      <c r="AB132">
        <f t="shared" si="21"/>
        <v>2241.6875</v>
      </c>
      <c r="AC132">
        <f t="shared" si="22"/>
        <v>692.5625</v>
      </c>
      <c r="AD132">
        <f t="shared" si="23"/>
        <v>119.625</v>
      </c>
      <c r="AE132">
        <f t="shared" si="24"/>
        <v>0.48359013660320532</v>
      </c>
    </row>
    <row r="133" spans="1:31" x14ac:dyDescent="0.35">
      <c r="A133" t="s">
        <v>253</v>
      </c>
      <c r="B133" t="s">
        <v>254</v>
      </c>
      <c r="C133">
        <f>VLOOKUP(CONCATENATE("2011",'2011_60'!A133),aktivnepesseg!$C$2:$D$2226,2,FALSE)</f>
        <v>48119</v>
      </c>
      <c r="D133">
        <f t="shared" si="17"/>
        <v>37404</v>
      </c>
      <c r="E133">
        <f t="shared" si="18"/>
        <v>10715</v>
      </c>
      <c r="F133">
        <v>5981</v>
      </c>
      <c r="G133">
        <v>3185</v>
      </c>
      <c r="H133">
        <v>1943</v>
      </c>
      <c r="I133">
        <v>3004</v>
      </c>
      <c r="J133">
        <v>4590</v>
      </c>
      <c r="K133">
        <v>4707</v>
      </c>
      <c r="L133">
        <v>3415</v>
      </c>
      <c r="M133">
        <v>1844</v>
      </c>
      <c r="N133">
        <v>3023</v>
      </c>
      <c r="O133">
        <v>1837</v>
      </c>
      <c r="P133">
        <v>1817</v>
      </c>
      <c r="Q133">
        <v>846</v>
      </c>
      <c r="R133">
        <v>1007</v>
      </c>
      <c r="S133">
        <v>179</v>
      </c>
      <c r="T133">
        <v>26</v>
      </c>
      <c r="U133">
        <f t="shared" si="25"/>
        <v>10715</v>
      </c>
      <c r="V133">
        <f t="shared" si="25"/>
        <v>5083.8499999999995</v>
      </c>
      <c r="W133">
        <f t="shared" si="25"/>
        <v>1751.7500000000002</v>
      </c>
      <c r="X133">
        <f t="shared" si="25"/>
        <v>582.9</v>
      </c>
      <c r="Y133">
        <f t="shared" si="25"/>
        <v>300.40000000000003</v>
      </c>
      <c r="Z133" s="4">
        <f t="shared" si="19"/>
        <v>0.38308983977223138</v>
      </c>
      <c r="AA133">
        <f t="shared" si="20"/>
        <v>10715</v>
      </c>
      <c r="AB133">
        <f t="shared" si="21"/>
        <v>4859.5625</v>
      </c>
      <c r="AC133">
        <f t="shared" si="22"/>
        <v>1393.4375</v>
      </c>
      <c r="AD133">
        <f t="shared" si="23"/>
        <v>242.875</v>
      </c>
      <c r="AE133">
        <f t="shared" si="24"/>
        <v>0.35767316444647645</v>
      </c>
    </row>
    <row r="134" spans="1:31" x14ac:dyDescent="0.35">
      <c r="A134" t="s">
        <v>255</v>
      </c>
      <c r="B134" t="s">
        <v>256</v>
      </c>
      <c r="C134">
        <f>VLOOKUP(CONCATENATE("2011",'2011_60'!A134),aktivnepesseg!$C$2:$D$2226,2,FALSE)</f>
        <v>43577</v>
      </c>
      <c r="D134">
        <f t="shared" si="17"/>
        <v>30124</v>
      </c>
      <c r="E134">
        <f t="shared" si="18"/>
        <v>13453</v>
      </c>
      <c r="F134">
        <v>4124</v>
      </c>
      <c r="G134">
        <v>2833</v>
      </c>
      <c r="H134">
        <v>1682</v>
      </c>
      <c r="I134">
        <v>2715</v>
      </c>
      <c r="J134">
        <v>3677</v>
      </c>
      <c r="K134">
        <v>3333</v>
      </c>
      <c r="L134">
        <v>2869</v>
      </c>
      <c r="M134">
        <v>1478</v>
      </c>
      <c r="N134">
        <v>2535</v>
      </c>
      <c r="O134">
        <v>1562</v>
      </c>
      <c r="P134">
        <v>1847</v>
      </c>
      <c r="Q134">
        <v>700</v>
      </c>
      <c r="R134">
        <v>697</v>
      </c>
      <c r="S134">
        <v>66</v>
      </c>
      <c r="T134">
        <v>6</v>
      </c>
      <c r="U134">
        <f t="shared" si="25"/>
        <v>13453</v>
      </c>
      <c r="V134">
        <f t="shared" si="25"/>
        <v>3505.4</v>
      </c>
      <c r="W134">
        <f t="shared" si="25"/>
        <v>1558.15</v>
      </c>
      <c r="X134">
        <f t="shared" si="25"/>
        <v>504.59999999999997</v>
      </c>
      <c r="Y134">
        <f t="shared" si="25"/>
        <v>271.5</v>
      </c>
      <c r="Z134" s="4">
        <f t="shared" si="19"/>
        <v>0.44272552034330037</v>
      </c>
      <c r="AA134">
        <f t="shared" si="20"/>
        <v>13453</v>
      </c>
      <c r="AB134">
        <f t="shared" si="21"/>
        <v>3350.75</v>
      </c>
      <c r="AC134">
        <f t="shared" si="22"/>
        <v>1239.4375</v>
      </c>
      <c r="AD134">
        <f t="shared" si="23"/>
        <v>210.25</v>
      </c>
      <c r="AE134">
        <f t="shared" si="24"/>
        <v>0.41887779103655598</v>
      </c>
    </row>
    <row r="135" spans="1:31" x14ac:dyDescent="0.35">
      <c r="A135" t="s">
        <v>257</v>
      </c>
      <c r="B135" t="s">
        <v>258</v>
      </c>
      <c r="C135">
        <f>VLOOKUP(CONCATENATE("2011",'2011_60'!A135),aktivnepesseg!$C$2:$D$2226,2,FALSE)</f>
        <v>16523</v>
      </c>
      <c r="D135">
        <f t="shared" si="17"/>
        <v>11677</v>
      </c>
      <c r="E135">
        <f t="shared" si="18"/>
        <v>4846</v>
      </c>
      <c r="F135">
        <v>1921</v>
      </c>
      <c r="G135">
        <v>1098</v>
      </c>
      <c r="H135">
        <v>718</v>
      </c>
      <c r="I135">
        <v>963</v>
      </c>
      <c r="J135">
        <v>1417</v>
      </c>
      <c r="K135">
        <v>1358</v>
      </c>
      <c r="L135">
        <v>1101</v>
      </c>
      <c r="M135">
        <v>556</v>
      </c>
      <c r="N135">
        <v>905</v>
      </c>
      <c r="O135">
        <v>510</v>
      </c>
      <c r="P135">
        <v>562</v>
      </c>
      <c r="Q135">
        <v>242</v>
      </c>
      <c r="R135">
        <v>291</v>
      </c>
      <c r="S135">
        <v>29</v>
      </c>
      <c r="T135">
        <v>6</v>
      </c>
      <c r="U135">
        <f t="shared" si="25"/>
        <v>4846</v>
      </c>
      <c r="V135">
        <f t="shared" si="25"/>
        <v>1632.85</v>
      </c>
      <c r="W135">
        <f t="shared" si="25"/>
        <v>603.90000000000009</v>
      </c>
      <c r="X135">
        <f t="shared" si="25"/>
        <v>215.4</v>
      </c>
      <c r="Y135">
        <f t="shared" si="25"/>
        <v>96.300000000000011</v>
      </c>
      <c r="Z135" s="4">
        <f t="shared" si="19"/>
        <v>0.44752466259153906</v>
      </c>
      <c r="AA135">
        <f t="shared" si="20"/>
        <v>4846</v>
      </c>
      <c r="AB135">
        <f t="shared" si="21"/>
        <v>1560.8125</v>
      </c>
      <c r="AC135">
        <f t="shared" si="22"/>
        <v>480.375</v>
      </c>
      <c r="AD135">
        <f t="shared" si="23"/>
        <v>89.75</v>
      </c>
      <c r="AE135">
        <f t="shared" si="24"/>
        <v>0.4222560975609756</v>
      </c>
    </row>
    <row r="136" spans="1:31" x14ac:dyDescent="0.35">
      <c r="A136" t="s">
        <v>259</v>
      </c>
      <c r="B136" t="s">
        <v>260</v>
      </c>
      <c r="C136">
        <f>VLOOKUP(CONCATENATE("2011",'2011_60'!A136),aktivnepesseg!$C$2:$D$2226,2,FALSE)</f>
        <v>17748</v>
      </c>
      <c r="D136">
        <f t="shared" si="17"/>
        <v>11000</v>
      </c>
      <c r="E136">
        <f t="shared" si="18"/>
        <v>6748</v>
      </c>
      <c r="F136">
        <v>2361</v>
      </c>
      <c r="G136">
        <v>1311</v>
      </c>
      <c r="H136">
        <v>743</v>
      </c>
      <c r="I136">
        <v>1094</v>
      </c>
      <c r="J136">
        <v>1421</v>
      </c>
      <c r="K136">
        <v>939</v>
      </c>
      <c r="L136">
        <v>838</v>
      </c>
      <c r="M136">
        <v>436</v>
      </c>
      <c r="N136">
        <v>798</v>
      </c>
      <c r="O136">
        <v>408</v>
      </c>
      <c r="P136">
        <v>374</v>
      </c>
      <c r="Q136">
        <v>157</v>
      </c>
      <c r="R136">
        <v>114</v>
      </c>
      <c r="S136">
        <v>6</v>
      </c>
      <c r="T136">
        <v>0</v>
      </c>
      <c r="U136">
        <f t="shared" ref="U136:Y167" si="26">E136*E$5</f>
        <v>6748</v>
      </c>
      <c r="V136">
        <f t="shared" si="26"/>
        <v>2006.85</v>
      </c>
      <c r="W136">
        <f t="shared" si="26"/>
        <v>721.05000000000007</v>
      </c>
      <c r="X136">
        <f t="shared" si="26"/>
        <v>222.9</v>
      </c>
      <c r="Y136">
        <f t="shared" si="26"/>
        <v>109.4</v>
      </c>
      <c r="Z136" s="4">
        <f t="shared" si="19"/>
        <v>0.55263691683569971</v>
      </c>
      <c r="AA136">
        <f t="shared" si="20"/>
        <v>6748</v>
      </c>
      <c r="AB136">
        <f t="shared" si="21"/>
        <v>1918.3125</v>
      </c>
      <c r="AC136">
        <f t="shared" si="22"/>
        <v>573.5625</v>
      </c>
      <c r="AD136">
        <f t="shared" si="23"/>
        <v>92.875</v>
      </c>
      <c r="AE136">
        <f t="shared" si="24"/>
        <v>0.52584798287130941</v>
      </c>
    </row>
    <row r="137" spans="1:31" x14ac:dyDescent="0.35">
      <c r="A137" t="s">
        <v>261</v>
      </c>
      <c r="B137" t="s">
        <v>262</v>
      </c>
      <c r="C137">
        <f>VLOOKUP(CONCATENATE("2011",'2011_60'!A137),aktivnepesseg!$C$2:$D$2226,2,FALSE)</f>
        <v>26123</v>
      </c>
      <c r="D137">
        <f t="shared" ref="D137:D199" si="27">SUM(F137:T137)</f>
        <v>16759</v>
      </c>
      <c r="E137">
        <f t="shared" ref="E137:E200" si="28">C137-D137</f>
        <v>9364</v>
      </c>
      <c r="F137">
        <v>3547</v>
      </c>
      <c r="G137">
        <v>2163</v>
      </c>
      <c r="H137">
        <v>1259</v>
      </c>
      <c r="I137">
        <v>1490</v>
      </c>
      <c r="J137">
        <v>1889</v>
      </c>
      <c r="K137">
        <v>1610</v>
      </c>
      <c r="L137">
        <v>1307</v>
      </c>
      <c r="M137">
        <v>612</v>
      </c>
      <c r="N137">
        <v>972</v>
      </c>
      <c r="O137">
        <v>673</v>
      </c>
      <c r="P137">
        <v>713</v>
      </c>
      <c r="Q137">
        <v>266</v>
      </c>
      <c r="R137">
        <v>237</v>
      </c>
      <c r="S137">
        <v>21</v>
      </c>
      <c r="T137">
        <v>0</v>
      </c>
      <c r="U137">
        <f t="shared" si="26"/>
        <v>9364</v>
      </c>
      <c r="V137">
        <f t="shared" si="26"/>
        <v>3014.95</v>
      </c>
      <c r="W137">
        <f t="shared" si="26"/>
        <v>1189.6500000000001</v>
      </c>
      <c r="X137">
        <f t="shared" si="26"/>
        <v>377.7</v>
      </c>
      <c r="Y137">
        <f t="shared" si="26"/>
        <v>149</v>
      </c>
      <c r="Z137" s="4">
        <f t="shared" ref="Z137:Z200" si="29">SUM(U137:Y137)/$C137</f>
        <v>0.53957432147915629</v>
      </c>
      <c r="AA137">
        <f t="shared" ref="AA137:AA200" si="30">E137*E$6</f>
        <v>9364</v>
      </c>
      <c r="AB137">
        <f t="shared" ref="AB137:AB200" si="31">F137*F$6</f>
        <v>2881.9375</v>
      </c>
      <c r="AC137">
        <f t="shared" ref="AC137:AC200" si="32">G137*G$6</f>
        <v>946.3125</v>
      </c>
      <c r="AD137">
        <f t="shared" ref="AD137:AD200" si="33">H137*H$6</f>
        <v>157.375</v>
      </c>
      <c r="AE137">
        <f t="shared" ref="AE137:AE200" si="34">SUM(AA137:AD137)/$C137</f>
        <v>0.51102955250162696</v>
      </c>
    </row>
    <row r="138" spans="1:31" x14ac:dyDescent="0.35">
      <c r="A138" t="s">
        <v>263</v>
      </c>
      <c r="B138" t="s">
        <v>264</v>
      </c>
      <c r="C138">
        <f>VLOOKUP(CONCATENATE("2011",'2011_60'!A138),aktivnepesseg!$C$2:$D$2226,2,FALSE)</f>
        <v>105671</v>
      </c>
      <c r="D138">
        <f t="shared" si="27"/>
        <v>76436</v>
      </c>
      <c r="E138">
        <f t="shared" si="28"/>
        <v>29235</v>
      </c>
      <c r="F138">
        <v>13205</v>
      </c>
      <c r="G138">
        <v>7588</v>
      </c>
      <c r="H138">
        <v>4418</v>
      </c>
      <c r="I138">
        <v>6159</v>
      </c>
      <c r="J138">
        <v>8533</v>
      </c>
      <c r="K138">
        <v>7696</v>
      </c>
      <c r="L138">
        <v>6134</v>
      </c>
      <c r="M138">
        <v>3201</v>
      </c>
      <c r="N138">
        <v>5953</v>
      </c>
      <c r="O138">
        <v>3971</v>
      </c>
      <c r="P138">
        <v>4535</v>
      </c>
      <c r="Q138">
        <v>2140</v>
      </c>
      <c r="R138">
        <v>2437</v>
      </c>
      <c r="S138">
        <v>400</v>
      </c>
      <c r="T138">
        <v>66</v>
      </c>
      <c r="U138">
        <f t="shared" si="26"/>
        <v>29235</v>
      </c>
      <c r="V138">
        <f t="shared" si="26"/>
        <v>11224.25</v>
      </c>
      <c r="W138">
        <f t="shared" si="26"/>
        <v>4173.4000000000005</v>
      </c>
      <c r="X138">
        <f t="shared" si="26"/>
        <v>1325.3999999999999</v>
      </c>
      <c r="Y138">
        <f t="shared" si="26"/>
        <v>615.90000000000009</v>
      </c>
      <c r="Z138" s="4">
        <f t="shared" si="29"/>
        <v>0.44074485904363547</v>
      </c>
      <c r="AA138">
        <f t="shared" si="30"/>
        <v>29235</v>
      </c>
      <c r="AB138">
        <f t="shared" si="31"/>
        <v>10729.0625</v>
      </c>
      <c r="AC138">
        <f t="shared" si="32"/>
        <v>3319.75</v>
      </c>
      <c r="AD138">
        <f t="shared" si="33"/>
        <v>552.25</v>
      </c>
      <c r="AE138">
        <f t="shared" si="34"/>
        <v>0.41483531432464915</v>
      </c>
    </row>
    <row r="139" spans="1:31" x14ac:dyDescent="0.35">
      <c r="A139" t="s">
        <v>265</v>
      </c>
      <c r="B139" t="s">
        <v>266</v>
      </c>
      <c r="C139">
        <f>VLOOKUP(CONCATENATE("2011",'2011_60'!A139),aktivnepesseg!$C$2:$D$2226,2,FALSE)</f>
        <v>30320</v>
      </c>
      <c r="D139">
        <f t="shared" si="27"/>
        <v>23494</v>
      </c>
      <c r="E139">
        <f t="shared" si="28"/>
        <v>6826</v>
      </c>
      <c r="F139">
        <v>5022</v>
      </c>
      <c r="G139">
        <v>2387</v>
      </c>
      <c r="H139">
        <v>1253</v>
      </c>
      <c r="I139">
        <v>1862</v>
      </c>
      <c r="J139">
        <v>2543</v>
      </c>
      <c r="K139">
        <v>2378</v>
      </c>
      <c r="L139">
        <v>1801</v>
      </c>
      <c r="M139">
        <v>1025</v>
      </c>
      <c r="N139">
        <v>1778</v>
      </c>
      <c r="O139">
        <v>1081</v>
      </c>
      <c r="P139">
        <v>1077</v>
      </c>
      <c r="Q139">
        <v>674</v>
      </c>
      <c r="R139">
        <v>515</v>
      </c>
      <c r="S139">
        <v>87</v>
      </c>
      <c r="T139">
        <v>11</v>
      </c>
      <c r="U139">
        <f t="shared" si="26"/>
        <v>6826</v>
      </c>
      <c r="V139">
        <f t="shared" si="26"/>
        <v>4268.7</v>
      </c>
      <c r="W139">
        <f t="shared" si="26"/>
        <v>1312.8500000000001</v>
      </c>
      <c r="X139">
        <f t="shared" si="26"/>
        <v>375.9</v>
      </c>
      <c r="Y139">
        <f t="shared" si="26"/>
        <v>186.20000000000002</v>
      </c>
      <c r="Z139" s="4">
        <f t="shared" si="29"/>
        <v>0.42775890501319264</v>
      </c>
      <c r="AA139">
        <f t="shared" si="30"/>
        <v>6826</v>
      </c>
      <c r="AB139">
        <f t="shared" si="31"/>
        <v>4080.375</v>
      </c>
      <c r="AC139">
        <f t="shared" si="32"/>
        <v>1044.3125</v>
      </c>
      <c r="AD139">
        <f t="shared" si="33"/>
        <v>156.625</v>
      </c>
      <c r="AE139">
        <f t="shared" si="34"/>
        <v>0.399317694591029</v>
      </c>
    </row>
    <row r="140" spans="1:31" x14ac:dyDescent="0.35">
      <c r="A140" t="s">
        <v>267</v>
      </c>
      <c r="B140" t="s">
        <v>268</v>
      </c>
      <c r="C140">
        <f>VLOOKUP(CONCATENATE("2011",'2011_60'!A140),aktivnepesseg!$C$2:$D$2226,2,FALSE)</f>
        <v>16116</v>
      </c>
      <c r="D140">
        <f t="shared" si="27"/>
        <v>12467</v>
      </c>
      <c r="E140">
        <f t="shared" si="28"/>
        <v>3649</v>
      </c>
      <c r="F140">
        <v>1666</v>
      </c>
      <c r="G140">
        <v>962</v>
      </c>
      <c r="H140">
        <v>586</v>
      </c>
      <c r="I140">
        <v>798</v>
      </c>
      <c r="J140">
        <v>1058</v>
      </c>
      <c r="K140">
        <v>1168</v>
      </c>
      <c r="L140">
        <v>1095</v>
      </c>
      <c r="M140">
        <v>654</v>
      </c>
      <c r="N140">
        <v>1398</v>
      </c>
      <c r="O140">
        <v>909</v>
      </c>
      <c r="P140">
        <v>1033</v>
      </c>
      <c r="Q140">
        <v>516</v>
      </c>
      <c r="R140">
        <v>550</v>
      </c>
      <c r="S140">
        <v>67</v>
      </c>
      <c r="T140">
        <v>7</v>
      </c>
      <c r="U140">
        <f t="shared" si="26"/>
        <v>3649</v>
      </c>
      <c r="V140">
        <f t="shared" si="26"/>
        <v>1416.1</v>
      </c>
      <c r="W140">
        <f t="shared" si="26"/>
        <v>529.1</v>
      </c>
      <c r="X140">
        <f t="shared" si="26"/>
        <v>175.79999999999998</v>
      </c>
      <c r="Y140">
        <f t="shared" si="26"/>
        <v>79.800000000000011</v>
      </c>
      <c r="Z140" s="4">
        <f t="shared" si="29"/>
        <v>0.36298088855795491</v>
      </c>
      <c r="AA140">
        <f t="shared" si="30"/>
        <v>3649</v>
      </c>
      <c r="AB140">
        <f t="shared" si="31"/>
        <v>1353.625</v>
      </c>
      <c r="AC140">
        <f t="shared" si="32"/>
        <v>420.875</v>
      </c>
      <c r="AD140">
        <f t="shared" si="33"/>
        <v>73.25</v>
      </c>
      <c r="AE140">
        <f t="shared" si="34"/>
        <v>0.34107408786299331</v>
      </c>
    </row>
    <row r="141" spans="1:31" x14ac:dyDescent="0.35">
      <c r="A141" t="s">
        <v>269</v>
      </c>
      <c r="B141" t="s">
        <v>270</v>
      </c>
      <c r="C141">
        <f>VLOOKUP(CONCATENATE("2011",'2011_60'!A141),aktivnepesseg!$C$2:$D$2226,2,FALSE)</f>
        <v>30825</v>
      </c>
      <c r="D141">
        <f t="shared" si="27"/>
        <v>20067</v>
      </c>
      <c r="E141">
        <f t="shared" si="28"/>
        <v>10758</v>
      </c>
      <c r="F141">
        <v>4120</v>
      </c>
      <c r="G141">
        <v>2394</v>
      </c>
      <c r="H141">
        <v>1418</v>
      </c>
      <c r="I141">
        <v>1556</v>
      </c>
      <c r="J141">
        <v>2335</v>
      </c>
      <c r="K141">
        <v>2464</v>
      </c>
      <c r="L141">
        <v>1481</v>
      </c>
      <c r="M141">
        <v>784</v>
      </c>
      <c r="N141">
        <v>1242</v>
      </c>
      <c r="O141">
        <v>740</v>
      </c>
      <c r="P141">
        <v>806</v>
      </c>
      <c r="Q141">
        <v>343</v>
      </c>
      <c r="R141">
        <v>346</v>
      </c>
      <c r="S141">
        <v>35</v>
      </c>
      <c r="T141">
        <v>3</v>
      </c>
      <c r="U141">
        <f t="shared" si="26"/>
        <v>10758</v>
      </c>
      <c r="V141">
        <f t="shared" si="26"/>
        <v>3502</v>
      </c>
      <c r="W141">
        <f t="shared" si="26"/>
        <v>1316.7</v>
      </c>
      <c r="X141">
        <f t="shared" si="26"/>
        <v>425.4</v>
      </c>
      <c r="Y141">
        <f t="shared" si="26"/>
        <v>155.60000000000002</v>
      </c>
      <c r="Z141" s="4">
        <f t="shared" si="29"/>
        <v>0.52417518248175188</v>
      </c>
      <c r="AA141">
        <f t="shared" si="30"/>
        <v>10758</v>
      </c>
      <c r="AB141">
        <f t="shared" si="31"/>
        <v>3347.5</v>
      </c>
      <c r="AC141">
        <f t="shared" si="32"/>
        <v>1047.375</v>
      </c>
      <c r="AD141">
        <f t="shared" si="33"/>
        <v>177.25</v>
      </c>
      <c r="AE141">
        <f t="shared" si="34"/>
        <v>0.49732765612327656</v>
      </c>
    </row>
    <row r="142" spans="1:31" x14ac:dyDescent="0.35">
      <c r="A142" t="s">
        <v>271</v>
      </c>
      <c r="B142" t="s">
        <v>272</v>
      </c>
      <c r="C142">
        <f>VLOOKUP(CONCATENATE("2011",'2011_60'!A142),aktivnepesseg!$C$2:$D$2226,2,FALSE)</f>
        <v>30682</v>
      </c>
      <c r="D142">
        <f t="shared" si="27"/>
        <v>23276</v>
      </c>
      <c r="E142">
        <f t="shared" si="28"/>
        <v>7406</v>
      </c>
      <c r="F142">
        <v>3844</v>
      </c>
      <c r="G142">
        <v>1787</v>
      </c>
      <c r="H142">
        <v>1238</v>
      </c>
      <c r="I142">
        <v>1719</v>
      </c>
      <c r="J142">
        <v>2473</v>
      </c>
      <c r="K142">
        <v>2175</v>
      </c>
      <c r="L142">
        <v>1658</v>
      </c>
      <c r="M142">
        <v>934</v>
      </c>
      <c r="N142">
        <v>1759</v>
      </c>
      <c r="O142">
        <v>1232</v>
      </c>
      <c r="P142">
        <v>1452</v>
      </c>
      <c r="Q142">
        <v>853</v>
      </c>
      <c r="R142">
        <v>1735</v>
      </c>
      <c r="S142">
        <v>372</v>
      </c>
      <c r="T142">
        <v>45</v>
      </c>
      <c r="U142">
        <f t="shared" si="26"/>
        <v>7406</v>
      </c>
      <c r="V142">
        <f t="shared" si="26"/>
        <v>3267.4</v>
      </c>
      <c r="W142">
        <f t="shared" si="26"/>
        <v>982.85</v>
      </c>
      <c r="X142">
        <f t="shared" si="26"/>
        <v>371.4</v>
      </c>
      <c r="Y142">
        <f t="shared" si="26"/>
        <v>171.9</v>
      </c>
      <c r="Z142" s="4">
        <f t="shared" si="29"/>
        <v>0.39761260674010818</v>
      </c>
      <c r="AA142">
        <f t="shared" si="30"/>
        <v>7406</v>
      </c>
      <c r="AB142">
        <f t="shared" si="31"/>
        <v>3123.25</v>
      </c>
      <c r="AC142">
        <f t="shared" si="32"/>
        <v>781.8125</v>
      </c>
      <c r="AD142">
        <f t="shared" si="33"/>
        <v>154.75</v>
      </c>
      <c r="AE142">
        <f t="shared" si="34"/>
        <v>0.37369834104686789</v>
      </c>
    </row>
    <row r="143" spans="1:31" x14ac:dyDescent="0.35">
      <c r="A143" t="s">
        <v>273</v>
      </c>
      <c r="B143" t="s">
        <v>274</v>
      </c>
      <c r="C143">
        <f>VLOOKUP(CONCATENATE("2011",'2011_60'!A143),aktivnepesseg!$C$2:$D$2226,2,FALSE)</f>
        <v>9173</v>
      </c>
      <c r="D143">
        <f t="shared" si="27"/>
        <v>7264</v>
      </c>
      <c r="E143">
        <f t="shared" si="28"/>
        <v>1909</v>
      </c>
      <c r="F143">
        <v>1027</v>
      </c>
      <c r="G143">
        <v>638</v>
      </c>
      <c r="H143">
        <v>374</v>
      </c>
      <c r="I143">
        <v>592</v>
      </c>
      <c r="J143">
        <v>788</v>
      </c>
      <c r="K143">
        <v>846</v>
      </c>
      <c r="L143">
        <v>679</v>
      </c>
      <c r="M143">
        <v>401</v>
      </c>
      <c r="N143">
        <v>609</v>
      </c>
      <c r="O143">
        <v>413</v>
      </c>
      <c r="P143">
        <v>392</v>
      </c>
      <c r="Q143">
        <v>234</v>
      </c>
      <c r="R143">
        <v>258</v>
      </c>
      <c r="S143">
        <v>13</v>
      </c>
      <c r="T143">
        <v>0</v>
      </c>
      <c r="U143">
        <f t="shared" si="26"/>
        <v>1909</v>
      </c>
      <c r="V143">
        <f t="shared" si="26"/>
        <v>872.94999999999993</v>
      </c>
      <c r="W143">
        <f t="shared" si="26"/>
        <v>350.90000000000003</v>
      </c>
      <c r="X143">
        <f t="shared" si="26"/>
        <v>112.2</v>
      </c>
      <c r="Y143">
        <f t="shared" si="26"/>
        <v>59.2</v>
      </c>
      <c r="Z143" s="4">
        <f t="shared" si="29"/>
        <v>0.36021476071078157</v>
      </c>
      <c r="AA143">
        <f t="shared" si="30"/>
        <v>1909</v>
      </c>
      <c r="AB143">
        <f t="shared" si="31"/>
        <v>834.4375</v>
      </c>
      <c r="AC143">
        <f t="shared" si="32"/>
        <v>279.125</v>
      </c>
      <c r="AD143">
        <f t="shared" si="33"/>
        <v>46.75</v>
      </c>
      <c r="AE143">
        <f t="shared" si="34"/>
        <v>0.33460291071623244</v>
      </c>
    </row>
    <row r="144" spans="1:31" x14ac:dyDescent="0.35">
      <c r="A144" t="s">
        <v>275</v>
      </c>
      <c r="B144" t="s">
        <v>276</v>
      </c>
      <c r="C144">
        <f>VLOOKUP(CONCATENATE("2011",'2011_60'!A144),aktivnepesseg!$C$2:$D$2226,2,FALSE)</f>
        <v>35767</v>
      </c>
      <c r="D144">
        <f t="shared" si="27"/>
        <v>27736</v>
      </c>
      <c r="E144">
        <f t="shared" si="28"/>
        <v>8031</v>
      </c>
      <c r="F144">
        <v>4312</v>
      </c>
      <c r="G144">
        <v>2376</v>
      </c>
      <c r="H144">
        <v>1474</v>
      </c>
      <c r="I144">
        <v>2087</v>
      </c>
      <c r="J144">
        <v>3178</v>
      </c>
      <c r="K144">
        <v>3969</v>
      </c>
      <c r="L144">
        <v>3091</v>
      </c>
      <c r="M144">
        <v>1416</v>
      </c>
      <c r="N144">
        <v>2136</v>
      </c>
      <c r="O144">
        <v>1146</v>
      </c>
      <c r="P144">
        <v>1216</v>
      </c>
      <c r="Q144">
        <v>661</v>
      </c>
      <c r="R144">
        <v>590</v>
      </c>
      <c r="S144">
        <v>71</v>
      </c>
      <c r="T144">
        <v>13</v>
      </c>
      <c r="U144">
        <f t="shared" si="26"/>
        <v>8031</v>
      </c>
      <c r="V144">
        <f t="shared" si="26"/>
        <v>3665.2</v>
      </c>
      <c r="W144">
        <f t="shared" si="26"/>
        <v>1306.8000000000002</v>
      </c>
      <c r="X144">
        <f t="shared" si="26"/>
        <v>442.2</v>
      </c>
      <c r="Y144">
        <f t="shared" si="26"/>
        <v>208.70000000000002</v>
      </c>
      <c r="Z144" s="4">
        <f t="shared" si="29"/>
        <v>0.38174574328291444</v>
      </c>
      <c r="AA144">
        <f t="shared" si="30"/>
        <v>8031</v>
      </c>
      <c r="AB144">
        <f t="shared" si="31"/>
        <v>3503.5</v>
      </c>
      <c r="AC144">
        <f t="shared" si="32"/>
        <v>1039.5</v>
      </c>
      <c r="AD144">
        <f t="shared" si="33"/>
        <v>184.25</v>
      </c>
      <c r="AE144">
        <f t="shared" si="34"/>
        <v>0.35670450415187183</v>
      </c>
    </row>
    <row r="145" spans="1:31" x14ac:dyDescent="0.35">
      <c r="A145" t="s">
        <v>277</v>
      </c>
      <c r="B145" t="s">
        <v>278</v>
      </c>
      <c r="C145">
        <f>VLOOKUP(CONCATENATE("2011",'2011_60'!A145),aktivnepesseg!$C$2:$D$2226,2,FALSE)</f>
        <v>18851</v>
      </c>
      <c r="D145">
        <f t="shared" si="27"/>
        <v>13459</v>
      </c>
      <c r="E145">
        <f t="shared" si="28"/>
        <v>5392</v>
      </c>
      <c r="F145">
        <v>2454</v>
      </c>
      <c r="G145">
        <v>1330</v>
      </c>
      <c r="H145">
        <v>841</v>
      </c>
      <c r="I145">
        <v>1130</v>
      </c>
      <c r="J145">
        <v>1592</v>
      </c>
      <c r="K145">
        <v>1463</v>
      </c>
      <c r="L145">
        <v>1127</v>
      </c>
      <c r="M145">
        <v>667</v>
      </c>
      <c r="N145">
        <v>1044</v>
      </c>
      <c r="O145">
        <v>620</v>
      </c>
      <c r="P145">
        <v>658</v>
      </c>
      <c r="Q145">
        <v>257</v>
      </c>
      <c r="R145">
        <v>249</v>
      </c>
      <c r="S145">
        <v>27</v>
      </c>
      <c r="T145">
        <v>0</v>
      </c>
      <c r="U145">
        <f t="shared" si="26"/>
        <v>5392</v>
      </c>
      <c r="V145">
        <f t="shared" si="26"/>
        <v>2085.9</v>
      </c>
      <c r="W145">
        <f t="shared" si="26"/>
        <v>731.50000000000011</v>
      </c>
      <c r="X145">
        <f t="shared" si="26"/>
        <v>252.29999999999998</v>
      </c>
      <c r="Y145">
        <f t="shared" si="26"/>
        <v>113</v>
      </c>
      <c r="Z145" s="4">
        <f t="shared" si="29"/>
        <v>0.45486711580287514</v>
      </c>
      <c r="AA145">
        <f t="shared" si="30"/>
        <v>5392</v>
      </c>
      <c r="AB145">
        <f t="shared" si="31"/>
        <v>1993.875</v>
      </c>
      <c r="AC145">
        <f t="shared" si="32"/>
        <v>581.875</v>
      </c>
      <c r="AD145">
        <f t="shared" si="33"/>
        <v>105.125</v>
      </c>
      <c r="AE145">
        <f t="shared" si="34"/>
        <v>0.42824651212137288</v>
      </c>
    </row>
    <row r="146" spans="1:31" x14ac:dyDescent="0.35">
      <c r="A146" t="s">
        <v>279</v>
      </c>
      <c r="B146" t="s">
        <v>280</v>
      </c>
      <c r="C146">
        <f>VLOOKUP(CONCATENATE("2011",'2011_60'!A146),aktivnepesseg!$C$2:$D$2226,2,FALSE)</f>
        <v>116451</v>
      </c>
      <c r="D146">
        <f t="shared" si="27"/>
        <v>80926</v>
      </c>
      <c r="E146">
        <f t="shared" si="28"/>
        <v>35525</v>
      </c>
      <c r="F146">
        <v>12854</v>
      </c>
      <c r="G146">
        <v>7157</v>
      </c>
      <c r="H146">
        <v>4121</v>
      </c>
      <c r="I146">
        <v>5963</v>
      </c>
      <c r="J146">
        <v>8414</v>
      </c>
      <c r="K146">
        <v>8282</v>
      </c>
      <c r="L146">
        <v>6320</v>
      </c>
      <c r="M146">
        <v>3594</v>
      </c>
      <c r="N146">
        <v>6863</v>
      </c>
      <c r="O146">
        <v>4553</v>
      </c>
      <c r="P146">
        <v>5536</v>
      </c>
      <c r="Q146">
        <v>2804</v>
      </c>
      <c r="R146">
        <v>3670</v>
      </c>
      <c r="S146">
        <v>687</v>
      </c>
      <c r="T146">
        <v>108</v>
      </c>
      <c r="U146">
        <f t="shared" si="26"/>
        <v>35525</v>
      </c>
      <c r="V146">
        <f t="shared" si="26"/>
        <v>10925.9</v>
      </c>
      <c r="W146">
        <f t="shared" si="26"/>
        <v>3936.3500000000004</v>
      </c>
      <c r="X146">
        <f t="shared" si="26"/>
        <v>1236.3</v>
      </c>
      <c r="Y146">
        <f t="shared" si="26"/>
        <v>596.30000000000007</v>
      </c>
      <c r="Z146" s="4">
        <f t="shared" si="29"/>
        <v>0.44842766485474583</v>
      </c>
      <c r="AA146">
        <f t="shared" si="30"/>
        <v>35525</v>
      </c>
      <c r="AB146">
        <f t="shared" si="31"/>
        <v>10443.875</v>
      </c>
      <c r="AC146">
        <f t="shared" si="32"/>
        <v>3131.1875</v>
      </c>
      <c r="AD146">
        <f t="shared" si="33"/>
        <v>515.125</v>
      </c>
      <c r="AE146">
        <f t="shared" si="34"/>
        <v>0.42606063923882148</v>
      </c>
    </row>
    <row r="147" spans="1:31" x14ac:dyDescent="0.35">
      <c r="A147" t="s">
        <v>281</v>
      </c>
      <c r="B147" t="s">
        <v>282</v>
      </c>
      <c r="C147">
        <f>VLOOKUP(CONCATENATE("2011",'2011_60'!A147),aktivnepesseg!$C$2:$D$2226,2,FALSE)</f>
        <v>7166</v>
      </c>
      <c r="D147">
        <f t="shared" si="27"/>
        <v>5054</v>
      </c>
      <c r="E147">
        <f t="shared" si="28"/>
        <v>2112</v>
      </c>
      <c r="F147">
        <v>962</v>
      </c>
      <c r="G147">
        <v>478</v>
      </c>
      <c r="H147">
        <v>329</v>
      </c>
      <c r="I147">
        <v>418</v>
      </c>
      <c r="J147">
        <v>631</v>
      </c>
      <c r="K147">
        <v>587</v>
      </c>
      <c r="L147">
        <v>446</v>
      </c>
      <c r="M147">
        <v>206</v>
      </c>
      <c r="N147">
        <v>397</v>
      </c>
      <c r="O147">
        <v>190</v>
      </c>
      <c r="P147">
        <v>216</v>
      </c>
      <c r="Q147">
        <v>71</v>
      </c>
      <c r="R147">
        <v>106</v>
      </c>
      <c r="S147">
        <v>14</v>
      </c>
      <c r="T147">
        <v>3</v>
      </c>
      <c r="U147">
        <f t="shared" si="26"/>
        <v>2112</v>
      </c>
      <c r="V147">
        <f t="shared" si="26"/>
        <v>817.69999999999993</v>
      </c>
      <c r="W147">
        <f t="shared" si="26"/>
        <v>262.90000000000003</v>
      </c>
      <c r="X147">
        <f t="shared" si="26"/>
        <v>98.7</v>
      </c>
      <c r="Y147">
        <f t="shared" si="26"/>
        <v>41.800000000000004</v>
      </c>
      <c r="Z147" s="4">
        <f t="shared" si="29"/>
        <v>0.46512698855707507</v>
      </c>
      <c r="AA147">
        <f t="shared" si="30"/>
        <v>2112</v>
      </c>
      <c r="AB147">
        <f t="shared" si="31"/>
        <v>781.625</v>
      </c>
      <c r="AC147">
        <f t="shared" si="32"/>
        <v>209.125</v>
      </c>
      <c r="AD147">
        <f t="shared" si="33"/>
        <v>41.125</v>
      </c>
      <c r="AE147">
        <f t="shared" si="34"/>
        <v>0.43872104381802957</v>
      </c>
    </row>
    <row r="148" spans="1:31" x14ac:dyDescent="0.35">
      <c r="A148" t="s">
        <v>283</v>
      </c>
      <c r="B148" t="s">
        <v>284</v>
      </c>
      <c r="C148">
        <f>VLOOKUP(CONCATENATE("2011",'2011_60'!A148),aktivnepesseg!$C$2:$D$2226,2,FALSE)</f>
        <v>11990</v>
      </c>
      <c r="D148">
        <f t="shared" si="27"/>
        <v>8191</v>
      </c>
      <c r="E148">
        <f t="shared" si="28"/>
        <v>3799</v>
      </c>
      <c r="F148">
        <v>1674</v>
      </c>
      <c r="G148">
        <v>947</v>
      </c>
      <c r="H148">
        <v>536</v>
      </c>
      <c r="I148">
        <v>780</v>
      </c>
      <c r="J148">
        <v>873</v>
      </c>
      <c r="K148">
        <v>833</v>
      </c>
      <c r="L148">
        <v>644</v>
      </c>
      <c r="M148">
        <v>346</v>
      </c>
      <c r="N148">
        <v>570</v>
      </c>
      <c r="O148">
        <v>329</v>
      </c>
      <c r="P148">
        <v>335</v>
      </c>
      <c r="Q148">
        <v>173</v>
      </c>
      <c r="R148">
        <v>141</v>
      </c>
      <c r="S148">
        <v>10</v>
      </c>
      <c r="T148">
        <v>0</v>
      </c>
      <c r="U148">
        <f t="shared" si="26"/>
        <v>3799</v>
      </c>
      <c r="V148">
        <f t="shared" si="26"/>
        <v>1422.8999999999999</v>
      </c>
      <c r="W148">
        <f t="shared" si="26"/>
        <v>520.85</v>
      </c>
      <c r="X148">
        <f t="shared" si="26"/>
        <v>160.79999999999998</v>
      </c>
      <c r="Y148">
        <f t="shared" si="26"/>
        <v>78</v>
      </c>
      <c r="Z148" s="4">
        <f t="shared" si="29"/>
        <v>0.49887823185988323</v>
      </c>
      <c r="AA148">
        <f t="shared" si="30"/>
        <v>3799</v>
      </c>
      <c r="AB148">
        <f t="shared" si="31"/>
        <v>1360.125</v>
      </c>
      <c r="AC148">
        <f t="shared" si="32"/>
        <v>414.3125</v>
      </c>
      <c r="AD148">
        <f t="shared" si="33"/>
        <v>67</v>
      </c>
      <c r="AE148">
        <f t="shared" si="34"/>
        <v>0.47042848206839033</v>
      </c>
    </row>
    <row r="149" spans="1:31" x14ac:dyDescent="0.35">
      <c r="A149" t="s">
        <v>285</v>
      </c>
      <c r="B149" t="s">
        <v>286</v>
      </c>
      <c r="C149">
        <f>VLOOKUP(CONCATENATE("2011",'2011_60'!A149),aktivnepesseg!$C$2:$D$2226,2,FALSE)</f>
        <v>31948</v>
      </c>
      <c r="D149">
        <f t="shared" si="27"/>
        <v>23062</v>
      </c>
      <c r="E149">
        <f t="shared" si="28"/>
        <v>8886</v>
      </c>
      <c r="F149">
        <v>3072</v>
      </c>
      <c r="G149">
        <v>2208</v>
      </c>
      <c r="H149">
        <v>1144</v>
      </c>
      <c r="I149">
        <v>1939</v>
      </c>
      <c r="J149">
        <v>2615</v>
      </c>
      <c r="K149">
        <v>2011</v>
      </c>
      <c r="L149">
        <v>1784</v>
      </c>
      <c r="M149">
        <v>902</v>
      </c>
      <c r="N149">
        <v>1638</v>
      </c>
      <c r="O149">
        <v>1176</v>
      </c>
      <c r="P149">
        <v>1521</v>
      </c>
      <c r="Q149">
        <v>832</v>
      </c>
      <c r="R149">
        <v>1467</v>
      </c>
      <c r="S149">
        <v>568</v>
      </c>
      <c r="T149">
        <v>185</v>
      </c>
      <c r="U149">
        <f t="shared" si="26"/>
        <v>8886</v>
      </c>
      <c r="V149">
        <f t="shared" si="26"/>
        <v>2611.1999999999998</v>
      </c>
      <c r="W149">
        <f t="shared" si="26"/>
        <v>1214.4000000000001</v>
      </c>
      <c r="X149">
        <f t="shared" si="26"/>
        <v>343.2</v>
      </c>
      <c r="Y149">
        <f t="shared" si="26"/>
        <v>193.9</v>
      </c>
      <c r="Z149" s="4">
        <f t="shared" si="29"/>
        <v>0.41469575560285465</v>
      </c>
      <c r="AA149">
        <f t="shared" si="30"/>
        <v>8886</v>
      </c>
      <c r="AB149">
        <f t="shared" si="31"/>
        <v>2496</v>
      </c>
      <c r="AC149">
        <f t="shared" si="32"/>
        <v>966</v>
      </c>
      <c r="AD149">
        <f t="shared" si="33"/>
        <v>143</v>
      </c>
      <c r="AE149">
        <f t="shared" si="34"/>
        <v>0.39097909102291223</v>
      </c>
    </row>
    <row r="150" spans="1:31" x14ac:dyDescent="0.35">
      <c r="A150" t="s">
        <v>287</v>
      </c>
      <c r="B150" t="s">
        <v>288</v>
      </c>
      <c r="C150">
        <f>VLOOKUP(CONCATENATE("2011",'2011_60'!A150),aktivnepesseg!$C$2:$D$2226,2,FALSE)</f>
        <v>11432</v>
      </c>
      <c r="D150">
        <f t="shared" si="27"/>
        <v>7594</v>
      </c>
      <c r="E150">
        <f t="shared" si="28"/>
        <v>3838</v>
      </c>
      <c r="F150">
        <v>1675</v>
      </c>
      <c r="G150">
        <v>981</v>
      </c>
      <c r="H150">
        <v>600</v>
      </c>
      <c r="I150">
        <v>609</v>
      </c>
      <c r="J150">
        <v>841</v>
      </c>
      <c r="K150">
        <v>695</v>
      </c>
      <c r="L150">
        <v>513</v>
      </c>
      <c r="M150">
        <v>314</v>
      </c>
      <c r="N150">
        <v>510</v>
      </c>
      <c r="O150">
        <v>303</v>
      </c>
      <c r="P150">
        <v>329</v>
      </c>
      <c r="Q150">
        <v>128</v>
      </c>
      <c r="R150">
        <v>92</v>
      </c>
      <c r="S150">
        <v>4</v>
      </c>
      <c r="T150">
        <v>0</v>
      </c>
      <c r="U150">
        <f t="shared" si="26"/>
        <v>3838</v>
      </c>
      <c r="V150">
        <f t="shared" si="26"/>
        <v>1423.75</v>
      </c>
      <c r="W150">
        <f t="shared" si="26"/>
        <v>539.55000000000007</v>
      </c>
      <c r="X150">
        <f t="shared" si="26"/>
        <v>180</v>
      </c>
      <c r="Y150">
        <f t="shared" si="26"/>
        <v>60.900000000000006</v>
      </c>
      <c r="Z150" s="4">
        <f t="shared" si="29"/>
        <v>0.52853393981805452</v>
      </c>
      <c r="AA150">
        <f t="shared" si="30"/>
        <v>3838</v>
      </c>
      <c r="AB150">
        <f t="shared" si="31"/>
        <v>1360.9375</v>
      </c>
      <c r="AC150">
        <f t="shared" si="32"/>
        <v>429.1875</v>
      </c>
      <c r="AD150">
        <f t="shared" si="33"/>
        <v>75</v>
      </c>
      <c r="AE150">
        <f t="shared" si="34"/>
        <v>0.4988737753673898</v>
      </c>
    </row>
    <row r="151" spans="1:31" x14ac:dyDescent="0.35">
      <c r="A151" t="s">
        <v>289</v>
      </c>
      <c r="B151" t="s">
        <v>290</v>
      </c>
      <c r="C151">
        <f>VLOOKUP(CONCATENATE("2011",'2011_60'!A151),aktivnepesseg!$C$2:$D$2226,2,FALSE)</f>
        <v>24363</v>
      </c>
      <c r="D151">
        <f t="shared" si="27"/>
        <v>17323</v>
      </c>
      <c r="E151">
        <f t="shared" si="28"/>
        <v>7040</v>
      </c>
      <c r="F151">
        <v>3779</v>
      </c>
      <c r="G151">
        <v>1929</v>
      </c>
      <c r="H151">
        <v>1071</v>
      </c>
      <c r="I151">
        <v>1334</v>
      </c>
      <c r="J151">
        <v>2078</v>
      </c>
      <c r="K151">
        <v>1750</v>
      </c>
      <c r="L151">
        <v>1326</v>
      </c>
      <c r="M151">
        <v>734</v>
      </c>
      <c r="N151">
        <v>1258</v>
      </c>
      <c r="O151">
        <v>726</v>
      </c>
      <c r="P151">
        <v>713</v>
      </c>
      <c r="Q151">
        <v>320</v>
      </c>
      <c r="R151">
        <v>268</v>
      </c>
      <c r="S151">
        <v>34</v>
      </c>
      <c r="T151">
        <v>3</v>
      </c>
      <c r="U151">
        <f t="shared" si="26"/>
        <v>7040</v>
      </c>
      <c r="V151">
        <f t="shared" si="26"/>
        <v>3212.15</v>
      </c>
      <c r="W151">
        <f t="shared" si="26"/>
        <v>1060.95</v>
      </c>
      <c r="X151">
        <f t="shared" si="26"/>
        <v>321.3</v>
      </c>
      <c r="Y151">
        <f t="shared" si="26"/>
        <v>133.4</v>
      </c>
      <c r="Z151" s="4">
        <f t="shared" si="29"/>
        <v>0.48301933259450802</v>
      </c>
      <c r="AA151">
        <f t="shared" si="30"/>
        <v>7040</v>
      </c>
      <c r="AB151">
        <f t="shared" si="31"/>
        <v>3070.4375</v>
      </c>
      <c r="AC151">
        <f t="shared" si="32"/>
        <v>843.9375</v>
      </c>
      <c r="AD151">
        <f t="shared" si="33"/>
        <v>133.875</v>
      </c>
      <c r="AE151">
        <f t="shared" si="34"/>
        <v>0.4551266264417354</v>
      </c>
    </row>
    <row r="152" spans="1:31" x14ac:dyDescent="0.35">
      <c r="A152" t="s">
        <v>291</v>
      </c>
      <c r="B152" t="s">
        <v>292</v>
      </c>
      <c r="C152">
        <f>VLOOKUP(CONCATENATE("2011",'2011_60'!A152),aktivnepesseg!$C$2:$D$2226,2,FALSE)</f>
        <v>21184</v>
      </c>
      <c r="D152">
        <f t="shared" si="27"/>
        <v>15195</v>
      </c>
      <c r="E152">
        <f t="shared" si="28"/>
        <v>5989</v>
      </c>
      <c r="F152">
        <v>2254</v>
      </c>
      <c r="G152">
        <v>1505</v>
      </c>
      <c r="H152">
        <v>879</v>
      </c>
      <c r="I152">
        <v>1453</v>
      </c>
      <c r="J152">
        <v>1808</v>
      </c>
      <c r="K152">
        <v>1431</v>
      </c>
      <c r="L152">
        <v>1344</v>
      </c>
      <c r="M152">
        <v>673</v>
      </c>
      <c r="N152">
        <v>1326</v>
      </c>
      <c r="O152">
        <v>794</v>
      </c>
      <c r="P152">
        <v>874</v>
      </c>
      <c r="Q152">
        <v>345</v>
      </c>
      <c r="R152">
        <v>443</v>
      </c>
      <c r="S152">
        <v>61</v>
      </c>
      <c r="T152">
        <v>5</v>
      </c>
      <c r="U152">
        <f t="shared" si="26"/>
        <v>5989</v>
      </c>
      <c r="V152">
        <f t="shared" si="26"/>
        <v>1915.8999999999999</v>
      </c>
      <c r="W152">
        <f t="shared" si="26"/>
        <v>827.75000000000011</v>
      </c>
      <c r="X152">
        <f t="shared" si="26"/>
        <v>263.7</v>
      </c>
      <c r="Y152">
        <f t="shared" si="26"/>
        <v>145.30000000000001</v>
      </c>
      <c r="Z152" s="4">
        <f t="shared" si="29"/>
        <v>0.43153559290030208</v>
      </c>
      <c r="AA152">
        <f t="shared" si="30"/>
        <v>5989</v>
      </c>
      <c r="AB152">
        <f t="shared" si="31"/>
        <v>1831.375</v>
      </c>
      <c r="AC152">
        <f t="shared" si="32"/>
        <v>658.4375</v>
      </c>
      <c r="AD152">
        <f t="shared" si="33"/>
        <v>109.875</v>
      </c>
      <c r="AE152">
        <f t="shared" si="34"/>
        <v>0.40543275585347432</v>
      </c>
    </row>
    <row r="153" spans="1:31" x14ac:dyDescent="0.35">
      <c r="A153" t="s">
        <v>293</v>
      </c>
      <c r="B153" t="s">
        <v>294</v>
      </c>
      <c r="C153">
        <f>VLOOKUP(CONCATENATE("2011",'2011_60'!A153),aktivnepesseg!$C$2:$D$2226,2,FALSE)</f>
        <v>14975</v>
      </c>
      <c r="D153">
        <f t="shared" si="27"/>
        <v>11021</v>
      </c>
      <c r="E153">
        <f t="shared" si="28"/>
        <v>3954</v>
      </c>
      <c r="F153">
        <v>1631</v>
      </c>
      <c r="G153">
        <v>1177</v>
      </c>
      <c r="H153">
        <v>571</v>
      </c>
      <c r="I153">
        <v>979</v>
      </c>
      <c r="J153">
        <v>1188</v>
      </c>
      <c r="K153">
        <v>1181</v>
      </c>
      <c r="L153">
        <v>910</v>
      </c>
      <c r="M153">
        <v>589</v>
      </c>
      <c r="N153">
        <v>978</v>
      </c>
      <c r="O153">
        <v>629</v>
      </c>
      <c r="P153">
        <v>602</v>
      </c>
      <c r="Q153">
        <v>262</v>
      </c>
      <c r="R153">
        <v>283</v>
      </c>
      <c r="S153">
        <v>38</v>
      </c>
      <c r="T153">
        <v>3</v>
      </c>
      <c r="U153">
        <f t="shared" si="26"/>
        <v>3954</v>
      </c>
      <c r="V153">
        <f t="shared" si="26"/>
        <v>1386.35</v>
      </c>
      <c r="W153">
        <f t="shared" si="26"/>
        <v>647.35</v>
      </c>
      <c r="X153">
        <f t="shared" si="26"/>
        <v>171.29999999999998</v>
      </c>
      <c r="Y153">
        <f t="shared" si="26"/>
        <v>97.9</v>
      </c>
      <c r="Z153" s="4">
        <f t="shared" si="29"/>
        <v>0.41782303839732893</v>
      </c>
      <c r="AA153">
        <f t="shared" si="30"/>
        <v>3954</v>
      </c>
      <c r="AB153">
        <f t="shared" si="31"/>
        <v>1325.1875</v>
      </c>
      <c r="AC153">
        <f t="shared" si="32"/>
        <v>514.9375</v>
      </c>
      <c r="AD153">
        <f t="shared" si="33"/>
        <v>71.375</v>
      </c>
      <c r="AE153">
        <f t="shared" si="34"/>
        <v>0.39168614357262105</v>
      </c>
    </row>
    <row r="154" spans="1:31" x14ac:dyDescent="0.35">
      <c r="A154" t="s">
        <v>295</v>
      </c>
      <c r="B154" t="s">
        <v>296</v>
      </c>
      <c r="C154">
        <f>VLOOKUP(CONCATENATE("2011",'2011_60'!A154),aktivnepesseg!$C$2:$D$2226,2,FALSE)</f>
        <v>37826</v>
      </c>
      <c r="D154">
        <f t="shared" si="27"/>
        <v>27050</v>
      </c>
      <c r="E154">
        <f t="shared" si="28"/>
        <v>10776</v>
      </c>
      <c r="F154">
        <v>5585</v>
      </c>
      <c r="G154">
        <v>2728</v>
      </c>
      <c r="H154">
        <v>1685</v>
      </c>
      <c r="I154">
        <v>2003</v>
      </c>
      <c r="J154">
        <v>2906</v>
      </c>
      <c r="K154">
        <v>2916</v>
      </c>
      <c r="L154">
        <v>1912</v>
      </c>
      <c r="M154">
        <v>1043</v>
      </c>
      <c r="N154">
        <v>1810</v>
      </c>
      <c r="O154">
        <v>1234</v>
      </c>
      <c r="P154">
        <v>1585</v>
      </c>
      <c r="Q154">
        <v>734</v>
      </c>
      <c r="R154">
        <v>810</v>
      </c>
      <c r="S154">
        <v>85</v>
      </c>
      <c r="T154">
        <v>14</v>
      </c>
      <c r="U154">
        <f t="shared" si="26"/>
        <v>10776</v>
      </c>
      <c r="V154">
        <f t="shared" si="26"/>
        <v>4747.25</v>
      </c>
      <c r="W154">
        <f t="shared" si="26"/>
        <v>1500.4</v>
      </c>
      <c r="X154">
        <f t="shared" si="26"/>
        <v>505.5</v>
      </c>
      <c r="Y154">
        <f t="shared" si="26"/>
        <v>200.3</v>
      </c>
      <c r="Z154" s="4">
        <f t="shared" si="29"/>
        <v>0.46871067519695447</v>
      </c>
      <c r="AA154">
        <f t="shared" si="30"/>
        <v>10776</v>
      </c>
      <c r="AB154">
        <f t="shared" si="31"/>
        <v>4537.8125</v>
      </c>
      <c r="AC154">
        <f t="shared" si="32"/>
        <v>1193.5</v>
      </c>
      <c r="AD154">
        <f t="shared" si="33"/>
        <v>210.625</v>
      </c>
      <c r="AE154">
        <f t="shared" si="34"/>
        <v>0.44196947866546821</v>
      </c>
    </row>
    <row r="155" spans="1:31" x14ac:dyDescent="0.35">
      <c r="A155" t="s">
        <v>297</v>
      </c>
      <c r="B155" t="s">
        <v>298</v>
      </c>
      <c r="C155">
        <f>VLOOKUP(CONCATENATE("2011",'2011_60'!A155),aktivnepesseg!$C$2:$D$2226,2,FALSE)</f>
        <v>17236</v>
      </c>
      <c r="D155">
        <f t="shared" si="27"/>
        <v>12512</v>
      </c>
      <c r="E155">
        <f t="shared" si="28"/>
        <v>4724</v>
      </c>
      <c r="F155">
        <v>2515</v>
      </c>
      <c r="G155">
        <v>1155</v>
      </c>
      <c r="H155">
        <v>650</v>
      </c>
      <c r="I155">
        <v>991</v>
      </c>
      <c r="J155">
        <v>1294</v>
      </c>
      <c r="K155">
        <v>1376</v>
      </c>
      <c r="L155">
        <v>1212</v>
      </c>
      <c r="M155">
        <v>566</v>
      </c>
      <c r="N155">
        <v>1090</v>
      </c>
      <c r="O155">
        <v>626</v>
      </c>
      <c r="P155">
        <v>588</v>
      </c>
      <c r="Q155">
        <v>227</v>
      </c>
      <c r="R155">
        <v>215</v>
      </c>
      <c r="S155">
        <v>7</v>
      </c>
      <c r="T155">
        <v>0</v>
      </c>
      <c r="U155">
        <f t="shared" si="26"/>
        <v>4724</v>
      </c>
      <c r="V155">
        <f t="shared" si="26"/>
        <v>2137.75</v>
      </c>
      <c r="W155">
        <f t="shared" si="26"/>
        <v>635.25</v>
      </c>
      <c r="X155">
        <f t="shared" si="26"/>
        <v>195</v>
      </c>
      <c r="Y155">
        <f t="shared" si="26"/>
        <v>99.100000000000009</v>
      </c>
      <c r="Z155" s="4">
        <f t="shared" si="29"/>
        <v>0.45202483174750524</v>
      </c>
      <c r="AA155">
        <f t="shared" si="30"/>
        <v>4724</v>
      </c>
      <c r="AB155">
        <f t="shared" si="31"/>
        <v>2043.4375</v>
      </c>
      <c r="AC155">
        <f t="shared" si="32"/>
        <v>505.3125</v>
      </c>
      <c r="AD155">
        <f t="shared" si="33"/>
        <v>81.25</v>
      </c>
      <c r="AE155">
        <f t="shared" si="34"/>
        <v>0.42666511951728942</v>
      </c>
    </row>
    <row r="156" spans="1:31" x14ac:dyDescent="0.35">
      <c r="A156" t="s">
        <v>299</v>
      </c>
      <c r="B156" t="s">
        <v>300</v>
      </c>
      <c r="C156">
        <f>VLOOKUP(CONCATENATE("2011",'2011_60'!A156),aktivnepesseg!$C$2:$D$2226,2,FALSE)</f>
        <v>13453</v>
      </c>
      <c r="D156">
        <f t="shared" si="27"/>
        <v>8775</v>
      </c>
      <c r="E156">
        <f t="shared" si="28"/>
        <v>4678</v>
      </c>
      <c r="F156">
        <v>2216</v>
      </c>
      <c r="G156">
        <v>1080</v>
      </c>
      <c r="H156">
        <v>617</v>
      </c>
      <c r="I156">
        <v>778</v>
      </c>
      <c r="J156">
        <v>1044</v>
      </c>
      <c r="K156">
        <v>835</v>
      </c>
      <c r="L156">
        <v>640</v>
      </c>
      <c r="M156">
        <v>321</v>
      </c>
      <c r="N156">
        <v>506</v>
      </c>
      <c r="O156">
        <v>271</v>
      </c>
      <c r="P156">
        <v>277</v>
      </c>
      <c r="Q156">
        <v>106</v>
      </c>
      <c r="R156">
        <v>81</v>
      </c>
      <c r="S156">
        <v>3</v>
      </c>
      <c r="T156">
        <v>0</v>
      </c>
      <c r="U156">
        <f t="shared" si="26"/>
        <v>4678</v>
      </c>
      <c r="V156">
        <f t="shared" si="26"/>
        <v>1883.6</v>
      </c>
      <c r="W156">
        <f t="shared" si="26"/>
        <v>594</v>
      </c>
      <c r="X156">
        <f t="shared" si="26"/>
        <v>185.1</v>
      </c>
      <c r="Y156">
        <f t="shared" si="26"/>
        <v>77.800000000000011</v>
      </c>
      <c r="Z156" s="4">
        <f t="shared" si="29"/>
        <v>0.55143834089050781</v>
      </c>
      <c r="AA156">
        <f t="shared" si="30"/>
        <v>4678</v>
      </c>
      <c r="AB156">
        <f t="shared" si="31"/>
        <v>1800.5</v>
      </c>
      <c r="AC156">
        <f t="shared" si="32"/>
        <v>472.5</v>
      </c>
      <c r="AD156">
        <f t="shared" si="33"/>
        <v>77.125</v>
      </c>
      <c r="AE156">
        <f t="shared" si="34"/>
        <v>0.52242064966921875</v>
      </c>
    </row>
    <row r="157" spans="1:31" x14ac:dyDescent="0.35">
      <c r="A157" t="s">
        <v>301</v>
      </c>
      <c r="B157" t="s">
        <v>302</v>
      </c>
      <c r="C157">
        <f>VLOOKUP(CONCATENATE("2011",'2011_60'!A157),aktivnepesseg!$C$2:$D$2226,2,FALSE)</f>
        <v>14791</v>
      </c>
      <c r="D157">
        <f t="shared" si="27"/>
        <v>10935</v>
      </c>
      <c r="E157">
        <f t="shared" si="28"/>
        <v>3856</v>
      </c>
      <c r="F157">
        <v>1952</v>
      </c>
      <c r="G157">
        <v>1196</v>
      </c>
      <c r="H157">
        <v>700</v>
      </c>
      <c r="I157">
        <v>973</v>
      </c>
      <c r="J157">
        <v>1314</v>
      </c>
      <c r="K157">
        <v>1191</v>
      </c>
      <c r="L157">
        <v>856</v>
      </c>
      <c r="M157">
        <v>475</v>
      </c>
      <c r="N157">
        <v>803</v>
      </c>
      <c r="O157">
        <v>447</v>
      </c>
      <c r="P157">
        <v>491</v>
      </c>
      <c r="Q157">
        <v>248</v>
      </c>
      <c r="R157">
        <v>262</v>
      </c>
      <c r="S157">
        <v>22</v>
      </c>
      <c r="T157">
        <v>5</v>
      </c>
      <c r="U157">
        <f t="shared" si="26"/>
        <v>3856</v>
      </c>
      <c r="V157">
        <f t="shared" si="26"/>
        <v>1659.2</v>
      </c>
      <c r="W157">
        <f t="shared" si="26"/>
        <v>657.80000000000007</v>
      </c>
      <c r="X157">
        <f t="shared" si="26"/>
        <v>210</v>
      </c>
      <c r="Y157">
        <f t="shared" si="26"/>
        <v>97.300000000000011</v>
      </c>
      <c r="Z157" s="4">
        <f t="shared" si="29"/>
        <v>0.43812453519031846</v>
      </c>
      <c r="AA157">
        <f t="shared" si="30"/>
        <v>3856</v>
      </c>
      <c r="AB157">
        <f t="shared" si="31"/>
        <v>1586</v>
      </c>
      <c r="AC157">
        <f t="shared" si="32"/>
        <v>523.25</v>
      </c>
      <c r="AD157">
        <f t="shared" si="33"/>
        <v>87.5</v>
      </c>
      <c r="AE157">
        <f t="shared" si="34"/>
        <v>0.4092184436481644</v>
      </c>
    </row>
    <row r="158" spans="1:31" x14ac:dyDescent="0.35">
      <c r="A158" t="s">
        <v>303</v>
      </c>
      <c r="B158" t="s">
        <v>304</v>
      </c>
      <c r="C158">
        <f>VLOOKUP(CONCATENATE("2011",'2011_60'!A158),aktivnepesseg!$C$2:$D$2226,2,FALSE)</f>
        <v>24025</v>
      </c>
      <c r="D158">
        <f t="shared" si="27"/>
        <v>20217</v>
      </c>
      <c r="E158">
        <f t="shared" si="28"/>
        <v>3808</v>
      </c>
      <c r="F158">
        <v>3118</v>
      </c>
      <c r="G158">
        <v>1440</v>
      </c>
      <c r="H158">
        <v>967</v>
      </c>
      <c r="I158">
        <v>1351</v>
      </c>
      <c r="J158">
        <v>2441</v>
      </c>
      <c r="K158">
        <v>2935</v>
      </c>
      <c r="L158">
        <v>2095</v>
      </c>
      <c r="M158">
        <v>1034</v>
      </c>
      <c r="N158">
        <v>1815</v>
      </c>
      <c r="O158">
        <v>1050</v>
      </c>
      <c r="P158">
        <v>1071</v>
      </c>
      <c r="Q158">
        <v>390</v>
      </c>
      <c r="R158">
        <v>442</v>
      </c>
      <c r="S158">
        <v>62</v>
      </c>
      <c r="T158">
        <v>6</v>
      </c>
      <c r="U158">
        <f t="shared" si="26"/>
        <v>3808</v>
      </c>
      <c r="V158">
        <f t="shared" si="26"/>
        <v>2650.2999999999997</v>
      </c>
      <c r="W158">
        <f t="shared" si="26"/>
        <v>792.00000000000011</v>
      </c>
      <c r="X158">
        <f t="shared" si="26"/>
        <v>290.09999999999997</v>
      </c>
      <c r="Y158">
        <f t="shared" si="26"/>
        <v>135.1</v>
      </c>
      <c r="Z158" s="4">
        <f t="shared" si="29"/>
        <v>0.31947970863683661</v>
      </c>
      <c r="AA158">
        <f t="shared" si="30"/>
        <v>3808</v>
      </c>
      <c r="AB158">
        <f t="shared" si="31"/>
        <v>2533.375</v>
      </c>
      <c r="AC158">
        <f t="shared" si="32"/>
        <v>630</v>
      </c>
      <c r="AD158">
        <f t="shared" si="33"/>
        <v>120.875</v>
      </c>
      <c r="AE158">
        <f t="shared" si="34"/>
        <v>0.2952029136316337</v>
      </c>
    </row>
    <row r="159" spans="1:31" x14ac:dyDescent="0.35">
      <c r="A159" t="s">
        <v>305</v>
      </c>
      <c r="B159" t="s">
        <v>306</v>
      </c>
      <c r="C159">
        <f>VLOOKUP(CONCATENATE("2011",'2011_60'!A159),aktivnepesseg!$C$2:$D$2226,2,FALSE)</f>
        <v>13925</v>
      </c>
      <c r="D159">
        <f t="shared" si="27"/>
        <v>10058</v>
      </c>
      <c r="E159">
        <f t="shared" si="28"/>
        <v>3867</v>
      </c>
      <c r="F159">
        <v>1892</v>
      </c>
      <c r="G159">
        <v>981</v>
      </c>
      <c r="H159">
        <v>587</v>
      </c>
      <c r="I159">
        <v>784</v>
      </c>
      <c r="J159">
        <v>1063</v>
      </c>
      <c r="K159">
        <v>1110</v>
      </c>
      <c r="L159">
        <v>848</v>
      </c>
      <c r="M159">
        <v>485</v>
      </c>
      <c r="N159">
        <v>820</v>
      </c>
      <c r="O159">
        <v>487</v>
      </c>
      <c r="P159">
        <v>527</v>
      </c>
      <c r="Q159">
        <v>215</v>
      </c>
      <c r="R159">
        <v>228</v>
      </c>
      <c r="S159">
        <v>31</v>
      </c>
      <c r="T159">
        <v>0</v>
      </c>
      <c r="U159">
        <f t="shared" si="26"/>
        <v>3867</v>
      </c>
      <c r="V159">
        <f t="shared" si="26"/>
        <v>1608.2</v>
      </c>
      <c r="W159">
        <f t="shared" si="26"/>
        <v>539.55000000000007</v>
      </c>
      <c r="X159">
        <f t="shared" si="26"/>
        <v>176.1</v>
      </c>
      <c r="Y159">
        <f t="shared" si="26"/>
        <v>78.400000000000006</v>
      </c>
      <c r="Z159" s="4">
        <f t="shared" si="29"/>
        <v>0.45021543985637341</v>
      </c>
      <c r="AA159">
        <f t="shared" si="30"/>
        <v>3867</v>
      </c>
      <c r="AB159">
        <f t="shared" si="31"/>
        <v>1537.25</v>
      </c>
      <c r="AC159">
        <f t="shared" si="32"/>
        <v>429.1875</v>
      </c>
      <c r="AD159">
        <f t="shared" si="33"/>
        <v>73.375</v>
      </c>
      <c r="AE159">
        <f t="shared" si="34"/>
        <v>0.42418761220825851</v>
      </c>
    </row>
    <row r="160" spans="1:31" x14ac:dyDescent="0.35">
      <c r="A160" t="s">
        <v>307</v>
      </c>
      <c r="B160" t="s">
        <v>308</v>
      </c>
      <c r="C160">
        <f>VLOOKUP(CONCATENATE("2011",'2011_60'!A160),aktivnepesseg!$C$2:$D$2226,2,FALSE)</f>
        <v>8592</v>
      </c>
      <c r="D160">
        <f t="shared" si="27"/>
        <v>6280</v>
      </c>
      <c r="E160">
        <f t="shared" si="28"/>
        <v>2312</v>
      </c>
      <c r="F160">
        <v>1846</v>
      </c>
      <c r="G160">
        <v>735</v>
      </c>
      <c r="H160">
        <v>482</v>
      </c>
      <c r="I160">
        <v>610</v>
      </c>
      <c r="J160">
        <v>623</v>
      </c>
      <c r="K160">
        <v>558</v>
      </c>
      <c r="L160">
        <v>373</v>
      </c>
      <c r="M160">
        <v>230</v>
      </c>
      <c r="N160">
        <v>395</v>
      </c>
      <c r="O160">
        <v>160</v>
      </c>
      <c r="P160">
        <v>161</v>
      </c>
      <c r="Q160">
        <v>61</v>
      </c>
      <c r="R160">
        <v>46</v>
      </c>
      <c r="S160">
        <v>0</v>
      </c>
      <c r="T160">
        <v>0</v>
      </c>
      <c r="U160">
        <f t="shared" si="26"/>
        <v>2312</v>
      </c>
      <c r="V160">
        <f t="shared" si="26"/>
        <v>1569.1</v>
      </c>
      <c r="W160">
        <f t="shared" si="26"/>
        <v>404.25000000000006</v>
      </c>
      <c r="X160">
        <f t="shared" si="26"/>
        <v>144.6</v>
      </c>
      <c r="Y160">
        <f t="shared" si="26"/>
        <v>61</v>
      </c>
      <c r="Z160" s="4">
        <f t="shared" si="29"/>
        <v>0.52268971135940423</v>
      </c>
      <c r="AA160">
        <f t="shared" si="30"/>
        <v>2312</v>
      </c>
      <c r="AB160">
        <f t="shared" si="31"/>
        <v>1499.875</v>
      </c>
      <c r="AC160">
        <f t="shared" si="32"/>
        <v>321.5625</v>
      </c>
      <c r="AD160">
        <f t="shared" si="33"/>
        <v>60.25</v>
      </c>
      <c r="AE160">
        <f t="shared" si="34"/>
        <v>0.48809212057728119</v>
      </c>
    </row>
    <row r="161" spans="1:31" x14ac:dyDescent="0.35">
      <c r="A161" t="s">
        <v>309</v>
      </c>
      <c r="B161" t="s">
        <v>310</v>
      </c>
      <c r="C161">
        <f>VLOOKUP(CONCATENATE("2011",'2011_60'!A161),aktivnepesseg!$C$2:$D$2226,2,FALSE)</f>
        <v>21831</v>
      </c>
      <c r="D161">
        <f t="shared" si="27"/>
        <v>14962</v>
      </c>
      <c r="E161">
        <f t="shared" si="28"/>
        <v>6869</v>
      </c>
      <c r="F161">
        <v>3391</v>
      </c>
      <c r="G161">
        <v>1602</v>
      </c>
      <c r="H161">
        <v>938</v>
      </c>
      <c r="I161">
        <v>1239</v>
      </c>
      <c r="J161">
        <v>1683</v>
      </c>
      <c r="K161">
        <v>1639</v>
      </c>
      <c r="L161">
        <v>1169</v>
      </c>
      <c r="M161">
        <v>663</v>
      </c>
      <c r="N161">
        <v>1098</v>
      </c>
      <c r="O161">
        <v>530</v>
      </c>
      <c r="P161">
        <v>546</v>
      </c>
      <c r="Q161">
        <v>231</v>
      </c>
      <c r="R161">
        <v>207</v>
      </c>
      <c r="S161">
        <v>26</v>
      </c>
      <c r="T161">
        <v>0</v>
      </c>
      <c r="U161">
        <f t="shared" si="26"/>
        <v>6869</v>
      </c>
      <c r="V161">
        <f t="shared" si="26"/>
        <v>2882.35</v>
      </c>
      <c r="W161">
        <f t="shared" si="26"/>
        <v>881.1</v>
      </c>
      <c r="X161">
        <f t="shared" si="26"/>
        <v>281.39999999999998</v>
      </c>
      <c r="Y161">
        <f t="shared" si="26"/>
        <v>123.9</v>
      </c>
      <c r="Z161" s="4">
        <f t="shared" si="29"/>
        <v>0.50559983509688056</v>
      </c>
      <c r="AA161">
        <f t="shared" si="30"/>
        <v>6869</v>
      </c>
      <c r="AB161">
        <f t="shared" si="31"/>
        <v>2755.1875</v>
      </c>
      <c r="AC161">
        <f t="shared" si="32"/>
        <v>700.875</v>
      </c>
      <c r="AD161">
        <f t="shared" si="33"/>
        <v>117.25</v>
      </c>
      <c r="AE161">
        <f t="shared" si="34"/>
        <v>0.47832497366130733</v>
      </c>
    </row>
    <row r="162" spans="1:31" x14ac:dyDescent="0.35">
      <c r="A162" t="s">
        <v>311</v>
      </c>
      <c r="B162" t="s">
        <v>312</v>
      </c>
      <c r="C162">
        <f>VLOOKUP(CONCATENATE("2011",'2011_60'!A162),aktivnepesseg!$C$2:$D$2226,2,FALSE)</f>
        <v>30798</v>
      </c>
      <c r="D162">
        <f t="shared" si="27"/>
        <v>24121</v>
      </c>
      <c r="E162">
        <f t="shared" si="28"/>
        <v>6677</v>
      </c>
      <c r="F162">
        <v>5105</v>
      </c>
      <c r="G162">
        <v>2557</v>
      </c>
      <c r="H162">
        <v>1462</v>
      </c>
      <c r="I162">
        <v>2029</v>
      </c>
      <c r="J162">
        <v>2724</v>
      </c>
      <c r="K162">
        <v>2381</v>
      </c>
      <c r="L162">
        <v>1738</v>
      </c>
      <c r="M162">
        <v>924</v>
      </c>
      <c r="N162">
        <v>1639</v>
      </c>
      <c r="O162">
        <v>937</v>
      </c>
      <c r="P162">
        <v>1103</v>
      </c>
      <c r="Q162">
        <v>537</v>
      </c>
      <c r="R162">
        <v>755</v>
      </c>
      <c r="S162">
        <v>188</v>
      </c>
      <c r="T162">
        <v>42</v>
      </c>
      <c r="U162">
        <f t="shared" si="26"/>
        <v>6677</v>
      </c>
      <c r="V162">
        <f t="shared" si="26"/>
        <v>4339.25</v>
      </c>
      <c r="W162">
        <f t="shared" si="26"/>
        <v>1406.3500000000001</v>
      </c>
      <c r="X162">
        <f t="shared" si="26"/>
        <v>438.59999999999997</v>
      </c>
      <c r="Y162">
        <f t="shared" si="26"/>
        <v>202.9</v>
      </c>
      <c r="Z162" s="4">
        <f t="shared" si="29"/>
        <v>0.42418663549581143</v>
      </c>
      <c r="AA162">
        <f t="shared" si="30"/>
        <v>6677</v>
      </c>
      <c r="AB162">
        <f t="shared" si="31"/>
        <v>4147.8125</v>
      </c>
      <c r="AC162">
        <f t="shared" si="32"/>
        <v>1118.6875</v>
      </c>
      <c r="AD162">
        <f t="shared" si="33"/>
        <v>182.75</v>
      </c>
      <c r="AE162">
        <f t="shared" si="34"/>
        <v>0.39373498279109032</v>
      </c>
    </row>
    <row r="163" spans="1:31" x14ac:dyDescent="0.35">
      <c r="A163" t="s">
        <v>313</v>
      </c>
      <c r="B163" t="s">
        <v>314</v>
      </c>
      <c r="C163">
        <f>VLOOKUP(CONCATENATE("2011",'2011_60'!A163),aktivnepesseg!$C$2:$D$2226,2,FALSE)</f>
        <v>60755</v>
      </c>
      <c r="D163">
        <f t="shared" si="27"/>
        <v>43388</v>
      </c>
      <c r="E163">
        <f t="shared" si="28"/>
        <v>17367</v>
      </c>
      <c r="F163">
        <v>8808</v>
      </c>
      <c r="G163">
        <v>3635</v>
      </c>
      <c r="H163">
        <v>2117</v>
      </c>
      <c r="I163">
        <v>2930</v>
      </c>
      <c r="J163">
        <v>4580</v>
      </c>
      <c r="K163">
        <v>4342</v>
      </c>
      <c r="L163">
        <v>3417</v>
      </c>
      <c r="M163">
        <v>1977</v>
      </c>
      <c r="N163">
        <v>3934</v>
      </c>
      <c r="O163">
        <v>2520</v>
      </c>
      <c r="P163">
        <v>2494</v>
      </c>
      <c r="Q163">
        <v>1098</v>
      </c>
      <c r="R163">
        <v>1279</v>
      </c>
      <c r="S163">
        <v>215</v>
      </c>
      <c r="T163">
        <v>42</v>
      </c>
      <c r="U163">
        <f t="shared" si="26"/>
        <v>17367</v>
      </c>
      <c r="V163">
        <f t="shared" si="26"/>
        <v>7486.8</v>
      </c>
      <c r="W163">
        <f t="shared" si="26"/>
        <v>1999.2500000000002</v>
      </c>
      <c r="X163">
        <f t="shared" si="26"/>
        <v>635.1</v>
      </c>
      <c r="Y163">
        <f t="shared" si="26"/>
        <v>293</v>
      </c>
      <c r="Z163" s="4">
        <f t="shared" si="29"/>
        <v>0.45726524565879351</v>
      </c>
      <c r="AA163">
        <f t="shared" si="30"/>
        <v>17367</v>
      </c>
      <c r="AB163">
        <f t="shared" si="31"/>
        <v>7156.5</v>
      </c>
      <c r="AC163">
        <f t="shared" si="32"/>
        <v>1590.3125</v>
      </c>
      <c r="AD163">
        <f t="shared" si="33"/>
        <v>264.625</v>
      </c>
      <c r="AE163">
        <f t="shared" si="34"/>
        <v>0.43417722821166982</v>
      </c>
    </row>
    <row r="164" spans="1:31" x14ac:dyDescent="0.35">
      <c r="A164" t="s">
        <v>315</v>
      </c>
      <c r="B164" t="s">
        <v>316</v>
      </c>
      <c r="C164">
        <f>VLOOKUP(CONCATENATE("2011",'2011_60'!A164),aktivnepesseg!$C$2:$D$2226,2,FALSE)</f>
        <v>9414</v>
      </c>
      <c r="D164">
        <f t="shared" si="27"/>
        <v>7236</v>
      </c>
      <c r="E164">
        <f t="shared" si="28"/>
        <v>2178</v>
      </c>
      <c r="F164">
        <v>1253</v>
      </c>
      <c r="G164">
        <v>791</v>
      </c>
      <c r="H164">
        <v>514</v>
      </c>
      <c r="I164">
        <v>661</v>
      </c>
      <c r="J164">
        <v>1024</v>
      </c>
      <c r="K164">
        <v>911</v>
      </c>
      <c r="L164">
        <v>689</v>
      </c>
      <c r="M164">
        <v>292</v>
      </c>
      <c r="N164">
        <v>471</v>
      </c>
      <c r="O164">
        <v>248</v>
      </c>
      <c r="P164">
        <v>211</v>
      </c>
      <c r="Q164">
        <v>90</v>
      </c>
      <c r="R164">
        <v>74</v>
      </c>
      <c r="S164">
        <v>7</v>
      </c>
      <c r="T164">
        <v>0</v>
      </c>
      <c r="U164">
        <f t="shared" si="26"/>
        <v>2178</v>
      </c>
      <c r="V164">
        <f t="shared" si="26"/>
        <v>1065.05</v>
      </c>
      <c r="W164">
        <f t="shared" si="26"/>
        <v>435.05</v>
      </c>
      <c r="X164">
        <f t="shared" si="26"/>
        <v>154.19999999999999</v>
      </c>
      <c r="Y164">
        <f t="shared" si="26"/>
        <v>66.100000000000009</v>
      </c>
      <c r="Z164" s="4">
        <f t="shared" si="29"/>
        <v>0.41410664967070321</v>
      </c>
      <c r="AA164">
        <f t="shared" si="30"/>
        <v>2178</v>
      </c>
      <c r="AB164">
        <f t="shared" si="31"/>
        <v>1018.0625</v>
      </c>
      <c r="AC164">
        <f t="shared" si="32"/>
        <v>346.0625</v>
      </c>
      <c r="AD164">
        <f t="shared" si="33"/>
        <v>64.25</v>
      </c>
      <c r="AE164">
        <f t="shared" si="34"/>
        <v>0.38308636073932439</v>
      </c>
    </row>
    <row r="165" spans="1:31" x14ac:dyDescent="0.35">
      <c r="A165" t="s">
        <v>317</v>
      </c>
      <c r="B165" t="s">
        <v>318</v>
      </c>
      <c r="C165">
        <f>VLOOKUP(CONCATENATE("2011",'2011_60'!A165),aktivnepesseg!$C$2:$D$2226,2,FALSE)</f>
        <v>16962</v>
      </c>
      <c r="D165">
        <f t="shared" si="27"/>
        <v>13757</v>
      </c>
      <c r="E165">
        <f t="shared" si="28"/>
        <v>3205</v>
      </c>
      <c r="F165">
        <v>2789</v>
      </c>
      <c r="G165">
        <v>1387</v>
      </c>
      <c r="H165">
        <v>766</v>
      </c>
      <c r="I165">
        <v>1009</v>
      </c>
      <c r="J165">
        <v>1726</v>
      </c>
      <c r="K165">
        <v>1650</v>
      </c>
      <c r="L165">
        <v>1167</v>
      </c>
      <c r="M165">
        <v>551</v>
      </c>
      <c r="N165">
        <v>989</v>
      </c>
      <c r="O165">
        <v>570</v>
      </c>
      <c r="P165">
        <v>570</v>
      </c>
      <c r="Q165">
        <v>243</v>
      </c>
      <c r="R165">
        <v>284</v>
      </c>
      <c r="S165">
        <v>50</v>
      </c>
      <c r="T165">
        <v>6</v>
      </c>
      <c r="U165">
        <f t="shared" si="26"/>
        <v>3205</v>
      </c>
      <c r="V165">
        <f t="shared" si="26"/>
        <v>2370.65</v>
      </c>
      <c r="W165">
        <f t="shared" si="26"/>
        <v>762.85</v>
      </c>
      <c r="X165">
        <f t="shared" si="26"/>
        <v>229.79999999999998</v>
      </c>
      <c r="Y165">
        <f t="shared" si="26"/>
        <v>100.9</v>
      </c>
      <c r="Z165" s="4">
        <f t="shared" si="29"/>
        <v>0.39318476594741186</v>
      </c>
      <c r="AA165">
        <f t="shared" si="30"/>
        <v>3205</v>
      </c>
      <c r="AB165">
        <f t="shared" si="31"/>
        <v>2266.0625</v>
      </c>
      <c r="AC165">
        <f t="shared" si="32"/>
        <v>606.8125</v>
      </c>
      <c r="AD165">
        <f t="shared" si="33"/>
        <v>95.75</v>
      </c>
      <c r="AE165">
        <f t="shared" si="34"/>
        <v>0.36396798726565266</v>
      </c>
    </row>
    <row r="166" spans="1:31" x14ac:dyDescent="0.35">
      <c r="A166" t="s">
        <v>319</v>
      </c>
      <c r="B166" t="s">
        <v>320</v>
      </c>
      <c r="C166">
        <f>VLOOKUP(CONCATENATE("2011",'2011_60'!A166),aktivnepesseg!$C$2:$D$2226,2,FALSE)</f>
        <v>11538</v>
      </c>
      <c r="D166">
        <f t="shared" si="27"/>
        <v>7782</v>
      </c>
      <c r="E166">
        <f t="shared" si="28"/>
        <v>3756</v>
      </c>
      <c r="F166">
        <v>1855</v>
      </c>
      <c r="G166">
        <v>915</v>
      </c>
      <c r="H166">
        <v>539</v>
      </c>
      <c r="I166">
        <v>734</v>
      </c>
      <c r="J166">
        <v>857</v>
      </c>
      <c r="K166">
        <v>726</v>
      </c>
      <c r="L166">
        <v>561</v>
      </c>
      <c r="M166">
        <v>286</v>
      </c>
      <c r="N166">
        <v>505</v>
      </c>
      <c r="O166">
        <v>303</v>
      </c>
      <c r="P166">
        <v>295</v>
      </c>
      <c r="Q166">
        <v>93</v>
      </c>
      <c r="R166">
        <v>106</v>
      </c>
      <c r="S166">
        <v>7</v>
      </c>
      <c r="T166">
        <v>0</v>
      </c>
      <c r="U166">
        <f t="shared" si="26"/>
        <v>3756</v>
      </c>
      <c r="V166">
        <f t="shared" si="26"/>
        <v>1576.75</v>
      </c>
      <c r="W166">
        <f t="shared" si="26"/>
        <v>503.25000000000006</v>
      </c>
      <c r="X166">
        <f t="shared" si="26"/>
        <v>161.69999999999999</v>
      </c>
      <c r="Y166">
        <f t="shared" si="26"/>
        <v>73.400000000000006</v>
      </c>
      <c r="Z166" s="4">
        <f t="shared" si="29"/>
        <v>0.52618304732189281</v>
      </c>
      <c r="AA166">
        <f t="shared" si="30"/>
        <v>3756</v>
      </c>
      <c r="AB166">
        <f t="shared" si="31"/>
        <v>1507.1875</v>
      </c>
      <c r="AC166">
        <f t="shared" si="32"/>
        <v>400.3125</v>
      </c>
      <c r="AD166">
        <f t="shared" si="33"/>
        <v>67.375</v>
      </c>
      <c r="AE166">
        <f t="shared" si="34"/>
        <v>0.49669570116137979</v>
      </c>
    </row>
    <row r="167" spans="1:31" x14ac:dyDescent="0.35">
      <c r="A167" t="s">
        <v>321</v>
      </c>
      <c r="B167" t="s">
        <v>322</v>
      </c>
      <c r="C167">
        <f>VLOOKUP(CONCATENATE("2011",'2011_60'!A167),aktivnepesseg!$C$2:$D$2226,2,FALSE)</f>
        <v>128064</v>
      </c>
      <c r="D167">
        <f t="shared" si="27"/>
        <v>89847</v>
      </c>
      <c r="E167">
        <f t="shared" si="28"/>
        <v>38217</v>
      </c>
      <c r="F167">
        <v>14697</v>
      </c>
      <c r="G167">
        <v>8120</v>
      </c>
      <c r="H167">
        <v>4364</v>
      </c>
      <c r="I167">
        <v>6424</v>
      </c>
      <c r="J167">
        <v>9591</v>
      </c>
      <c r="K167">
        <v>9263</v>
      </c>
      <c r="L167">
        <v>7252</v>
      </c>
      <c r="M167">
        <v>3972</v>
      </c>
      <c r="N167">
        <v>7609</v>
      </c>
      <c r="O167">
        <v>4826</v>
      </c>
      <c r="P167">
        <v>6011</v>
      </c>
      <c r="Q167">
        <v>2951</v>
      </c>
      <c r="R167">
        <v>3950</v>
      </c>
      <c r="S167">
        <v>726</v>
      </c>
      <c r="T167">
        <v>91</v>
      </c>
      <c r="U167">
        <f t="shared" si="26"/>
        <v>38217</v>
      </c>
      <c r="V167">
        <f t="shared" si="26"/>
        <v>12492.449999999999</v>
      </c>
      <c r="W167">
        <f t="shared" si="26"/>
        <v>4466</v>
      </c>
      <c r="X167">
        <f t="shared" si="26"/>
        <v>1309.2</v>
      </c>
      <c r="Y167">
        <f t="shared" si="26"/>
        <v>642.40000000000009</v>
      </c>
      <c r="Z167" s="4">
        <f t="shared" si="29"/>
        <v>0.44608203710644673</v>
      </c>
      <c r="AA167">
        <f t="shared" si="30"/>
        <v>38217</v>
      </c>
      <c r="AB167">
        <f t="shared" si="31"/>
        <v>11941.3125</v>
      </c>
      <c r="AC167">
        <f t="shared" si="32"/>
        <v>3552.5</v>
      </c>
      <c r="AD167">
        <f t="shared" si="33"/>
        <v>545.5</v>
      </c>
      <c r="AE167">
        <f t="shared" si="34"/>
        <v>0.42366560860194902</v>
      </c>
    </row>
    <row r="168" spans="1:31" x14ac:dyDescent="0.35">
      <c r="A168" t="s">
        <v>323</v>
      </c>
      <c r="B168" t="s">
        <v>324</v>
      </c>
      <c r="C168">
        <f>VLOOKUP(CONCATENATE("2011",'2011_60'!A168),aktivnepesseg!$C$2:$D$2226,2,FALSE)</f>
        <v>17928</v>
      </c>
      <c r="D168">
        <f t="shared" si="27"/>
        <v>14036</v>
      </c>
      <c r="E168">
        <f t="shared" si="28"/>
        <v>3892</v>
      </c>
      <c r="F168">
        <v>2654</v>
      </c>
      <c r="G168">
        <v>1539</v>
      </c>
      <c r="H168">
        <v>1056</v>
      </c>
      <c r="I168">
        <v>1312</v>
      </c>
      <c r="J168">
        <v>1760</v>
      </c>
      <c r="K168">
        <v>1575</v>
      </c>
      <c r="L168">
        <v>1174</v>
      </c>
      <c r="M168">
        <v>607</v>
      </c>
      <c r="N168">
        <v>901</v>
      </c>
      <c r="O168">
        <v>502</v>
      </c>
      <c r="P168">
        <v>521</v>
      </c>
      <c r="Q168">
        <v>218</v>
      </c>
      <c r="R168">
        <v>192</v>
      </c>
      <c r="S168">
        <v>21</v>
      </c>
      <c r="T168">
        <v>4</v>
      </c>
      <c r="U168">
        <f t="shared" ref="U168:Y199" si="35">E168*E$5</f>
        <v>3892</v>
      </c>
      <c r="V168">
        <f t="shared" si="35"/>
        <v>2255.9</v>
      </c>
      <c r="W168">
        <f t="shared" si="35"/>
        <v>846.45</v>
      </c>
      <c r="X168">
        <f t="shared" si="35"/>
        <v>316.8</v>
      </c>
      <c r="Y168">
        <f t="shared" si="35"/>
        <v>131.20000000000002</v>
      </c>
      <c r="Z168" s="4">
        <f t="shared" si="29"/>
        <v>0.41512438643462735</v>
      </c>
      <c r="AA168">
        <f t="shared" si="30"/>
        <v>3892</v>
      </c>
      <c r="AB168">
        <f t="shared" si="31"/>
        <v>2156.375</v>
      </c>
      <c r="AC168">
        <f t="shared" si="32"/>
        <v>673.3125</v>
      </c>
      <c r="AD168">
        <f t="shared" si="33"/>
        <v>132</v>
      </c>
      <c r="AE168">
        <f t="shared" si="34"/>
        <v>0.38228957496653282</v>
      </c>
    </row>
    <row r="169" spans="1:31" x14ac:dyDescent="0.35">
      <c r="A169" t="s">
        <v>325</v>
      </c>
      <c r="B169" t="s">
        <v>326</v>
      </c>
      <c r="C169">
        <f>VLOOKUP(CONCATENATE("2011",'2011_60'!A169),aktivnepesseg!$C$2:$D$2226,2,FALSE)</f>
        <v>97314</v>
      </c>
      <c r="D169">
        <f t="shared" si="27"/>
        <v>76173</v>
      </c>
      <c r="E169">
        <f t="shared" si="28"/>
        <v>21141</v>
      </c>
      <c r="F169">
        <v>11030</v>
      </c>
      <c r="G169">
        <v>5962</v>
      </c>
      <c r="H169">
        <v>3500</v>
      </c>
      <c r="I169">
        <v>5462</v>
      </c>
      <c r="J169">
        <v>7777</v>
      </c>
      <c r="K169">
        <v>8052</v>
      </c>
      <c r="L169">
        <v>6789</v>
      </c>
      <c r="M169">
        <v>3431</v>
      </c>
      <c r="N169">
        <v>6514</v>
      </c>
      <c r="O169">
        <v>4218</v>
      </c>
      <c r="P169">
        <v>5577</v>
      </c>
      <c r="Q169">
        <v>2820</v>
      </c>
      <c r="R169">
        <v>4040</v>
      </c>
      <c r="S169">
        <v>846</v>
      </c>
      <c r="T169">
        <v>155</v>
      </c>
      <c r="U169">
        <f t="shared" si="35"/>
        <v>21141</v>
      </c>
      <c r="V169">
        <f t="shared" si="35"/>
        <v>9375.5</v>
      </c>
      <c r="W169">
        <f t="shared" si="35"/>
        <v>3279.1000000000004</v>
      </c>
      <c r="X169">
        <f t="shared" si="35"/>
        <v>1050</v>
      </c>
      <c r="Y169">
        <f t="shared" si="35"/>
        <v>546.20000000000005</v>
      </c>
      <c r="Z169" s="4">
        <f t="shared" si="29"/>
        <v>0.36368662268532786</v>
      </c>
      <c r="AA169">
        <f t="shared" si="30"/>
        <v>21141</v>
      </c>
      <c r="AB169">
        <f t="shared" si="31"/>
        <v>8961.875</v>
      </c>
      <c r="AC169">
        <f t="shared" si="32"/>
        <v>2608.375</v>
      </c>
      <c r="AD169">
        <f t="shared" si="33"/>
        <v>437.5</v>
      </c>
      <c r="AE169">
        <f t="shared" si="34"/>
        <v>0.34063701009104547</v>
      </c>
    </row>
    <row r="170" spans="1:31" x14ac:dyDescent="0.35">
      <c r="A170" t="s">
        <v>327</v>
      </c>
      <c r="B170" t="s">
        <v>328</v>
      </c>
      <c r="C170">
        <f>VLOOKUP(CONCATENATE("2011",'2011_60'!A170),aktivnepesseg!$C$2:$D$2226,2,FALSE)</f>
        <v>36646</v>
      </c>
      <c r="D170">
        <f t="shared" si="27"/>
        <v>27603</v>
      </c>
      <c r="E170">
        <f t="shared" si="28"/>
        <v>9043</v>
      </c>
      <c r="F170">
        <v>4811</v>
      </c>
      <c r="G170">
        <v>2274</v>
      </c>
      <c r="H170">
        <v>1543</v>
      </c>
      <c r="I170">
        <v>2122</v>
      </c>
      <c r="J170">
        <v>3198</v>
      </c>
      <c r="K170">
        <v>3019</v>
      </c>
      <c r="L170">
        <v>2297</v>
      </c>
      <c r="M170">
        <v>1311</v>
      </c>
      <c r="N170">
        <v>2145</v>
      </c>
      <c r="O170">
        <v>1306</v>
      </c>
      <c r="P170">
        <v>1544</v>
      </c>
      <c r="Q170">
        <v>781</v>
      </c>
      <c r="R170">
        <v>1044</v>
      </c>
      <c r="S170">
        <v>176</v>
      </c>
      <c r="T170">
        <v>32</v>
      </c>
      <c r="U170">
        <f t="shared" si="35"/>
        <v>9043</v>
      </c>
      <c r="V170">
        <f t="shared" si="35"/>
        <v>4089.35</v>
      </c>
      <c r="W170">
        <f t="shared" si="35"/>
        <v>1250.7</v>
      </c>
      <c r="X170">
        <f t="shared" si="35"/>
        <v>462.9</v>
      </c>
      <c r="Y170">
        <f t="shared" si="35"/>
        <v>212.20000000000002</v>
      </c>
      <c r="Z170" s="4">
        <f t="shared" si="29"/>
        <v>0.41090842111008025</v>
      </c>
      <c r="AA170">
        <f t="shared" si="30"/>
        <v>9043</v>
      </c>
      <c r="AB170">
        <f t="shared" si="31"/>
        <v>3908.9375</v>
      </c>
      <c r="AC170">
        <f t="shared" si="32"/>
        <v>994.875</v>
      </c>
      <c r="AD170">
        <f t="shared" si="33"/>
        <v>192.875</v>
      </c>
      <c r="AE170">
        <f t="shared" si="34"/>
        <v>0.38584531736069422</v>
      </c>
    </row>
    <row r="171" spans="1:31" x14ac:dyDescent="0.35">
      <c r="A171" t="s">
        <v>329</v>
      </c>
      <c r="B171" t="s">
        <v>330</v>
      </c>
      <c r="C171">
        <f>VLOOKUP(CONCATENATE("2011",'2011_60'!A171),aktivnepesseg!$C$2:$D$2226,2,FALSE)</f>
        <v>46896</v>
      </c>
      <c r="D171">
        <f t="shared" si="27"/>
        <v>35028</v>
      </c>
      <c r="E171">
        <f t="shared" si="28"/>
        <v>11868</v>
      </c>
      <c r="F171">
        <v>4833</v>
      </c>
      <c r="G171">
        <v>3353</v>
      </c>
      <c r="H171">
        <v>1734</v>
      </c>
      <c r="I171">
        <v>2940</v>
      </c>
      <c r="J171">
        <v>3699</v>
      </c>
      <c r="K171">
        <v>3212</v>
      </c>
      <c r="L171">
        <v>2852</v>
      </c>
      <c r="M171">
        <v>1422</v>
      </c>
      <c r="N171">
        <v>2585</v>
      </c>
      <c r="O171">
        <v>1733</v>
      </c>
      <c r="P171">
        <v>2280</v>
      </c>
      <c r="Q171">
        <v>1253</v>
      </c>
      <c r="R171">
        <v>2136</v>
      </c>
      <c r="S171">
        <v>780</v>
      </c>
      <c r="T171">
        <v>216</v>
      </c>
      <c r="U171">
        <f t="shared" si="35"/>
        <v>11868</v>
      </c>
      <c r="V171">
        <f t="shared" si="35"/>
        <v>4108.05</v>
      </c>
      <c r="W171">
        <f t="shared" si="35"/>
        <v>1844.15</v>
      </c>
      <c r="X171">
        <f t="shared" si="35"/>
        <v>520.19999999999993</v>
      </c>
      <c r="Y171">
        <f t="shared" si="35"/>
        <v>294</v>
      </c>
      <c r="Z171" s="4">
        <f t="shared" si="29"/>
        <v>0.39735585124530881</v>
      </c>
      <c r="AA171">
        <f t="shared" si="30"/>
        <v>11868</v>
      </c>
      <c r="AB171">
        <f t="shared" si="31"/>
        <v>3926.8125</v>
      </c>
      <c r="AC171">
        <f t="shared" si="32"/>
        <v>1466.9375</v>
      </c>
      <c r="AD171">
        <f t="shared" si="33"/>
        <v>216.75</v>
      </c>
      <c r="AE171">
        <f t="shared" si="34"/>
        <v>0.37270769361992495</v>
      </c>
    </row>
    <row r="172" spans="1:31" x14ac:dyDescent="0.35">
      <c r="A172" t="s">
        <v>331</v>
      </c>
      <c r="B172" t="s">
        <v>332</v>
      </c>
      <c r="C172">
        <f>VLOOKUP(CONCATENATE("2011",'2011_60'!A172),aktivnepesseg!$C$2:$D$2226,2,FALSE)</f>
        <v>24438</v>
      </c>
      <c r="D172">
        <f t="shared" si="27"/>
        <v>19210</v>
      </c>
      <c r="E172">
        <f t="shared" si="28"/>
        <v>5228</v>
      </c>
      <c r="F172">
        <v>3700</v>
      </c>
      <c r="G172">
        <v>1689</v>
      </c>
      <c r="H172">
        <v>1042</v>
      </c>
      <c r="I172">
        <v>1435</v>
      </c>
      <c r="J172">
        <v>2156</v>
      </c>
      <c r="K172">
        <v>2323</v>
      </c>
      <c r="L172">
        <v>1845</v>
      </c>
      <c r="M172">
        <v>931</v>
      </c>
      <c r="N172">
        <v>1596</v>
      </c>
      <c r="O172">
        <v>867</v>
      </c>
      <c r="P172">
        <v>810</v>
      </c>
      <c r="Q172">
        <v>369</v>
      </c>
      <c r="R172">
        <v>381</v>
      </c>
      <c r="S172">
        <v>50</v>
      </c>
      <c r="T172">
        <v>16</v>
      </c>
      <c r="U172">
        <f t="shared" si="35"/>
        <v>5228</v>
      </c>
      <c r="V172">
        <f t="shared" si="35"/>
        <v>3145</v>
      </c>
      <c r="W172">
        <f t="shared" si="35"/>
        <v>928.95</v>
      </c>
      <c r="X172">
        <f t="shared" si="35"/>
        <v>312.59999999999997</v>
      </c>
      <c r="Y172">
        <f t="shared" si="35"/>
        <v>143.5</v>
      </c>
      <c r="Z172" s="4">
        <f t="shared" si="29"/>
        <v>0.39929822407725679</v>
      </c>
      <c r="AA172">
        <f t="shared" si="30"/>
        <v>5228</v>
      </c>
      <c r="AB172">
        <f t="shared" si="31"/>
        <v>3006.25</v>
      </c>
      <c r="AC172">
        <f t="shared" si="32"/>
        <v>738.9375</v>
      </c>
      <c r="AD172">
        <f t="shared" si="33"/>
        <v>130.25</v>
      </c>
      <c r="AE172">
        <f t="shared" si="34"/>
        <v>0.37251155986578277</v>
      </c>
    </row>
    <row r="173" spans="1:31" x14ac:dyDescent="0.35">
      <c r="A173" t="s">
        <v>333</v>
      </c>
      <c r="B173" t="s">
        <v>334</v>
      </c>
      <c r="C173">
        <f>VLOOKUP(CONCATENATE("2011",'2011_60'!A173),aktivnepesseg!$C$2:$D$2226,2,FALSE)</f>
        <v>9265</v>
      </c>
      <c r="D173">
        <f t="shared" si="27"/>
        <v>6582</v>
      </c>
      <c r="E173">
        <f t="shared" si="28"/>
        <v>2683</v>
      </c>
      <c r="F173">
        <v>1147</v>
      </c>
      <c r="G173">
        <v>589</v>
      </c>
      <c r="H173">
        <v>339</v>
      </c>
      <c r="I173">
        <v>443</v>
      </c>
      <c r="J173">
        <v>751</v>
      </c>
      <c r="K173">
        <v>694</v>
      </c>
      <c r="L173">
        <v>618</v>
      </c>
      <c r="M173">
        <v>288</v>
      </c>
      <c r="N173">
        <v>472</v>
      </c>
      <c r="O173">
        <v>305</v>
      </c>
      <c r="P173">
        <v>443</v>
      </c>
      <c r="Q173">
        <v>215</v>
      </c>
      <c r="R173">
        <v>243</v>
      </c>
      <c r="S173">
        <v>29</v>
      </c>
      <c r="T173">
        <v>6</v>
      </c>
      <c r="U173">
        <f t="shared" si="35"/>
        <v>2683</v>
      </c>
      <c r="V173">
        <f t="shared" si="35"/>
        <v>974.94999999999993</v>
      </c>
      <c r="W173">
        <f t="shared" si="35"/>
        <v>323.95000000000005</v>
      </c>
      <c r="X173">
        <f t="shared" si="35"/>
        <v>101.7</v>
      </c>
      <c r="Y173">
        <f t="shared" si="35"/>
        <v>44.300000000000004</v>
      </c>
      <c r="Z173" s="4">
        <f t="shared" si="29"/>
        <v>0.44553696708041013</v>
      </c>
      <c r="AA173">
        <f t="shared" si="30"/>
        <v>2683</v>
      </c>
      <c r="AB173">
        <f t="shared" si="31"/>
        <v>931.9375</v>
      </c>
      <c r="AC173">
        <f t="shared" si="32"/>
        <v>257.6875</v>
      </c>
      <c r="AD173">
        <f t="shared" si="33"/>
        <v>42.375</v>
      </c>
      <c r="AE173">
        <f t="shared" si="34"/>
        <v>0.42255801403130061</v>
      </c>
    </row>
    <row r="174" spans="1:31" x14ac:dyDescent="0.35">
      <c r="A174" t="s">
        <v>335</v>
      </c>
      <c r="B174" t="s">
        <v>336</v>
      </c>
      <c r="C174">
        <f>VLOOKUP(CONCATENATE("2011",'2011_60'!A174),aktivnepesseg!$C$2:$D$2226,2,FALSE)</f>
        <v>9437</v>
      </c>
      <c r="D174">
        <f t="shared" si="27"/>
        <v>6600</v>
      </c>
      <c r="E174">
        <f t="shared" si="28"/>
        <v>2837</v>
      </c>
      <c r="F174">
        <v>1279</v>
      </c>
      <c r="G174">
        <v>699</v>
      </c>
      <c r="H174">
        <v>432</v>
      </c>
      <c r="I174">
        <v>566</v>
      </c>
      <c r="J174">
        <v>763</v>
      </c>
      <c r="K174">
        <v>744</v>
      </c>
      <c r="L174">
        <v>544</v>
      </c>
      <c r="M174">
        <v>310</v>
      </c>
      <c r="N174">
        <v>523</v>
      </c>
      <c r="O174">
        <v>260</v>
      </c>
      <c r="P174">
        <v>269</v>
      </c>
      <c r="Q174">
        <v>104</v>
      </c>
      <c r="R174">
        <v>94</v>
      </c>
      <c r="S174">
        <v>13</v>
      </c>
      <c r="T174">
        <v>0</v>
      </c>
      <c r="U174">
        <f t="shared" si="35"/>
        <v>2837</v>
      </c>
      <c r="V174">
        <f t="shared" si="35"/>
        <v>1087.1499999999999</v>
      </c>
      <c r="W174">
        <f t="shared" si="35"/>
        <v>384.45000000000005</v>
      </c>
      <c r="X174">
        <f t="shared" si="35"/>
        <v>129.6</v>
      </c>
      <c r="Y174">
        <f t="shared" si="35"/>
        <v>56.6</v>
      </c>
      <c r="Z174" s="4">
        <f t="shared" si="29"/>
        <v>0.47629543287061565</v>
      </c>
      <c r="AA174">
        <f t="shared" si="30"/>
        <v>2837</v>
      </c>
      <c r="AB174">
        <f t="shared" si="31"/>
        <v>1039.1875</v>
      </c>
      <c r="AC174">
        <f t="shared" si="32"/>
        <v>305.8125</v>
      </c>
      <c r="AD174">
        <f t="shared" si="33"/>
        <v>54</v>
      </c>
      <c r="AE174">
        <f t="shared" si="34"/>
        <v>0.44887146338878881</v>
      </c>
    </row>
    <row r="175" spans="1:31" x14ac:dyDescent="0.35">
      <c r="A175" t="s">
        <v>337</v>
      </c>
      <c r="B175" t="s">
        <v>338</v>
      </c>
      <c r="C175">
        <f>VLOOKUP(CONCATENATE("2011",'2011_60'!A175),aktivnepesseg!$C$2:$D$2226,2,FALSE)</f>
        <v>23790</v>
      </c>
      <c r="D175">
        <f t="shared" si="27"/>
        <v>16535</v>
      </c>
      <c r="E175">
        <f t="shared" si="28"/>
        <v>7255</v>
      </c>
      <c r="F175">
        <v>3261</v>
      </c>
      <c r="G175">
        <v>1837</v>
      </c>
      <c r="H175">
        <v>1167</v>
      </c>
      <c r="I175">
        <v>1406</v>
      </c>
      <c r="J175">
        <v>1873</v>
      </c>
      <c r="K175">
        <v>1780</v>
      </c>
      <c r="L175">
        <v>1267</v>
      </c>
      <c r="M175">
        <v>699</v>
      </c>
      <c r="N175">
        <v>1177</v>
      </c>
      <c r="O175">
        <v>712</v>
      </c>
      <c r="P175">
        <v>747</v>
      </c>
      <c r="Q175">
        <v>289</v>
      </c>
      <c r="R175">
        <v>279</v>
      </c>
      <c r="S175">
        <v>41</v>
      </c>
      <c r="T175">
        <v>0</v>
      </c>
      <c r="U175">
        <f t="shared" si="35"/>
        <v>7255</v>
      </c>
      <c r="V175">
        <f t="shared" si="35"/>
        <v>2771.85</v>
      </c>
      <c r="W175">
        <f t="shared" si="35"/>
        <v>1010.3500000000001</v>
      </c>
      <c r="X175">
        <f t="shared" si="35"/>
        <v>350.09999999999997</v>
      </c>
      <c r="Y175">
        <f t="shared" si="35"/>
        <v>140.6</v>
      </c>
      <c r="Z175" s="4">
        <f t="shared" si="29"/>
        <v>0.48456914670029433</v>
      </c>
      <c r="AA175">
        <f t="shared" si="30"/>
        <v>7255</v>
      </c>
      <c r="AB175">
        <f t="shared" si="31"/>
        <v>2649.5625</v>
      </c>
      <c r="AC175">
        <f t="shared" si="32"/>
        <v>803.6875</v>
      </c>
      <c r="AD175">
        <f t="shared" si="33"/>
        <v>145.875</v>
      </c>
      <c r="AE175">
        <f t="shared" si="34"/>
        <v>0.45624737284573352</v>
      </c>
    </row>
    <row r="176" spans="1:31" x14ac:dyDescent="0.35">
      <c r="A176" t="s">
        <v>339</v>
      </c>
      <c r="B176" t="s">
        <v>340</v>
      </c>
      <c r="C176">
        <f>VLOOKUP(CONCATENATE("2011",'2011_60'!A176),aktivnepesseg!$C$2:$D$2226,2,FALSE)</f>
        <v>68542</v>
      </c>
      <c r="D176">
        <f t="shared" si="27"/>
        <v>49190</v>
      </c>
      <c r="E176">
        <f t="shared" si="28"/>
        <v>19352</v>
      </c>
      <c r="F176">
        <v>5960</v>
      </c>
      <c r="G176">
        <v>4363</v>
      </c>
      <c r="H176">
        <v>2569</v>
      </c>
      <c r="I176">
        <v>4249</v>
      </c>
      <c r="J176">
        <v>5224</v>
      </c>
      <c r="K176">
        <v>4796</v>
      </c>
      <c r="L176">
        <v>4331</v>
      </c>
      <c r="M176">
        <v>2171</v>
      </c>
      <c r="N176">
        <v>3938</v>
      </c>
      <c r="O176">
        <v>2668</v>
      </c>
      <c r="P176">
        <v>3717</v>
      </c>
      <c r="Q176">
        <v>1907</v>
      </c>
      <c r="R176">
        <v>2581</v>
      </c>
      <c r="S176">
        <v>595</v>
      </c>
      <c r="T176">
        <v>121</v>
      </c>
      <c r="U176">
        <f t="shared" si="35"/>
        <v>19352</v>
      </c>
      <c r="V176">
        <f t="shared" si="35"/>
        <v>5066</v>
      </c>
      <c r="W176">
        <f t="shared" si="35"/>
        <v>2399.65</v>
      </c>
      <c r="X176">
        <f t="shared" si="35"/>
        <v>770.69999999999993</v>
      </c>
      <c r="Y176">
        <f t="shared" si="35"/>
        <v>424.90000000000003</v>
      </c>
      <c r="Z176" s="4">
        <f t="shared" si="29"/>
        <v>0.40870196375944684</v>
      </c>
      <c r="AA176">
        <f t="shared" si="30"/>
        <v>19352</v>
      </c>
      <c r="AB176">
        <f t="shared" si="31"/>
        <v>4842.5</v>
      </c>
      <c r="AC176">
        <f t="shared" si="32"/>
        <v>1908.8125</v>
      </c>
      <c r="AD176">
        <f t="shared" si="33"/>
        <v>321.125</v>
      </c>
      <c r="AE176">
        <f t="shared" si="34"/>
        <v>0.38552183332847012</v>
      </c>
    </row>
    <row r="177" spans="1:31" x14ac:dyDescent="0.35">
      <c r="A177" t="s">
        <v>341</v>
      </c>
      <c r="B177" t="s">
        <v>342</v>
      </c>
      <c r="C177">
        <f>VLOOKUP(CONCATENATE("2011",'2011_60'!A177),aktivnepesseg!$C$2:$D$2226,2,FALSE)</f>
        <v>15654</v>
      </c>
      <c r="D177">
        <f t="shared" si="27"/>
        <v>11099</v>
      </c>
      <c r="E177">
        <f t="shared" si="28"/>
        <v>4555</v>
      </c>
      <c r="F177">
        <v>2500</v>
      </c>
      <c r="G177">
        <v>1362</v>
      </c>
      <c r="H177">
        <v>791</v>
      </c>
      <c r="I177">
        <v>1021</v>
      </c>
      <c r="J177">
        <v>1317</v>
      </c>
      <c r="K177">
        <v>1151</v>
      </c>
      <c r="L177">
        <v>889</v>
      </c>
      <c r="M177">
        <v>434</v>
      </c>
      <c r="N177">
        <v>682</v>
      </c>
      <c r="O177">
        <v>374</v>
      </c>
      <c r="P177">
        <v>364</v>
      </c>
      <c r="Q177">
        <v>109</v>
      </c>
      <c r="R177">
        <v>95</v>
      </c>
      <c r="S177">
        <v>7</v>
      </c>
      <c r="T177">
        <v>3</v>
      </c>
      <c r="U177">
        <f t="shared" si="35"/>
        <v>4555</v>
      </c>
      <c r="V177">
        <f t="shared" si="35"/>
        <v>2125</v>
      </c>
      <c r="W177">
        <f t="shared" si="35"/>
        <v>749.1</v>
      </c>
      <c r="X177">
        <f t="shared" si="35"/>
        <v>237.29999999999998</v>
      </c>
      <c r="Y177">
        <f t="shared" si="35"/>
        <v>102.10000000000001</v>
      </c>
      <c r="Z177" s="4">
        <f t="shared" si="29"/>
        <v>0.49626293599080112</v>
      </c>
      <c r="AA177">
        <f t="shared" si="30"/>
        <v>4555</v>
      </c>
      <c r="AB177">
        <f t="shared" si="31"/>
        <v>2031.25</v>
      </c>
      <c r="AC177">
        <f t="shared" si="32"/>
        <v>595.875</v>
      </c>
      <c r="AD177">
        <f t="shared" si="33"/>
        <v>98.875</v>
      </c>
      <c r="AE177">
        <f t="shared" si="34"/>
        <v>0.46512073591414332</v>
      </c>
    </row>
    <row r="178" spans="1:31" x14ac:dyDescent="0.35">
      <c r="A178" t="s">
        <v>343</v>
      </c>
      <c r="B178" t="s">
        <v>344</v>
      </c>
      <c r="C178">
        <f>VLOOKUP(CONCATENATE("2011",'2011_60'!A178),aktivnepesseg!$C$2:$D$2226,2,FALSE)</f>
        <v>10121</v>
      </c>
      <c r="D178">
        <f t="shared" si="27"/>
        <v>6536</v>
      </c>
      <c r="E178">
        <f t="shared" si="28"/>
        <v>3585</v>
      </c>
      <c r="F178">
        <v>1538</v>
      </c>
      <c r="G178">
        <v>606</v>
      </c>
      <c r="H178">
        <v>442</v>
      </c>
      <c r="I178">
        <v>461</v>
      </c>
      <c r="J178">
        <v>683</v>
      </c>
      <c r="K178">
        <v>742</v>
      </c>
      <c r="L178">
        <v>587</v>
      </c>
      <c r="M178">
        <v>300</v>
      </c>
      <c r="N178">
        <v>478</v>
      </c>
      <c r="O178">
        <v>237</v>
      </c>
      <c r="P178">
        <v>254</v>
      </c>
      <c r="Q178">
        <v>110</v>
      </c>
      <c r="R178">
        <v>93</v>
      </c>
      <c r="S178">
        <v>5</v>
      </c>
      <c r="T178">
        <v>0</v>
      </c>
      <c r="U178">
        <f t="shared" si="35"/>
        <v>3585</v>
      </c>
      <c r="V178">
        <f t="shared" si="35"/>
        <v>1307.3</v>
      </c>
      <c r="W178">
        <f t="shared" si="35"/>
        <v>333.3</v>
      </c>
      <c r="X178">
        <f t="shared" si="35"/>
        <v>132.6</v>
      </c>
      <c r="Y178">
        <f t="shared" si="35"/>
        <v>46.1</v>
      </c>
      <c r="Z178" s="4">
        <f t="shared" si="29"/>
        <v>0.53396897539768806</v>
      </c>
      <c r="AA178">
        <f t="shared" si="30"/>
        <v>3585</v>
      </c>
      <c r="AB178">
        <f t="shared" si="31"/>
        <v>1249.625</v>
      </c>
      <c r="AC178">
        <f t="shared" si="32"/>
        <v>265.125</v>
      </c>
      <c r="AD178">
        <f t="shared" si="33"/>
        <v>55.25</v>
      </c>
      <c r="AE178">
        <f t="shared" si="34"/>
        <v>0.50933702203339593</v>
      </c>
    </row>
    <row r="179" spans="1:31" x14ac:dyDescent="0.35">
      <c r="A179" t="s">
        <v>345</v>
      </c>
      <c r="B179" t="s">
        <v>346</v>
      </c>
      <c r="C179">
        <f>VLOOKUP(CONCATENATE("2011",'2011_60'!A179),aktivnepesseg!$C$2:$D$2226,2,FALSE)</f>
        <v>14892</v>
      </c>
      <c r="D179">
        <f t="shared" si="27"/>
        <v>10302</v>
      </c>
      <c r="E179">
        <f t="shared" si="28"/>
        <v>4590</v>
      </c>
      <c r="F179">
        <v>1304</v>
      </c>
      <c r="G179">
        <v>934</v>
      </c>
      <c r="H179">
        <v>593</v>
      </c>
      <c r="I179">
        <v>840</v>
      </c>
      <c r="J179">
        <v>982</v>
      </c>
      <c r="K179">
        <v>992</v>
      </c>
      <c r="L179">
        <v>909</v>
      </c>
      <c r="M179">
        <v>577</v>
      </c>
      <c r="N179">
        <v>1071</v>
      </c>
      <c r="O179">
        <v>659</v>
      </c>
      <c r="P179">
        <v>694</v>
      </c>
      <c r="Q179">
        <v>311</v>
      </c>
      <c r="R179">
        <v>352</v>
      </c>
      <c r="S179">
        <v>71</v>
      </c>
      <c r="T179">
        <v>13</v>
      </c>
      <c r="U179">
        <f t="shared" si="35"/>
        <v>4590</v>
      </c>
      <c r="V179">
        <f t="shared" si="35"/>
        <v>1108.3999999999999</v>
      </c>
      <c r="W179">
        <f t="shared" si="35"/>
        <v>513.70000000000005</v>
      </c>
      <c r="X179">
        <f t="shared" si="35"/>
        <v>177.9</v>
      </c>
      <c r="Y179">
        <f t="shared" si="35"/>
        <v>84</v>
      </c>
      <c r="Z179" s="4">
        <f t="shared" si="29"/>
        <v>0.43473005640612405</v>
      </c>
      <c r="AA179">
        <f t="shared" si="30"/>
        <v>4590</v>
      </c>
      <c r="AB179">
        <f t="shared" si="31"/>
        <v>1059.5</v>
      </c>
      <c r="AC179">
        <f t="shared" si="32"/>
        <v>408.625</v>
      </c>
      <c r="AD179">
        <f t="shared" si="33"/>
        <v>74.125</v>
      </c>
      <c r="AE179">
        <f t="shared" si="34"/>
        <v>0.41178149341928555</v>
      </c>
    </row>
    <row r="180" spans="1:31" x14ac:dyDescent="0.35">
      <c r="A180" t="s">
        <v>347</v>
      </c>
      <c r="B180" t="s">
        <v>348</v>
      </c>
      <c r="C180">
        <f>VLOOKUP(CONCATENATE("2011",'2011_60'!A180),aktivnepesseg!$C$2:$D$2226,2,FALSE)</f>
        <v>71832</v>
      </c>
      <c r="D180">
        <f t="shared" si="27"/>
        <v>55797</v>
      </c>
      <c r="E180">
        <f t="shared" si="28"/>
        <v>16035</v>
      </c>
      <c r="F180">
        <v>8450</v>
      </c>
      <c r="G180">
        <v>5003</v>
      </c>
      <c r="H180">
        <v>3114</v>
      </c>
      <c r="I180">
        <v>4233</v>
      </c>
      <c r="J180">
        <v>5787</v>
      </c>
      <c r="K180">
        <v>5636</v>
      </c>
      <c r="L180">
        <v>4748</v>
      </c>
      <c r="M180">
        <v>2695</v>
      </c>
      <c r="N180">
        <v>4950</v>
      </c>
      <c r="O180">
        <v>3003</v>
      </c>
      <c r="P180">
        <v>3623</v>
      </c>
      <c r="Q180">
        <v>1931</v>
      </c>
      <c r="R180">
        <v>2176</v>
      </c>
      <c r="S180">
        <v>399</v>
      </c>
      <c r="T180">
        <v>49</v>
      </c>
      <c r="U180">
        <f t="shared" si="35"/>
        <v>16035</v>
      </c>
      <c r="V180">
        <f t="shared" si="35"/>
        <v>7182.5</v>
      </c>
      <c r="W180">
        <f t="shared" si="35"/>
        <v>2751.65</v>
      </c>
      <c r="X180">
        <f t="shared" si="35"/>
        <v>934.19999999999993</v>
      </c>
      <c r="Y180">
        <f t="shared" si="35"/>
        <v>423.3</v>
      </c>
      <c r="Z180" s="4">
        <f t="shared" si="29"/>
        <v>0.38042446263503732</v>
      </c>
      <c r="AA180">
        <f t="shared" si="30"/>
        <v>16035</v>
      </c>
      <c r="AB180">
        <f t="shared" si="31"/>
        <v>6865.625</v>
      </c>
      <c r="AC180">
        <f t="shared" si="32"/>
        <v>2188.8125</v>
      </c>
      <c r="AD180">
        <f t="shared" si="33"/>
        <v>389.25</v>
      </c>
      <c r="AE180">
        <f t="shared" si="34"/>
        <v>0.35469828906337009</v>
      </c>
    </row>
    <row r="181" spans="1:31" x14ac:dyDescent="0.35">
      <c r="A181" t="s">
        <v>349</v>
      </c>
      <c r="B181" t="s">
        <v>350</v>
      </c>
      <c r="C181">
        <f>VLOOKUP(CONCATENATE("2011",'2011_60'!A181),aktivnepesseg!$C$2:$D$2226,2,FALSE)</f>
        <v>69574</v>
      </c>
      <c r="D181">
        <f t="shared" si="27"/>
        <v>56053</v>
      </c>
      <c r="E181">
        <f t="shared" si="28"/>
        <v>13521</v>
      </c>
      <c r="F181">
        <v>8842</v>
      </c>
      <c r="G181">
        <v>4232</v>
      </c>
      <c r="H181">
        <v>2486</v>
      </c>
      <c r="I181">
        <v>3661</v>
      </c>
      <c r="J181">
        <v>5833</v>
      </c>
      <c r="K181">
        <v>5968</v>
      </c>
      <c r="L181">
        <v>4915</v>
      </c>
      <c r="M181">
        <v>2888</v>
      </c>
      <c r="N181">
        <v>5304</v>
      </c>
      <c r="O181">
        <v>3721</v>
      </c>
      <c r="P181">
        <v>3895</v>
      </c>
      <c r="Q181">
        <v>1710</v>
      </c>
      <c r="R181">
        <v>2153</v>
      </c>
      <c r="S181">
        <v>389</v>
      </c>
      <c r="T181">
        <v>56</v>
      </c>
      <c r="U181">
        <f t="shared" si="35"/>
        <v>13521</v>
      </c>
      <c r="V181">
        <f t="shared" si="35"/>
        <v>7515.7</v>
      </c>
      <c r="W181">
        <f t="shared" si="35"/>
        <v>2327.6000000000004</v>
      </c>
      <c r="X181">
        <f t="shared" si="35"/>
        <v>745.8</v>
      </c>
      <c r="Y181">
        <f t="shared" si="35"/>
        <v>366.1</v>
      </c>
      <c r="Z181" s="4">
        <f t="shared" si="29"/>
        <v>0.35180096012878376</v>
      </c>
      <c r="AA181">
        <f t="shared" si="30"/>
        <v>13521</v>
      </c>
      <c r="AB181">
        <f t="shared" si="31"/>
        <v>7184.125</v>
      </c>
      <c r="AC181">
        <f t="shared" si="32"/>
        <v>1851.5</v>
      </c>
      <c r="AD181">
        <f t="shared" si="33"/>
        <v>310.75</v>
      </c>
      <c r="AE181">
        <f t="shared" si="34"/>
        <v>0.32867702015120592</v>
      </c>
    </row>
    <row r="182" spans="1:31" x14ac:dyDescent="0.35">
      <c r="A182" t="s">
        <v>351</v>
      </c>
      <c r="B182" t="s">
        <v>352</v>
      </c>
      <c r="C182">
        <f>VLOOKUP(CONCATENATE("2011",'2011_60'!A182),aktivnepesseg!$C$2:$D$2226,2,FALSE)</f>
        <v>7601</v>
      </c>
      <c r="D182">
        <f t="shared" si="27"/>
        <v>5626</v>
      </c>
      <c r="E182">
        <f t="shared" si="28"/>
        <v>1975</v>
      </c>
      <c r="F182">
        <v>1177</v>
      </c>
      <c r="G182">
        <v>581</v>
      </c>
      <c r="H182">
        <v>327</v>
      </c>
      <c r="I182">
        <v>490</v>
      </c>
      <c r="J182">
        <v>735</v>
      </c>
      <c r="K182">
        <v>673</v>
      </c>
      <c r="L182">
        <v>545</v>
      </c>
      <c r="M182">
        <v>201</v>
      </c>
      <c r="N182">
        <v>366</v>
      </c>
      <c r="O182">
        <v>220</v>
      </c>
      <c r="P182">
        <v>175</v>
      </c>
      <c r="Q182">
        <v>58</v>
      </c>
      <c r="R182">
        <v>74</v>
      </c>
      <c r="S182">
        <v>4</v>
      </c>
      <c r="T182">
        <v>0</v>
      </c>
      <c r="U182">
        <f t="shared" si="35"/>
        <v>1975</v>
      </c>
      <c r="V182">
        <f t="shared" si="35"/>
        <v>1000.4499999999999</v>
      </c>
      <c r="W182">
        <f t="shared" si="35"/>
        <v>319.55</v>
      </c>
      <c r="X182">
        <f t="shared" si="35"/>
        <v>98.1</v>
      </c>
      <c r="Y182">
        <f t="shared" si="35"/>
        <v>49</v>
      </c>
      <c r="Z182" s="4">
        <f t="shared" si="29"/>
        <v>0.45284830943296933</v>
      </c>
      <c r="AA182">
        <f t="shared" si="30"/>
        <v>1975</v>
      </c>
      <c r="AB182">
        <f t="shared" si="31"/>
        <v>956.3125</v>
      </c>
      <c r="AC182">
        <f t="shared" si="32"/>
        <v>254.1875</v>
      </c>
      <c r="AD182">
        <f t="shared" si="33"/>
        <v>40.875</v>
      </c>
      <c r="AE182">
        <f t="shared" si="34"/>
        <v>0.42446717537166162</v>
      </c>
    </row>
    <row r="183" spans="1:31" x14ac:dyDescent="0.35">
      <c r="A183" t="s">
        <v>353</v>
      </c>
      <c r="B183" t="s">
        <v>354</v>
      </c>
      <c r="C183">
        <f>VLOOKUP(CONCATENATE("2011",'2011_60'!A183),aktivnepesseg!$C$2:$D$2226,2,FALSE)</f>
        <v>22860</v>
      </c>
      <c r="D183">
        <f t="shared" si="27"/>
        <v>15914</v>
      </c>
      <c r="E183">
        <f t="shared" si="28"/>
        <v>6946</v>
      </c>
      <c r="F183">
        <v>3680</v>
      </c>
      <c r="G183">
        <v>1828</v>
      </c>
      <c r="H183">
        <v>967</v>
      </c>
      <c r="I183">
        <v>1427</v>
      </c>
      <c r="J183">
        <v>1797</v>
      </c>
      <c r="K183">
        <v>1642</v>
      </c>
      <c r="L183">
        <v>1334</v>
      </c>
      <c r="M183">
        <v>572</v>
      </c>
      <c r="N183">
        <v>1016</v>
      </c>
      <c r="O183">
        <v>595</v>
      </c>
      <c r="P183">
        <v>557</v>
      </c>
      <c r="Q183">
        <v>221</v>
      </c>
      <c r="R183">
        <v>252</v>
      </c>
      <c r="S183">
        <v>26</v>
      </c>
      <c r="T183">
        <v>0</v>
      </c>
      <c r="U183">
        <f t="shared" si="35"/>
        <v>6946</v>
      </c>
      <c r="V183">
        <f t="shared" si="35"/>
        <v>3128</v>
      </c>
      <c r="W183">
        <f t="shared" si="35"/>
        <v>1005.4000000000001</v>
      </c>
      <c r="X183">
        <f t="shared" si="35"/>
        <v>290.09999999999997</v>
      </c>
      <c r="Y183">
        <f t="shared" si="35"/>
        <v>142.70000000000002</v>
      </c>
      <c r="Z183" s="4">
        <f t="shared" si="29"/>
        <v>0.50359580052493447</v>
      </c>
      <c r="AA183">
        <f t="shared" si="30"/>
        <v>6946</v>
      </c>
      <c r="AB183">
        <f t="shared" si="31"/>
        <v>2990</v>
      </c>
      <c r="AC183">
        <f t="shared" si="32"/>
        <v>799.75</v>
      </c>
      <c r="AD183">
        <f t="shared" si="33"/>
        <v>120.875</v>
      </c>
      <c r="AE183">
        <f t="shared" si="34"/>
        <v>0.47491797900262467</v>
      </c>
    </row>
    <row r="184" spans="1:31" x14ac:dyDescent="0.35">
      <c r="A184" t="s">
        <v>355</v>
      </c>
      <c r="B184" t="s">
        <v>356</v>
      </c>
      <c r="C184">
        <f>VLOOKUP(CONCATENATE("2011",'2011_60'!A184),aktivnepesseg!$C$2:$D$2226,2,FALSE)</f>
        <v>20905</v>
      </c>
      <c r="D184">
        <f t="shared" si="27"/>
        <v>16930</v>
      </c>
      <c r="E184">
        <f t="shared" si="28"/>
        <v>3975</v>
      </c>
      <c r="F184">
        <v>3330</v>
      </c>
      <c r="G184">
        <v>1738</v>
      </c>
      <c r="H184">
        <v>973</v>
      </c>
      <c r="I184">
        <v>1380</v>
      </c>
      <c r="J184">
        <v>2040</v>
      </c>
      <c r="K184">
        <v>1890</v>
      </c>
      <c r="L184">
        <v>1534</v>
      </c>
      <c r="M184">
        <v>745</v>
      </c>
      <c r="N184">
        <v>1217</v>
      </c>
      <c r="O184">
        <v>661</v>
      </c>
      <c r="P184">
        <v>731</v>
      </c>
      <c r="Q184">
        <v>319</v>
      </c>
      <c r="R184">
        <v>326</v>
      </c>
      <c r="S184">
        <v>43</v>
      </c>
      <c r="T184">
        <v>3</v>
      </c>
      <c r="U184">
        <f t="shared" si="35"/>
        <v>3975</v>
      </c>
      <c r="V184">
        <f t="shared" si="35"/>
        <v>2830.5</v>
      </c>
      <c r="W184">
        <f t="shared" si="35"/>
        <v>955.90000000000009</v>
      </c>
      <c r="X184">
        <f t="shared" si="35"/>
        <v>291.89999999999998</v>
      </c>
      <c r="Y184">
        <f t="shared" si="35"/>
        <v>138</v>
      </c>
      <c r="Z184" s="4">
        <f t="shared" si="29"/>
        <v>0.39183448935661319</v>
      </c>
      <c r="AA184">
        <f t="shared" si="30"/>
        <v>3975</v>
      </c>
      <c r="AB184">
        <f t="shared" si="31"/>
        <v>2705.625</v>
      </c>
      <c r="AC184">
        <f t="shared" si="32"/>
        <v>760.375</v>
      </c>
      <c r="AD184">
        <f t="shared" si="33"/>
        <v>121.625</v>
      </c>
      <c r="AE184">
        <f t="shared" si="34"/>
        <v>0.36176154030136332</v>
      </c>
    </row>
    <row r="185" spans="1:31" x14ac:dyDescent="0.35">
      <c r="A185" t="s">
        <v>357</v>
      </c>
      <c r="B185" t="s">
        <v>358</v>
      </c>
      <c r="C185">
        <f>VLOOKUP(CONCATENATE("2011",'2011_60'!A185),aktivnepesseg!$C$2:$D$2226,2,FALSE)</f>
        <v>53157</v>
      </c>
      <c r="D185">
        <f t="shared" si="27"/>
        <v>41032</v>
      </c>
      <c r="E185">
        <f t="shared" si="28"/>
        <v>12125</v>
      </c>
      <c r="F185">
        <v>5409</v>
      </c>
      <c r="G185">
        <v>3326</v>
      </c>
      <c r="H185">
        <v>2070</v>
      </c>
      <c r="I185">
        <v>3010</v>
      </c>
      <c r="J185">
        <v>3900</v>
      </c>
      <c r="K185">
        <v>4218</v>
      </c>
      <c r="L185">
        <v>3482</v>
      </c>
      <c r="M185">
        <v>2155</v>
      </c>
      <c r="N185">
        <v>3902</v>
      </c>
      <c r="O185">
        <v>2717</v>
      </c>
      <c r="P185">
        <v>3269</v>
      </c>
      <c r="Q185">
        <v>1506</v>
      </c>
      <c r="R185">
        <v>1771</v>
      </c>
      <c r="S185">
        <v>257</v>
      </c>
      <c r="T185">
        <v>40</v>
      </c>
      <c r="U185">
        <f t="shared" si="35"/>
        <v>12125</v>
      </c>
      <c r="V185">
        <f t="shared" si="35"/>
        <v>4597.6499999999996</v>
      </c>
      <c r="W185">
        <f t="shared" si="35"/>
        <v>1829.3000000000002</v>
      </c>
      <c r="X185">
        <f t="shared" si="35"/>
        <v>621</v>
      </c>
      <c r="Y185">
        <f t="shared" si="35"/>
        <v>301</v>
      </c>
      <c r="Z185" s="4">
        <f t="shared" si="29"/>
        <v>0.36634779991346389</v>
      </c>
      <c r="AA185">
        <f t="shared" si="30"/>
        <v>12125</v>
      </c>
      <c r="AB185">
        <f t="shared" si="31"/>
        <v>4394.8125</v>
      </c>
      <c r="AC185">
        <f t="shared" si="32"/>
        <v>1455.125</v>
      </c>
      <c r="AD185">
        <f t="shared" si="33"/>
        <v>258.75</v>
      </c>
      <c r="AE185">
        <f t="shared" si="34"/>
        <v>0.34301573640348404</v>
      </c>
    </row>
    <row r="186" spans="1:31" x14ac:dyDescent="0.35">
      <c r="A186" t="s">
        <v>359</v>
      </c>
      <c r="B186" t="s">
        <v>360</v>
      </c>
      <c r="C186">
        <f>VLOOKUP(CONCATENATE("2011",'2011_60'!A186),aktivnepesseg!$C$2:$D$2226,2,FALSE)</f>
        <v>24070</v>
      </c>
      <c r="D186">
        <f t="shared" si="27"/>
        <v>18717</v>
      </c>
      <c r="E186">
        <f t="shared" si="28"/>
        <v>5353</v>
      </c>
      <c r="F186">
        <v>2583</v>
      </c>
      <c r="G186">
        <v>1580</v>
      </c>
      <c r="H186">
        <v>944</v>
      </c>
      <c r="I186">
        <v>1402</v>
      </c>
      <c r="J186">
        <v>2043</v>
      </c>
      <c r="K186">
        <v>1958</v>
      </c>
      <c r="L186">
        <v>1567</v>
      </c>
      <c r="M186">
        <v>954</v>
      </c>
      <c r="N186">
        <v>1670</v>
      </c>
      <c r="O186">
        <v>1094</v>
      </c>
      <c r="P186">
        <v>1206</v>
      </c>
      <c r="Q186">
        <v>686</v>
      </c>
      <c r="R186">
        <v>839</v>
      </c>
      <c r="S186">
        <v>152</v>
      </c>
      <c r="T186">
        <v>39</v>
      </c>
      <c r="U186">
        <f t="shared" si="35"/>
        <v>5353</v>
      </c>
      <c r="V186">
        <f t="shared" si="35"/>
        <v>2195.5499999999997</v>
      </c>
      <c r="W186">
        <f t="shared" si="35"/>
        <v>869.00000000000011</v>
      </c>
      <c r="X186">
        <f t="shared" si="35"/>
        <v>283.2</v>
      </c>
      <c r="Y186">
        <f t="shared" si="35"/>
        <v>140.20000000000002</v>
      </c>
      <c r="Z186" s="4">
        <f t="shared" si="29"/>
        <v>0.36730162027420027</v>
      </c>
      <c r="AA186">
        <f t="shared" si="30"/>
        <v>5353</v>
      </c>
      <c r="AB186">
        <f t="shared" si="31"/>
        <v>2098.6875</v>
      </c>
      <c r="AC186">
        <f t="shared" si="32"/>
        <v>691.25</v>
      </c>
      <c r="AD186">
        <f t="shared" si="33"/>
        <v>118</v>
      </c>
      <c r="AE186">
        <f t="shared" si="34"/>
        <v>0.34320471541337766</v>
      </c>
    </row>
    <row r="187" spans="1:31" x14ac:dyDescent="0.35">
      <c r="A187" t="s">
        <v>361</v>
      </c>
      <c r="B187" t="s">
        <v>362</v>
      </c>
      <c r="C187">
        <f>VLOOKUP(CONCATENATE("2011",'2011_60'!A187),aktivnepesseg!$C$2:$D$2226,2,FALSE)</f>
        <v>9018</v>
      </c>
      <c r="D187">
        <f t="shared" si="27"/>
        <v>7142</v>
      </c>
      <c r="E187">
        <f t="shared" si="28"/>
        <v>1876</v>
      </c>
      <c r="F187">
        <v>1098</v>
      </c>
      <c r="G187">
        <v>566</v>
      </c>
      <c r="H187">
        <v>391</v>
      </c>
      <c r="I187">
        <v>556</v>
      </c>
      <c r="J187">
        <v>744</v>
      </c>
      <c r="K187">
        <v>813</v>
      </c>
      <c r="L187">
        <v>747</v>
      </c>
      <c r="M187">
        <v>346</v>
      </c>
      <c r="N187">
        <v>638</v>
      </c>
      <c r="O187">
        <v>352</v>
      </c>
      <c r="P187">
        <v>382</v>
      </c>
      <c r="Q187">
        <v>238</v>
      </c>
      <c r="R187">
        <v>250</v>
      </c>
      <c r="S187">
        <v>21</v>
      </c>
      <c r="T187">
        <v>0</v>
      </c>
      <c r="U187">
        <f t="shared" si="35"/>
        <v>1876</v>
      </c>
      <c r="V187">
        <f t="shared" si="35"/>
        <v>933.3</v>
      </c>
      <c r="W187">
        <f t="shared" si="35"/>
        <v>311.3</v>
      </c>
      <c r="X187">
        <f t="shared" si="35"/>
        <v>117.3</v>
      </c>
      <c r="Y187">
        <f t="shared" si="35"/>
        <v>55.6</v>
      </c>
      <c r="Z187" s="4">
        <f t="shared" si="29"/>
        <v>0.36521401641162127</v>
      </c>
      <c r="AA187">
        <f t="shared" si="30"/>
        <v>1876</v>
      </c>
      <c r="AB187">
        <f t="shared" si="31"/>
        <v>892.125</v>
      </c>
      <c r="AC187">
        <f t="shared" si="32"/>
        <v>247.625</v>
      </c>
      <c r="AD187">
        <f t="shared" si="33"/>
        <v>48.875</v>
      </c>
      <c r="AE187">
        <f t="shared" si="34"/>
        <v>0.33983422044799289</v>
      </c>
    </row>
    <row r="188" spans="1:31" x14ac:dyDescent="0.35">
      <c r="A188" t="s">
        <v>363</v>
      </c>
      <c r="B188" t="s">
        <v>364</v>
      </c>
      <c r="C188">
        <f>VLOOKUP(CONCATENATE("2011",'2011_60'!A188),aktivnepesseg!$C$2:$D$2226,2,FALSE)</f>
        <v>11720</v>
      </c>
      <c r="D188">
        <f t="shared" si="27"/>
        <v>9050</v>
      </c>
      <c r="E188">
        <f t="shared" si="28"/>
        <v>2670</v>
      </c>
      <c r="F188">
        <v>1860</v>
      </c>
      <c r="G188">
        <v>1015</v>
      </c>
      <c r="H188">
        <v>648</v>
      </c>
      <c r="I188">
        <v>905</v>
      </c>
      <c r="J188">
        <v>1072</v>
      </c>
      <c r="K188">
        <v>921</v>
      </c>
      <c r="L188">
        <v>715</v>
      </c>
      <c r="M188">
        <v>331</v>
      </c>
      <c r="N188">
        <v>559</v>
      </c>
      <c r="O188">
        <v>337</v>
      </c>
      <c r="P188">
        <v>385</v>
      </c>
      <c r="Q188">
        <v>123</v>
      </c>
      <c r="R188">
        <v>157</v>
      </c>
      <c r="S188">
        <v>17</v>
      </c>
      <c r="T188">
        <v>5</v>
      </c>
      <c r="U188">
        <f t="shared" si="35"/>
        <v>2670</v>
      </c>
      <c r="V188">
        <f t="shared" si="35"/>
        <v>1581</v>
      </c>
      <c r="W188">
        <f t="shared" si="35"/>
        <v>558.25</v>
      </c>
      <c r="X188">
        <f t="shared" si="35"/>
        <v>194.4</v>
      </c>
      <c r="Y188">
        <f t="shared" si="35"/>
        <v>90.5</v>
      </c>
      <c r="Z188" s="4">
        <f t="shared" si="29"/>
        <v>0.43465443686006822</v>
      </c>
      <c r="AA188">
        <f t="shared" si="30"/>
        <v>2670</v>
      </c>
      <c r="AB188">
        <f t="shared" si="31"/>
        <v>1511.25</v>
      </c>
      <c r="AC188">
        <f t="shared" si="32"/>
        <v>444.0625</v>
      </c>
      <c r="AD188">
        <f t="shared" si="33"/>
        <v>81</v>
      </c>
      <c r="AE188">
        <f t="shared" si="34"/>
        <v>0.40156249999999999</v>
      </c>
    </row>
    <row r="189" spans="1:31" x14ac:dyDescent="0.35">
      <c r="A189" t="s">
        <v>365</v>
      </c>
      <c r="B189" t="s">
        <v>366</v>
      </c>
      <c r="C189">
        <f>VLOOKUP(CONCATENATE("2011",'2011_60'!A189),aktivnepesseg!$C$2:$D$2226,2,FALSE)</f>
        <v>13851</v>
      </c>
      <c r="D189">
        <f t="shared" si="27"/>
        <v>10033</v>
      </c>
      <c r="E189">
        <f t="shared" si="28"/>
        <v>3818</v>
      </c>
      <c r="F189">
        <v>1900</v>
      </c>
      <c r="G189">
        <v>1005</v>
      </c>
      <c r="H189">
        <v>631</v>
      </c>
      <c r="I189">
        <v>1014</v>
      </c>
      <c r="J189">
        <v>1308</v>
      </c>
      <c r="K189">
        <v>965</v>
      </c>
      <c r="L189">
        <v>789</v>
      </c>
      <c r="M189">
        <v>376</v>
      </c>
      <c r="N189">
        <v>737</v>
      </c>
      <c r="O189">
        <v>445</v>
      </c>
      <c r="P189">
        <v>468</v>
      </c>
      <c r="Q189">
        <v>186</v>
      </c>
      <c r="R189">
        <v>190</v>
      </c>
      <c r="S189">
        <v>19</v>
      </c>
      <c r="T189">
        <v>0</v>
      </c>
      <c r="U189">
        <f t="shared" si="35"/>
        <v>3818</v>
      </c>
      <c r="V189">
        <f t="shared" si="35"/>
        <v>1615</v>
      </c>
      <c r="W189">
        <f t="shared" si="35"/>
        <v>552.75</v>
      </c>
      <c r="X189">
        <f t="shared" si="35"/>
        <v>189.29999999999998</v>
      </c>
      <c r="Y189">
        <f t="shared" si="35"/>
        <v>101.4</v>
      </c>
      <c r="Z189" s="4">
        <f t="shared" si="29"/>
        <v>0.45314056746805281</v>
      </c>
      <c r="AA189">
        <f t="shared" si="30"/>
        <v>3818</v>
      </c>
      <c r="AB189">
        <f t="shared" si="31"/>
        <v>1543.75</v>
      </c>
      <c r="AC189">
        <f t="shared" si="32"/>
        <v>439.6875</v>
      </c>
      <c r="AD189">
        <f t="shared" si="33"/>
        <v>78.875</v>
      </c>
      <c r="AE189">
        <f t="shared" si="34"/>
        <v>0.42454064688470144</v>
      </c>
    </row>
    <row r="190" spans="1:31" x14ac:dyDescent="0.35">
      <c r="A190" t="s">
        <v>367</v>
      </c>
      <c r="B190" t="s">
        <v>368</v>
      </c>
      <c r="C190">
        <f>VLOOKUP(CONCATENATE("2011",'2011_60'!A190),aktivnepesseg!$C$2:$D$2226,2,FALSE)</f>
        <v>19726</v>
      </c>
      <c r="D190">
        <f t="shared" si="27"/>
        <v>15009</v>
      </c>
      <c r="E190">
        <f t="shared" si="28"/>
        <v>4717</v>
      </c>
      <c r="F190">
        <v>2428</v>
      </c>
      <c r="G190">
        <v>1226</v>
      </c>
      <c r="H190">
        <v>706</v>
      </c>
      <c r="I190">
        <v>1011</v>
      </c>
      <c r="J190">
        <v>1456</v>
      </c>
      <c r="K190">
        <v>1504</v>
      </c>
      <c r="L190">
        <v>1055</v>
      </c>
      <c r="M190">
        <v>572</v>
      </c>
      <c r="N190">
        <v>1212</v>
      </c>
      <c r="O190">
        <v>905</v>
      </c>
      <c r="P190">
        <v>1262</v>
      </c>
      <c r="Q190">
        <v>571</v>
      </c>
      <c r="R190">
        <v>914</v>
      </c>
      <c r="S190">
        <v>159</v>
      </c>
      <c r="T190">
        <v>28</v>
      </c>
      <c r="U190">
        <f t="shared" si="35"/>
        <v>4717</v>
      </c>
      <c r="V190">
        <f t="shared" si="35"/>
        <v>2063.7999999999997</v>
      </c>
      <c r="W190">
        <f t="shared" si="35"/>
        <v>674.30000000000007</v>
      </c>
      <c r="X190">
        <f t="shared" si="35"/>
        <v>211.79999999999998</v>
      </c>
      <c r="Y190">
        <f t="shared" si="35"/>
        <v>101.10000000000001</v>
      </c>
      <c r="Z190" s="4">
        <f t="shared" si="29"/>
        <v>0.39379499138193247</v>
      </c>
      <c r="AA190">
        <f t="shared" si="30"/>
        <v>4717</v>
      </c>
      <c r="AB190">
        <f t="shared" si="31"/>
        <v>1972.75</v>
      </c>
      <c r="AC190">
        <f t="shared" si="32"/>
        <v>536.375</v>
      </c>
      <c r="AD190">
        <f t="shared" si="33"/>
        <v>88.25</v>
      </c>
      <c r="AE190">
        <f t="shared" si="34"/>
        <v>0.37079869208151678</v>
      </c>
    </row>
    <row r="191" spans="1:31" x14ac:dyDescent="0.35">
      <c r="A191" t="s">
        <v>369</v>
      </c>
      <c r="B191" t="s">
        <v>370</v>
      </c>
      <c r="C191">
        <f>VLOOKUP(CONCATENATE("2011",'2011_60'!A191),aktivnepesseg!$C$2:$D$2226,2,FALSE)</f>
        <v>16229</v>
      </c>
      <c r="D191">
        <f t="shared" si="27"/>
        <v>10681</v>
      </c>
      <c r="E191">
        <f t="shared" si="28"/>
        <v>5548</v>
      </c>
      <c r="F191">
        <v>2014</v>
      </c>
      <c r="G191">
        <v>1108</v>
      </c>
      <c r="H191">
        <v>630</v>
      </c>
      <c r="I191">
        <v>884</v>
      </c>
      <c r="J191">
        <v>1240</v>
      </c>
      <c r="K191">
        <v>1243</v>
      </c>
      <c r="L191">
        <v>903</v>
      </c>
      <c r="M191">
        <v>456</v>
      </c>
      <c r="N191">
        <v>809</v>
      </c>
      <c r="O191">
        <v>474</v>
      </c>
      <c r="P191">
        <v>460</v>
      </c>
      <c r="Q191">
        <v>236</v>
      </c>
      <c r="R191">
        <v>195</v>
      </c>
      <c r="S191">
        <v>29</v>
      </c>
      <c r="T191">
        <v>0</v>
      </c>
      <c r="U191">
        <f t="shared" si="35"/>
        <v>5548</v>
      </c>
      <c r="V191">
        <f t="shared" si="35"/>
        <v>1711.8999999999999</v>
      </c>
      <c r="W191">
        <f t="shared" si="35"/>
        <v>609.40000000000009</v>
      </c>
      <c r="X191">
        <f t="shared" si="35"/>
        <v>189</v>
      </c>
      <c r="Y191">
        <f t="shared" si="35"/>
        <v>88.4</v>
      </c>
      <c r="Z191" s="4">
        <f t="shared" si="29"/>
        <v>0.50198410253250347</v>
      </c>
      <c r="AA191">
        <f t="shared" si="30"/>
        <v>5548</v>
      </c>
      <c r="AB191">
        <f t="shared" si="31"/>
        <v>1636.375</v>
      </c>
      <c r="AC191">
        <f t="shared" si="32"/>
        <v>484.75</v>
      </c>
      <c r="AD191">
        <f t="shared" si="33"/>
        <v>78.75</v>
      </c>
      <c r="AE191">
        <f t="shared" si="34"/>
        <v>0.47740926736089717</v>
      </c>
    </row>
    <row r="192" spans="1:31" x14ac:dyDescent="0.35">
      <c r="A192" t="s">
        <v>371</v>
      </c>
      <c r="B192" t="s">
        <v>372</v>
      </c>
      <c r="C192">
        <f>VLOOKUP(CONCATENATE("2011",'2011_60'!A192),aktivnepesseg!$C$2:$D$2226,2,FALSE)</f>
        <v>7902</v>
      </c>
      <c r="D192">
        <f t="shared" si="27"/>
        <v>5579</v>
      </c>
      <c r="E192">
        <f t="shared" si="28"/>
        <v>2323</v>
      </c>
      <c r="F192">
        <v>1170</v>
      </c>
      <c r="G192">
        <v>641</v>
      </c>
      <c r="H192">
        <v>370</v>
      </c>
      <c r="I192">
        <v>447</v>
      </c>
      <c r="J192">
        <v>613</v>
      </c>
      <c r="K192">
        <v>556</v>
      </c>
      <c r="L192">
        <v>470</v>
      </c>
      <c r="M192">
        <v>247</v>
      </c>
      <c r="N192">
        <v>392</v>
      </c>
      <c r="O192">
        <v>235</v>
      </c>
      <c r="P192">
        <v>255</v>
      </c>
      <c r="Q192">
        <v>96</v>
      </c>
      <c r="R192">
        <v>72</v>
      </c>
      <c r="S192">
        <v>15</v>
      </c>
      <c r="T192">
        <v>0</v>
      </c>
      <c r="U192">
        <f t="shared" si="35"/>
        <v>2323</v>
      </c>
      <c r="V192">
        <f t="shared" si="35"/>
        <v>994.5</v>
      </c>
      <c r="W192">
        <f t="shared" si="35"/>
        <v>352.55</v>
      </c>
      <c r="X192">
        <f t="shared" si="35"/>
        <v>111</v>
      </c>
      <c r="Y192">
        <f t="shared" si="35"/>
        <v>44.7</v>
      </c>
      <c r="Z192" s="4">
        <f t="shared" si="29"/>
        <v>0.48414958238420652</v>
      </c>
      <c r="AA192">
        <f t="shared" si="30"/>
        <v>2323</v>
      </c>
      <c r="AB192">
        <f t="shared" si="31"/>
        <v>950.625</v>
      </c>
      <c r="AC192">
        <f t="shared" si="32"/>
        <v>280.4375</v>
      </c>
      <c r="AD192">
        <f t="shared" si="33"/>
        <v>46.25</v>
      </c>
      <c r="AE192">
        <f t="shared" si="34"/>
        <v>0.45562041255378383</v>
      </c>
    </row>
    <row r="193" spans="1:31" x14ac:dyDescent="0.35">
      <c r="A193" t="s">
        <v>373</v>
      </c>
      <c r="B193" t="s">
        <v>374</v>
      </c>
      <c r="C193">
        <f>VLOOKUP(CONCATENATE("2011",'2011_60'!A193),aktivnepesseg!$C$2:$D$2226,2,FALSE)</f>
        <v>10867</v>
      </c>
      <c r="D193">
        <f t="shared" si="27"/>
        <v>8163</v>
      </c>
      <c r="E193">
        <f t="shared" si="28"/>
        <v>2704</v>
      </c>
      <c r="F193">
        <v>1350</v>
      </c>
      <c r="G193">
        <v>738</v>
      </c>
      <c r="H193">
        <v>517</v>
      </c>
      <c r="I193">
        <v>669</v>
      </c>
      <c r="J193">
        <v>1036</v>
      </c>
      <c r="K193">
        <v>959</v>
      </c>
      <c r="L193">
        <v>652</v>
      </c>
      <c r="M193">
        <v>354</v>
      </c>
      <c r="N193">
        <v>630</v>
      </c>
      <c r="O193">
        <v>314</v>
      </c>
      <c r="P193">
        <v>355</v>
      </c>
      <c r="Q193">
        <v>221</v>
      </c>
      <c r="R193">
        <v>324</v>
      </c>
      <c r="S193">
        <v>40</v>
      </c>
      <c r="T193">
        <v>4</v>
      </c>
      <c r="U193">
        <f t="shared" si="35"/>
        <v>2704</v>
      </c>
      <c r="V193">
        <f t="shared" si="35"/>
        <v>1147.5</v>
      </c>
      <c r="W193">
        <f t="shared" si="35"/>
        <v>405.90000000000003</v>
      </c>
      <c r="X193">
        <f t="shared" si="35"/>
        <v>155.1</v>
      </c>
      <c r="Y193">
        <f t="shared" si="35"/>
        <v>66.900000000000006</v>
      </c>
      <c r="Z193" s="4">
        <f t="shared" si="29"/>
        <v>0.41220207969080702</v>
      </c>
      <c r="AA193">
        <f t="shared" si="30"/>
        <v>2704</v>
      </c>
      <c r="AB193">
        <f t="shared" si="31"/>
        <v>1096.875</v>
      </c>
      <c r="AC193">
        <f t="shared" si="32"/>
        <v>322.875</v>
      </c>
      <c r="AD193">
        <f t="shared" si="33"/>
        <v>64.625</v>
      </c>
      <c r="AE193">
        <f t="shared" si="34"/>
        <v>0.38542145946443362</v>
      </c>
    </row>
    <row r="194" spans="1:31" x14ac:dyDescent="0.35">
      <c r="A194" t="s">
        <v>375</v>
      </c>
      <c r="B194" t="s">
        <v>376</v>
      </c>
      <c r="C194">
        <f>VLOOKUP(CONCATENATE("2011",'2011_60'!A194),aktivnepesseg!$C$2:$D$2226,2,FALSE)</f>
        <v>21774</v>
      </c>
      <c r="D194">
        <f t="shared" si="27"/>
        <v>16070</v>
      </c>
      <c r="E194">
        <f t="shared" si="28"/>
        <v>5704</v>
      </c>
      <c r="F194">
        <v>2851</v>
      </c>
      <c r="G194">
        <v>1692</v>
      </c>
      <c r="H194">
        <v>1098</v>
      </c>
      <c r="I194">
        <v>1519</v>
      </c>
      <c r="J194">
        <v>1928</v>
      </c>
      <c r="K194">
        <v>1928</v>
      </c>
      <c r="L194">
        <v>1226</v>
      </c>
      <c r="M194">
        <v>692</v>
      </c>
      <c r="N194">
        <v>1145</v>
      </c>
      <c r="O194">
        <v>744</v>
      </c>
      <c r="P194">
        <v>684</v>
      </c>
      <c r="Q194">
        <v>280</v>
      </c>
      <c r="R194">
        <v>248</v>
      </c>
      <c r="S194">
        <v>32</v>
      </c>
      <c r="T194">
        <v>3</v>
      </c>
      <c r="U194">
        <f t="shared" si="35"/>
        <v>5704</v>
      </c>
      <c r="V194">
        <f t="shared" si="35"/>
        <v>2423.35</v>
      </c>
      <c r="W194">
        <f t="shared" si="35"/>
        <v>930.6</v>
      </c>
      <c r="X194">
        <f t="shared" si="35"/>
        <v>329.4</v>
      </c>
      <c r="Y194">
        <f t="shared" si="35"/>
        <v>151.9</v>
      </c>
      <c r="Z194" s="4">
        <f t="shared" si="29"/>
        <v>0.4381027831358501</v>
      </c>
      <c r="AA194">
        <f t="shared" si="30"/>
        <v>5704</v>
      </c>
      <c r="AB194">
        <f t="shared" si="31"/>
        <v>2316.4375</v>
      </c>
      <c r="AC194">
        <f t="shared" si="32"/>
        <v>740.25</v>
      </c>
      <c r="AD194">
        <f t="shared" si="33"/>
        <v>137.25</v>
      </c>
      <c r="AE194">
        <f t="shared" si="34"/>
        <v>0.40864965095986039</v>
      </c>
    </row>
    <row r="195" spans="1:31" x14ac:dyDescent="0.35">
      <c r="A195" t="s">
        <v>377</v>
      </c>
      <c r="B195" t="s">
        <v>378</v>
      </c>
      <c r="C195">
        <f>VLOOKUP(CONCATENATE("2011",'2011_60'!A195),aktivnepesseg!$C$2:$D$2226,2,FALSE)</f>
        <v>41992</v>
      </c>
      <c r="D195">
        <f t="shared" si="27"/>
        <v>30825</v>
      </c>
      <c r="E195">
        <f t="shared" si="28"/>
        <v>11167</v>
      </c>
      <c r="F195">
        <v>3796</v>
      </c>
      <c r="G195">
        <v>2745</v>
      </c>
      <c r="H195">
        <v>1544</v>
      </c>
      <c r="I195">
        <v>2462</v>
      </c>
      <c r="J195">
        <v>3200</v>
      </c>
      <c r="K195">
        <v>3020</v>
      </c>
      <c r="L195">
        <v>2729</v>
      </c>
      <c r="M195">
        <v>1446</v>
      </c>
      <c r="N195">
        <v>2734</v>
      </c>
      <c r="O195">
        <v>1923</v>
      </c>
      <c r="P195">
        <v>2283</v>
      </c>
      <c r="Q195">
        <v>1134</v>
      </c>
      <c r="R195">
        <v>1462</v>
      </c>
      <c r="S195">
        <v>301</v>
      </c>
      <c r="T195">
        <v>46</v>
      </c>
      <c r="U195">
        <f t="shared" si="35"/>
        <v>11167</v>
      </c>
      <c r="V195">
        <f t="shared" si="35"/>
        <v>3226.6</v>
      </c>
      <c r="W195">
        <f t="shared" si="35"/>
        <v>1509.7500000000002</v>
      </c>
      <c r="X195">
        <f t="shared" si="35"/>
        <v>463.2</v>
      </c>
      <c r="Y195">
        <f t="shared" si="35"/>
        <v>246.20000000000002</v>
      </c>
      <c r="Z195" s="4">
        <f t="shared" si="29"/>
        <v>0.39561702228995999</v>
      </c>
      <c r="AA195">
        <f t="shared" si="30"/>
        <v>11167</v>
      </c>
      <c r="AB195">
        <f t="shared" si="31"/>
        <v>3084.25</v>
      </c>
      <c r="AC195">
        <f t="shared" si="32"/>
        <v>1200.9375</v>
      </c>
      <c r="AD195">
        <f t="shared" si="33"/>
        <v>193</v>
      </c>
      <c r="AE195">
        <f t="shared" si="34"/>
        <v>0.37257543103448276</v>
      </c>
    </row>
    <row r="196" spans="1:31" x14ac:dyDescent="0.35">
      <c r="A196" t="s">
        <v>379</v>
      </c>
      <c r="B196" t="s">
        <v>380</v>
      </c>
      <c r="C196">
        <f>VLOOKUP(CONCATENATE("2011",'2011_60'!A196),aktivnepesseg!$C$2:$D$2226,2,FALSE)</f>
        <v>23271</v>
      </c>
      <c r="D196">
        <f t="shared" si="27"/>
        <v>17937</v>
      </c>
      <c r="E196">
        <f t="shared" si="28"/>
        <v>5334</v>
      </c>
      <c r="F196">
        <v>2611</v>
      </c>
      <c r="G196">
        <v>1474</v>
      </c>
      <c r="H196">
        <v>892</v>
      </c>
      <c r="I196">
        <v>1346</v>
      </c>
      <c r="J196">
        <v>1792</v>
      </c>
      <c r="K196">
        <v>1947</v>
      </c>
      <c r="L196">
        <v>1862</v>
      </c>
      <c r="M196">
        <v>908</v>
      </c>
      <c r="N196">
        <v>1583</v>
      </c>
      <c r="O196">
        <v>1194</v>
      </c>
      <c r="P196">
        <v>1227</v>
      </c>
      <c r="Q196">
        <v>522</v>
      </c>
      <c r="R196">
        <v>511</v>
      </c>
      <c r="S196">
        <v>68</v>
      </c>
      <c r="T196">
        <v>0</v>
      </c>
      <c r="U196">
        <f t="shared" si="35"/>
        <v>5334</v>
      </c>
      <c r="V196">
        <f t="shared" si="35"/>
        <v>2219.35</v>
      </c>
      <c r="W196">
        <f t="shared" si="35"/>
        <v>810.7</v>
      </c>
      <c r="X196">
        <f t="shared" si="35"/>
        <v>267.59999999999997</v>
      </c>
      <c r="Y196">
        <f t="shared" si="35"/>
        <v>134.6</v>
      </c>
      <c r="Z196" s="4">
        <f t="shared" si="29"/>
        <v>0.37670276309569861</v>
      </c>
      <c r="AA196">
        <f t="shared" si="30"/>
        <v>5334</v>
      </c>
      <c r="AB196">
        <f t="shared" si="31"/>
        <v>2121.4375</v>
      </c>
      <c r="AC196">
        <f t="shared" si="32"/>
        <v>644.875</v>
      </c>
      <c r="AD196">
        <f t="shared" si="33"/>
        <v>111.5</v>
      </c>
      <c r="AE196">
        <f t="shared" si="34"/>
        <v>0.35287750848695804</v>
      </c>
    </row>
    <row r="197" spans="1:31" x14ac:dyDescent="0.35">
      <c r="A197" t="s">
        <v>381</v>
      </c>
      <c r="B197" t="s">
        <v>382</v>
      </c>
      <c r="C197">
        <f>VLOOKUP(CONCATENATE("2011",'2011_60'!A197),aktivnepesseg!$C$2:$D$2226,2,FALSE)</f>
        <v>20682</v>
      </c>
      <c r="D197">
        <f t="shared" si="27"/>
        <v>14052</v>
      </c>
      <c r="E197">
        <f t="shared" si="28"/>
        <v>6630</v>
      </c>
      <c r="F197">
        <v>3391</v>
      </c>
      <c r="G197">
        <v>1839</v>
      </c>
      <c r="H197">
        <v>1284</v>
      </c>
      <c r="I197">
        <v>1165</v>
      </c>
      <c r="J197">
        <v>1594</v>
      </c>
      <c r="K197">
        <v>1213</v>
      </c>
      <c r="L197">
        <v>797</v>
      </c>
      <c r="M197">
        <v>473</v>
      </c>
      <c r="N197">
        <v>801</v>
      </c>
      <c r="O197">
        <v>539</v>
      </c>
      <c r="P197">
        <v>531</v>
      </c>
      <c r="Q197">
        <v>222</v>
      </c>
      <c r="R197">
        <v>192</v>
      </c>
      <c r="S197">
        <v>11</v>
      </c>
      <c r="T197">
        <v>0</v>
      </c>
      <c r="U197">
        <f t="shared" si="35"/>
        <v>6630</v>
      </c>
      <c r="V197">
        <f t="shared" si="35"/>
        <v>2882.35</v>
      </c>
      <c r="W197">
        <f t="shared" si="35"/>
        <v>1011.45</v>
      </c>
      <c r="X197">
        <f t="shared" si="35"/>
        <v>385.2</v>
      </c>
      <c r="Y197">
        <f t="shared" si="35"/>
        <v>116.5</v>
      </c>
      <c r="Z197" s="4">
        <f t="shared" si="29"/>
        <v>0.53309641233923222</v>
      </c>
      <c r="AA197">
        <f t="shared" si="30"/>
        <v>6630</v>
      </c>
      <c r="AB197">
        <f t="shared" si="31"/>
        <v>2755.1875</v>
      </c>
      <c r="AC197">
        <f t="shared" si="32"/>
        <v>804.5625</v>
      </c>
      <c r="AD197">
        <f t="shared" si="33"/>
        <v>160.5</v>
      </c>
      <c r="AE197">
        <f t="shared" si="34"/>
        <v>0.50044724881539504</v>
      </c>
    </row>
    <row r="198" spans="1:31" x14ac:dyDescent="0.35">
      <c r="A198" t="s">
        <v>383</v>
      </c>
      <c r="B198" t="s">
        <v>384</v>
      </c>
      <c r="C198">
        <f>VLOOKUP(CONCATENATE("2011",'2011_60'!A198),aktivnepesseg!$C$2:$D$2226,2,FALSE)</f>
        <v>8415</v>
      </c>
      <c r="D198">
        <f t="shared" si="27"/>
        <v>6553</v>
      </c>
      <c r="E198">
        <f t="shared" si="28"/>
        <v>1862</v>
      </c>
      <c r="F198">
        <v>1114</v>
      </c>
      <c r="G198">
        <v>580</v>
      </c>
      <c r="H198">
        <v>380</v>
      </c>
      <c r="I198">
        <v>619</v>
      </c>
      <c r="J198">
        <v>816</v>
      </c>
      <c r="K198">
        <v>886</v>
      </c>
      <c r="L198">
        <v>626</v>
      </c>
      <c r="M198">
        <v>331</v>
      </c>
      <c r="N198">
        <v>482</v>
      </c>
      <c r="O198">
        <v>292</v>
      </c>
      <c r="P198">
        <v>261</v>
      </c>
      <c r="Q198">
        <v>94</v>
      </c>
      <c r="R198">
        <v>63</v>
      </c>
      <c r="S198">
        <v>9</v>
      </c>
      <c r="T198">
        <v>0</v>
      </c>
      <c r="U198">
        <f t="shared" si="35"/>
        <v>1862</v>
      </c>
      <c r="V198">
        <f t="shared" si="35"/>
        <v>946.9</v>
      </c>
      <c r="W198">
        <f t="shared" si="35"/>
        <v>319</v>
      </c>
      <c r="X198">
        <f t="shared" si="35"/>
        <v>114</v>
      </c>
      <c r="Y198">
        <f t="shared" si="35"/>
        <v>61.900000000000006</v>
      </c>
      <c r="Z198" s="4">
        <f t="shared" si="29"/>
        <v>0.39260843731431971</v>
      </c>
      <c r="AA198">
        <f t="shared" si="30"/>
        <v>1862</v>
      </c>
      <c r="AB198">
        <f t="shared" si="31"/>
        <v>905.125</v>
      </c>
      <c r="AC198">
        <f t="shared" si="32"/>
        <v>253.75</v>
      </c>
      <c r="AD198">
        <f t="shared" si="33"/>
        <v>47.5</v>
      </c>
      <c r="AE198">
        <f t="shared" si="34"/>
        <v>0.36463161021984553</v>
      </c>
    </row>
    <row r="199" spans="1:31" x14ac:dyDescent="0.35">
      <c r="A199" t="s">
        <v>385</v>
      </c>
      <c r="B199" t="s">
        <v>386</v>
      </c>
      <c r="C199">
        <f>VLOOKUP(CONCATENATE("2011",'2011_60'!A199),aktivnepesseg!$C$2:$D$2226,2,FALSE)</f>
        <v>29278</v>
      </c>
      <c r="D199">
        <f t="shared" si="27"/>
        <v>21355</v>
      </c>
      <c r="E199">
        <f t="shared" si="28"/>
        <v>7923</v>
      </c>
      <c r="F199">
        <v>2647</v>
      </c>
      <c r="G199">
        <v>2018</v>
      </c>
      <c r="H199">
        <v>1123</v>
      </c>
      <c r="I199">
        <v>1988</v>
      </c>
      <c r="J199">
        <v>2284</v>
      </c>
      <c r="K199">
        <v>1987</v>
      </c>
      <c r="L199">
        <v>1766</v>
      </c>
      <c r="M199">
        <v>908</v>
      </c>
      <c r="N199">
        <v>1627</v>
      </c>
      <c r="O199">
        <v>1235</v>
      </c>
      <c r="P199">
        <v>1553</v>
      </c>
      <c r="Q199">
        <v>880</v>
      </c>
      <c r="R199">
        <v>1086</v>
      </c>
      <c r="S199">
        <v>200</v>
      </c>
      <c r="T199">
        <v>53</v>
      </c>
      <c r="U199">
        <f t="shared" si="35"/>
        <v>7923</v>
      </c>
      <c r="V199">
        <f t="shared" si="35"/>
        <v>2249.9499999999998</v>
      </c>
      <c r="W199">
        <f t="shared" si="35"/>
        <v>1109.9000000000001</v>
      </c>
      <c r="X199">
        <f t="shared" si="35"/>
        <v>336.9</v>
      </c>
      <c r="Y199">
        <f t="shared" si="35"/>
        <v>198.8</v>
      </c>
      <c r="Z199" s="4">
        <f t="shared" si="29"/>
        <v>0.40366657558576402</v>
      </c>
      <c r="AA199">
        <f t="shared" si="30"/>
        <v>7923</v>
      </c>
      <c r="AB199">
        <f t="shared" si="31"/>
        <v>2150.6875</v>
      </c>
      <c r="AC199">
        <f t="shared" si="32"/>
        <v>882.875</v>
      </c>
      <c r="AD199">
        <f t="shared" si="33"/>
        <v>140.375</v>
      </c>
      <c r="AE199">
        <f t="shared" si="34"/>
        <v>0.3790196563972949</v>
      </c>
    </row>
    <row r="200" spans="1:31" x14ac:dyDescent="0.35">
      <c r="A200" t="s">
        <v>387</v>
      </c>
      <c r="B200" t="s">
        <v>388</v>
      </c>
      <c r="C200">
        <f>VLOOKUP(CONCATENATE("2011",'2011_60'!A200),aktivnepesseg!$C$2:$D$2226,2,FALSE)</f>
        <v>52949</v>
      </c>
      <c r="D200">
        <f>SUM(F200:T200)</f>
        <v>40878</v>
      </c>
      <c r="E200">
        <f t="shared" si="28"/>
        <v>12071</v>
      </c>
      <c r="F200">
        <v>6331</v>
      </c>
      <c r="G200">
        <v>3241</v>
      </c>
      <c r="H200">
        <v>1808</v>
      </c>
      <c r="I200">
        <v>2953</v>
      </c>
      <c r="J200">
        <v>4315</v>
      </c>
      <c r="K200">
        <v>4271</v>
      </c>
      <c r="L200">
        <v>3420</v>
      </c>
      <c r="M200">
        <v>1852</v>
      </c>
      <c r="N200">
        <v>3779</v>
      </c>
      <c r="O200">
        <v>2299</v>
      </c>
      <c r="P200">
        <v>2808</v>
      </c>
      <c r="Q200">
        <v>1424</v>
      </c>
      <c r="R200">
        <v>1992</v>
      </c>
      <c r="S200">
        <v>325</v>
      </c>
      <c r="T200">
        <v>60</v>
      </c>
      <c r="U200">
        <f t="shared" ref="U200:Y205" si="36">E200*E$5</f>
        <v>12071</v>
      </c>
      <c r="V200">
        <f t="shared" si="36"/>
        <v>5381.3499999999995</v>
      </c>
      <c r="W200">
        <f t="shared" si="36"/>
        <v>1782.5500000000002</v>
      </c>
      <c r="X200">
        <f t="shared" si="36"/>
        <v>542.4</v>
      </c>
      <c r="Y200">
        <f t="shared" si="36"/>
        <v>295.3</v>
      </c>
      <c r="Z200" s="4">
        <f t="shared" si="29"/>
        <v>0.37909308957676252</v>
      </c>
      <c r="AA200">
        <f t="shared" si="30"/>
        <v>12071</v>
      </c>
      <c r="AB200">
        <f t="shared" si="31"/>
        <v>5143.9375</v>
      </c>
      <c r="AC200">
        <f t="shared" si="32"/>
        <v>1417.9375</v>
      </c>
      <c r="AD200">
        <f t="shared" si="33"/>
        <v>226</v>
      </c>
      <c r="AE200">
        <f t="shared" si="34"/>
        <v>0.35617056035052597</v>
      </c>
    </row>
    <row r="201" spans="1:31" x14ac:dyDescent="0.35">
      <c r="A201" t="s">
        <v>389</v>
      </c>
      <c r="B201" t="s">
        <v>390</v>
      </c>
      <c r="C201">
        <f>VLOOKUP(CONCATENATE("2011",'2011_60'!A201),aktivnepesseg!$C$2:$D$2226,2,FALSE)</f>
        <v>11585</v>
      </c>
      <c r="D201">
        <f>SUM(F201:T201)</f>
        <v>7475</v>
      </c>
      <c r="E201">
        <f t="shared" ref="E201:E204" si="37">C201-D201</f>
        <v>4110</v>
      </c>
      <c r="F201">
        <v>1488</v>
      </c>
      <c r="G201">
        <v>693</v>
      </c>
      <c r="H201">
        <v>449</v>
      </c>
      <c r="I201">
        <v>565</v>
      </c>
      <c r="J201">
        <v>731</v>
      </c>
      <c r="K201">
        <v>610</v>
      </c>
      <c r="L201">
        <v>638</v>
      </c>
      <c r="M201">
        <v>381</v>
      </c>
      <c r="N201">
        <v>686</v>
      </c>
      <c r="O201">
        <v>458</v>
      </c>
      <c r="P201">
        <v>451</v>
      </c>
      <c r="Q201">
        <v>191</v>
      </c>
      <c r="R201">
        <v>115</v>
      </c>
      <c r="S201">
        <v>19</v>
      </c>
      <c r="T201">
        <v>0</v>
      </c>
      <c r="U201">
        <f t="shared" si="36"/>
        <v>4110</v>
      </c>
      <c r="V201">
        <f t="shared" si="36"/>
        <v>1264.8</v>
      </c>
      <c r="W201">
        <f t="shared" si="36"/>
        <v>381.15000000000003</v>
      </c>
      <c r="X201">
        <f t="shared" si="36"/>
        <v>134.69999999999999</v>
      </c>
      <c r="Y201">
        <f t="shared" si="36"/>
        <v>56.5</v>
      </c>
      <c r="Z201" s="4">
        <f t="shared" ref="Z201:Z205" si="38">SUM(U201:Y201)/$C201</f>
        <v>0.51334915839447559</v>
      </c>
      <c r="AA201">
        <f t="shared" ref="AA201:AA204" si="39">E201*E$6</f>
        <v>4110</v>
      </c>
      <c r="AB201">
        <f t="shared" ref="AB201:AB204" si="40">F201*F$6</f>
        <v>1209</v>
      </c>
      <c r="AC201">
        <f t="shared" ref="AC201:AC204" si="41">G201*G$6</f>
        <v>303.1875</v>
      </c>
      <c r="AD201">
        <f t="shared" ref="AD201:AD204" si="42">H201*H$6</f>
        <v>56.125</v>
      </c>
      <c r="AE201">
        <f t="shared" ref="AE201:AE204" si="43">SUM(AA201:AD201)/$C201</f>
        <v>0.49014350453172206</v>
      </c>
    </row>
    <row r="202" spans="1:31" x14ac:dyDescent="0.35">
      <c r="A202" t="s">
        <v>391</v>
      </c>
      <c r="B202" t="s">
        <v>392</v>
      </c>
      <c r="C202">
        <f>VLOOKUP(CONCATENATE("2011",'2011_60'!A202),aktivnepesseg!$C$2:$D$2226,2,FALSE)</f>
        <v>64010</v>
      </c>
      <c r="D202">
        <f>SUM(F202:T202)</f>
        <v>50426</v>
      </c>
      <c r="E202">
        <f t="shared" si="37"/>
        <v>13584</v>
      </c>
      <c r="F202">
        <v>7425</v>
      </c>
      <c r="G202">
        <v>3803</v>
      </c>
      <c r="H202">
        <v>2454</v>
      </c>
      <c r="I202">
        <v>4012</v>
      </c>
      <c r="J202">
        <v>5934</v>
      </c>
      <c r="K202">
        <v>6354</v>
      </c>
      <c r="L202">
        <v>5024</v>
      </c>
      <c r="M202">
        <v>2429</v>
      </c>
      <c r="N202">
        <v>4085</v>
      </c>
      <c r="O202">
        <v>2449</v>
      </c>
      <c r="P202">
        <v>2975</v>
      </c>
      <c r="Q202">
        <v>1470</v>
      </c>
      <c r="R202">
        <v>1720</v>
      </c>
      <c r="S202">
        <v>257</v>
      </c>
      <c r="T202">
        <v>35</v>
      </c>
      <c r="U202">
        <f t="shared" si="36"/>
        <v>13584</v>
      </c>
      <c r="V202">
        <f t="shared" si="36"/>
        <v>6311.25</v>
      </c>
      <c r="W202">
        <f t="shared" si="36"/>
        <v>2091.65</v>
      </c>
      <c r="X202">
        <f t="shared" si="36"/>
        <v>736.19999999999993</v>
      </c>
      <c r="Y202">
        <f t="shared" si="36"/>
        <v>401.20000000000005</v>
      </c>
      <c r="Z202" s="4">
        <f t="shared" si="38"/>
        <v>0.36126074050929546</v>
      </c>
      <c r="AA202">
        <f t="shared" si="39"/>
        <v>13584</v>
      </c>
      <c r="AB202">
        <f t="shared" si="40"/>
        <v>6032.8125</v>
      </c>
      <c r="AC202">
        <f t="shared" si="41"/>
        <v>1663.8125</v>
      </c>
      <c r="AD202">
        <f t="shared" si="42"/>
        <v>306.75</v>
      </c>
      <c r="AE202">
        <f t="shared" si="43"/>
        <v>0.33725003905639744</v>
      </c>
    </row>
    <row r="203" spans="1:31" x14ac:dyDescent="0.35">
      <c r="A203" t="s">
        <v>393</v>
      </c>
      <c r="B203" t="s">
        <v>394</v>
      </c>
      <c r="C203">
        <f>VLOOKUP(CONCATENATE("2011",'2011_60'!A203),aktivnepesseg!$C$2:$D$2226,2,FALSE)</f>
        <v>9396</v>
      </c>
      <c r="D203">
        <f>SUM(F203:T203)</f>
        <v>7074</v>
      </c>
      <c r="E203">
        <f t="shared" si="37"/>
        <v>2322</v>
      </c>
      <c r="F203">
        <v>1305</v>
      </c>
      <c r="G203">
        <v>617</v>
      </c>
      <c r="H203">
        <v>447</v>
      </c>
      <c r="I203">
        <v>755</v>
      </c>
      <c r="J203">
        <v>1057</v>
      </c>
      <c r="K203">
        <v>913</v>
      </c>
      <c r="L203">
        <v>627</v>
      </c>
      <c r="M203">
        <v>270</v>
      </c>
      <c r="N203">
        <v>424</v>
      </c>
      <c r="O203">
        <v>243</v>
      </c>
      <c r="P203">
        <v>218</v>
      </c>
      <c r="Q203">
        <v>107</v>
      </c>
      <c r="R203">
        <v>79</v>
      </c>
      <c r="S203">
        <v>12</v>
      </c>
      <c r="T203">
        <v>0</v>
      </c>
      <c r="U203">
        <f t="shared" si="36"/>
        <v>2322</v>
      </c>
      <c r="V203">
        <f t="shared" si="36"/>
        <v>1109.25</v>
      </c>
      <c r="W203">
        <f t="shared" si="36"/>
        <v>339.35</v>
      </c>
      <c r="X203">
        <f t="shared" si="36"/>
        <v>134.1</v>
      </c>
      <c r="Y203">
        <f t="shared" si="36"/>
        <v>75.5</v>
      </c>
      <c r="Z203" s="4">
        <f t="shared" si="38"/>
        <v>0.42360578969774371</v>
      </c>
      <c r="AA203">
        <f t="shared" si="39"/>
        <v>2322</v>
      </c>
      <c r="AB203">
        <f t="shared" si="40"/>
        <v>1060.3125</v>
      </c>
      <c r="AC203">
        <f t="shared" si="41"/>
        <v>269.9375</v>
      </c>
      <c r="AD203">
        <f t="shared" si="42"/>
        <v>55.875</v>
      </c>
      <c r="AE203">
        <f t="shared" si="43"/>
        <v>0.39464931885908899</v>
      </c>
    </row>
    <row r="204" spans="1:31" x14ac:dyDescent="0.35">
      <c r="A204" t="s">
        <v>395</v>
      </c>
      <c r="B204" t="s">
        <v>396</v>
      </c>
      <c r="C204">
        <f>VLOOKUP(CONCATENATE("2011",'2011_60'!A204),aktivnepesseg!$C$2:$D$2226,2,FALSE)</f>
        <v>11949</v>
      </c>
      <c r="D204">
        <f>SUM(F204:T204)</f>
        <v>9443</v>
      </c>
      <c r="E204">
        <f t="shared" si="37"/>
        <v>2506</v>
      </c>
      <c r="F204">
        <v>1267</v>
      </c>
      <c r="G204">
        <v>748</v>
      </c>
      <c r="H204">
        <v>516</v>
      </c>
      <c r="I204">
        <v>763</v>
      </c>
      <c r="J204">
        <v>1101</v>
      </c>
      <c r="K204">
        <v>1135</v>
      </c>
      <c r="L204">
        <v>1033</v>
      </c>
      <c r="M204">
        <v>635</v>
      </c>
      <c r="N204">
        <v>882</v>
      </c>
      <c r="O204">
        <v>492</v>
      </c>
      <c r="P204">
        <v>450</v>
      </c>
      <c r="Q204">
        <v>208</v>
      </c>
      <c r="R204">
        <v>185</v>
      </c>
      <c r="S204">
        <v>28</v>
      </c>
      <c r="T204">
        <v>0</v>
      </c>
      <c r="U204">
        <f t="shared" si="36"/>
        <v>2506</v>
      </c>
      <c r="V204">
        <f t="shared" si="36"/>
        <v>1076.95</v>
      </c>
      <c r="W204">
        <f t="shared" si="36"/>
        <v>411.40000000000003</v>
      </c>
      <c r="X204">
        <f t="shared" si="36"/>
        <v>154.79999999999998</v>
      </c>
      <c r="Y204">
        <f t="shared" si="36"/>
        <v>76.3</v>
      </c>
      <c r="Z204" s="4">
        <f t="shared" si="38"/>
        <v>0.35362373420369902</v>
      </c>
      <c r="AA204">
        <f t="shared" si="39"/>
        <v>2506</v>
      </c>
      <c r="AB204">
        <f t="shared" si="40"/>
        <v>1029.4375</v>
      </c>
      <c r="AC204">
        <f t="shared" si="41"/>
        <v>327.25</v>
      </c>
      <c r="AD204">
        <f t="shared" si="42"/>
        <v>64.5</v>
      </c>
      <c r="AE204">
        <f t="shared" si="43"/>
        <v>0.32866244037157921</v>
      </c>
    </row>
    <row r="205" spans="1:31" x14ac:dyDescent="0.35">
      <c r="A205" s="6" t="s">
        <v>432</v>
      </c>
      <c r="C205">
        <f>SUM(C8:C204)</f>
        <v>6064308</v>
      </c>
      <c r="D205">
        <f t="shared" ref="D205" si="44">SUM(D8:D204)</f>
        <v>4386263</v>
      </c>
      <c r="E205">
        <f>SUM(E8:E204)</f>
        <v>1678045</v>
      </c>
      <c r="F205">
        <f t="shared" ref="F205:T205" si="45">SUM(F8:F204)</f>
        <v>731134</v>
      </c>
      <c r="G205">
        <f t="shared" si="45"/>
        <v>404018</v>
      </c>
      <c r="H205">
        <f t="shared" si="45"/>
        <v>236126</v>
      </c>
      <c r="I205">
        <f t="shared" si="45"/>
        <v>346884</v>
      </c>
      <c r="J205">
        <f t="shared" si="45"/>
        <v>470569</v>
      </c>
      <c r="K205">
        <f t="shared" si="45"/>
        <v>438738</v>
      </c>
      <c r="L205">
        <f t="shared" si="45"/>
        <v>360601</v>
      </c>
      <c r="M205">
        <f t="shared" si="45"/>
        <v>193815</v>
      </c>
      <c r="N205">
        <f t="shared" si="45"/>
        <v>348185</v>
      </c>
      <c r="O205">
        <f t="shared" si="45"/>
        <v>225014</v>
      </c>
      <c r="P205">
        <f t="shared" si="45"/>
        <v>269112</v>
      </c>
      <c r="Q205">
        <f t="shared" si="45"/>
        <v>134592</v>
      </c>
      <c r="R205">
        <f t="shared" si="45"/>
        <v>179496</v>
      </c>
      <c r="S205">
        <f t="shared" si="45"/>
        <v>39242</v>
      </c>
      <c r="T205">
        <f t="shared" si="45"/>
        <v>8737</v>
      </c>
      <c r="U205">
        <f t="shared" si="36"/>
        <v>1678045</v>
      </c>
      <c r="V205">
        <f t="shared" si="36"/>
        <v>621463.9</v>
      </c>
      <c r="W205">
        <f t="shared" si="36"/>
        <v>222209.90000000002</v>
      </c>
      <c r="X205">
        <f t="shared" si="36"/>
        <v>70837.8</v>
      </c>
      <c r="Y205">
        <f t="shared" si="36"/>
        <v>34688.400000000001</v>
      </c>
      <c r="Z205" s="4">
        <f t="shared" si="38"/>
        <v>0.43323079896337713</v>
      </c>
      <c r="AA205">
        <f t="shared" ref="AA205" si="46">E205*E$6</f>
        <v>1678045</v>
      </c>
      <c r="AB205">
        <f t="shared" ref="AB205" si="47">F205*F$6</f>
        <v>594046.375</v>
      </c>
      <c r="AC205">
        <f t="shared" ref="AC205" si="48">G205*G$6</f>
        <v>176757.875</v>
      </c>
      <c r="AD205">
        <f t="shared" ref="AD205" si="49">H205*H$6</f>
        <v>29515.75</v>
      </c>
      <c r="AE205">
        <f t="shared" ref="AE205" si="50">SUM(AA205:AD205)/$C205</f>
        <v>0.40868059471913365</v>
      </c>
    </row>
    <row r="206" spans="1:31" x14ac:dyDescent="0.35">
      <c r="Z206" s="4"/>
    </row>
    <row r="207" spans="1:31" x14ac:dyDescent="0.35">
      <c r="A207" t="s">
        <v>39</v>
      </c>
      <c r="B207" t="s">
        <v>40</v>
      </c>
      <c r="C207">
        <f>VLOOKUP(CONCATENATE("2011",'2011_60'!A207),aktivnepesseg!$C$2:$D$2226,2,FALSE)</f>
        <v>1076676</v>
      </c>
      <c r="D207">
        <f>SUM(F207:T207)</f>
        <v>730400</v>
      </c>
      <c r="E207">
        <f>C207-D207</f>
        <v>346276</v>
      </c>
      <c r="F207">
        <v>95271</v>
      </c>
      <c r="G207">
        <v>60740</v>
      </c>
      <c r="H207">
        <v>32762</v>
      </c>
      <c r="I207">
        <v>54885</v>
      </c>
      <c r="J207">
        <v>66604</v>
      </c>
      <c r="K207">
        <v>58838</v>
      </c>
      <c r="L207">
        <v>55387</v>
      </c>
      <c r="M207">
        <v>30055</v>
      </c>
      <c r="N207">
        <v>56149</v>
      </c>
      <c r="O207">
        <v>42237</v>
      </c>
      <c r="P207">
        <v>61190</v>
      </c>
      <c r="Q207">
        <v>35766</v>
      </c>
      <c r="R207">
        <v>58697</v>
      </c>
      <c r="S207">
        <v>17154</v>
      </c>
      <c r="T207">
        <v>4665</v>
      </c>
      <c r="U207">
        <f>E207*E$5</f>
        <v>346276</v>
      </c>
      <c r="V207">
        <f>F207*F$5</f>
        <v>80980.349999999991</v>
      </c>
      <c r="W207">
        <f>G207*G$5</f>
        <v>33407</v>
      </c>
      <c r="X207">
        <f>H207*H$5</f>
        <v>9828.6</v>
      </c>
      <c r="Y207">
        <f>I207*I$5</f>
        <v>5488.5</v>
      </c>
      <c r="Z207" s="4">
        <f>SUM(U207:Y207)/$C207</f>
        <v>0.44208327296233962</v>
      </c>
      <c r="AA207">
        <f t="shared" ref="AA207" si="51">E207*E$6</f>
        <v>346276</v>
      </c>
      <c r="AB207">
        <f t="shared" ref="AB207" si="52">F207*F$6</f>
        <v>77407.6875</v>
      </c>
      <c r="AC207">
        <f t="shared" ref="AC207" si="53">G207*G$6</f>
        <v>26573.75</v>
      </c>
      <c r="AD207">
        <f t="shared" ref="AD207" si="54">H207*H$6</f>
        <v>4095.25</v>
      </c>
      <c r="AE207">
        <f t="shared" ref="AE207" si="55">SUM(AA207:AD207)/$C207</f>
        <v>0.42199574198737594</v>
      </c>
    </row>
    <row r="208" spans="1:31" x14ac:dyDescent="0.35">
      <c r="A208" t="s">
        <v>433</v>
      </c>
      <c r="D208">
        <f>SUM(D8:D204)</f>
        <v>4386263</v>
      </c>
      <c r="F208">
        <f t="shared" ref="F208:T208" si="56">SUM(F8:F204)</f>
        <v>731134</v>
      </c>
      <c r="G208">
        <f t="shared" si="56"/>
        <v>404018</v>
      </c>
      <c r="H208">
        <f t="shared" si="56"/>
        <v>236126</v>
      </c>
      <c r="I208">
        <f t="shared" si="56"/>
        <v>346884</v>
      </c>
      <c r="J208">
        <f t="shared" si="56"/>
        <v>470569</v>
      </c>
      <c r="K208">
        <f t="shared" si="56"/>
        <v>438738</v>
      </c>
      <c r="L208">
        <f t="shared" si="56"/>
        <v>360601</v>
      </c>
      <c r="M208">
        <f t="shared" si="56"/>
        <v>193815</v>
      </c>
      <c r="N208">
        <f t="shared" si="56"/>
        <v>348185</v>
      </c>
      <c r="O208">
        <f t="shared" si="56"/>
        <v>225014</v>
      </c>
      <c r="P208">
        <f t="shared" si="56"/>
        <v>269112</v>
      </c>
      <c r="Q208">
        <f t="shared" si="56"/>
        <v>134592</v>
      </c>
      <c r="R208">
        <f t="shared" si="56"/>
        <v>179496</v>
      </c>
      <c r="S208">
        <f t="shared" si="56"/>
        <v>39242</v>
      </c>
      <c r="T208">
        <f t="shared" si="56"/>
        <v>8737</v>
      </c>
    </row>
    <row r="209" spans="1:20" x14ac:dyDescent="0.35">
      <c r="A209" t="s">
        <v>493</v>
      </c>
      <c r="F209">
        <f>F208/$D$208</f>
        <v>0.1666872232695577</v>
      </c>
      <c r="G209">
        <f t="shared" ref="G209:T209" si="57">G208/$D$208</f>
        <v>9.2109843846572809E-2</v>
      </c>
      <c r="H209">
        <f t="shared" si="57"/>
        <v>5.383306928927882E-2</v>
      </c>
      <c r="I209">
        <f t="shared" si="57"/>
        <v>7.9084177122986016E-2</v>
      </c>
      <c r="J209">
        <f t="shared" si="57"/>
        <v>0.10728244065620324</v>
      </c>
      <c r="K209">
        <f t="shared" si="57"/>
        <v>0.10002546586923766</v>
      </c>
      <c r="L209">
        <f t="shared" si="57"/>
        <v>8.2211440581652306E-2</v>
      </c>
      <c r="M209">
        <f t="shared" si="57"/>
        <v>4.4186816887177079E-2</v>
      </c>
      <c r="N209">
        <f t="shared" si="57"/>
        <v>7.9380784964330681E-2</v>
      </c>
      <c r="O209">
        <f t="shared" si="57"/>
        <v>5.1299705466817655E-2</v>
      </c>
      <c r="P209">
        <f t="shared" si="57"/>
        <v>6.1353366179820956E-2</v>
      </c>
      <c r="Q209">
        <f t="shared" si="57"/>
        <v>3.0684890532099877E-2</v>
      </c>
      <c r="R209">
        <f t="shared" si="57"/>
        <v>4.0922306756343611E-2</v>
      </c>
      <c r="S209">
        <f t="shared" si="57"/>
        <v>8.9465679554554759E-3</v>
      </c>
      <c r="T209">
        <f t="shared" si="57"/>
        <v>1.9919006224660947E-3</v>
      </c>
    </row>
    <row r="210" spans="1:20" x14ac:dyDescent="0.35">
      <c r="A210" t="s">
        <v>494</v>
      </c>
      <c r="F210">
        <f>F209</f>
        <v>0.1666872232695577</v>
      </c>
      <c r="G210">
        <f>G209+F210</f>
        <v>0.25879706711613049</v>
      </c>
      <c r="H210">
        <f t="shared" ref="H210:T210" si="58">H209+G210</f>
        <v>0.31263013640540932</v>
      </c>
      <c r="I210">
        <f t="shared" si="58"/>
        <v>0.39171431352839536</v>
      </c>
      <c r="J210">
        <f t="shared" si="58"/>
        <v>0.4989967541845986</v>
      </c>
      <c r="K210">
        <f t="shared" si="58"/>
        <v>0.59902222005383621</v>
      </c>
      <c r="L210">
        <f t="shared" si="58"/>
        <v>0.68123366063548851</v>
      </c>
      <c r="M210">
        <f t="shared" si="58"/>
        <v>0.72542047752266559</v>
      </c>
      <c r="N210">
        <f t="shared" si="58"/>
        <v>0.80480126248699624</v>
      </c>
      <c r="O210">
        <f t="shared" si="58"/>
        <v>0.85610096795381385</v>
      </c>
      <c r="P210">
        <f t="shared" si="58"/>
        <v>0.91745433413363475</v>
      </c>
      <c r="Q210">
        <f t="shared" si="58"/>
        <v>0.94813922466573464</v>
      </c>
      <c r="R210">
        <f t="shared" si="58"/>
        <v>0.9890615314220782</v>
      </c>
      <c r="S210">
        <f t="shared" si="58"/>
        <v>0.99800809937753365</v>
      </c>
      <c r="T210">
        <f t="shared" si="58"/>
        <v>0.99999999999999978</v>
      </c>
    </row>
    <row r="211" spans="1:20" x14ac:dyDescent="0.35">
      <c r="A211" t="s">
        <v>495</v>
      </c>
      <c r="D211" s="2">
        <f>D205/$C$205</f>
        <v>0.72329159402853549</v>
      </c>
      <c r="E211">
        <f>E205/$C$205</f>
        <v>0.27670840597146451</v>
      </c>
      <c r="F211">
        <f t="shared" ref="F211:T211" si="59">F205/$C$205</f>
        <v>0.12056346742282879</v>
      </c>
      <c r="G211">
        <f t="shared" si="59"/>
        <v>6.6622275781507145E-2</v>
      </c>
      <c r="H211">
        <f t="shared" si="59"/>
        <v>3.8937006497691079E-2</v>
      </c>
      <c r="I211">
        <f t="shared" si="59"/>
        <v>5.7200920533719592E-2</v>
      </c>
      <c r="J211">
        <f t="shared" si="59"/>
        <v>7.7596487513497001E-2</v>
      </c>
      <c r="K211">
        <f t="shared" si="59"/>
        <v>7.2347578652007777E-2</v>
      </c>
      <c r="L211">
        <f t="shared" si="59"/>
        <v>5.9462843905685528E-2</v>
      </c>
      <c r="M211">
        <f t="shared" si="59"/>
        <v>3.1959953221373322E-2</v>
      </c>
      <c r="N211">
        <f t="shared" si="59"/>
        <v>5.7415454492087147E-2</v>
      </c>
      <c r="O211">
        <f t="shared" si="59"/>
        <v>3.7104645740288919E-2</v>
      </c>
      <c r="P211">
        <f t="shared" si="59"/>
        <v>4.4376374023219138E-2</v>
      </c>
      <c r="Q211">
        <f t="shared" si="59"/>
        <v>2.2194123385553637E-2</v>
      </c>
      <c r="R211">
        <f t="shared" si="59"/>
        <v>2.959876048512048E-2</v>
      </c>
      <c r="S211">
        <f t="shared" si="59"/>
        <v>6.4709773975860068E-3</v>
      </c>
      <c r="T211">
        <f t="shared" si="59"/>
        <v>1.4407249763699337E-3</v>
      </c>
    </row>
    <row r="212" spans="1:20" x14ac:dyDescent="0.35">
      <c r="A212" t="s">
        <v>496</v>
      </c>
      <c r="E212">
        <f>E211</f>
        <v>0.27670840597146451</v>
      </c>
      <c r="F212">
        <f>F211+E212</f>
        <v>0.39727187339429332</v>
      </c>
      <c r="G212">
        <f t="shared" ref="G212:T212" si="60">G211+F212</f>
        <v>0.46389414917580046</v>
      </c>
      <c r="H212">
        <f t="shared" si="60"/>
        <v>0.50283115567349157</v>
      </c>
      <c r="I212">
        <f t="shared" si="60"/>
        <v>0.56003207620721118</v>
      </c>
      <c r="J212">
        <f t="shared" si="60"/>
        <v>0.6376285637207082</v>
      </c>
      <c r="K212">
        <f t="shared" si="60"/>
        <v>0.709976142372716</v>
      </c>
      <c r="L212">
        <f t="shared" si="60"/>
        <v>0.76943898627840157</v>
      </c>
      <c r="M212">
        <f t="shared" si="60"/>
        <v>0.80139893949977492</v>
      </c>
      <c r="N212">
        <f t="shared" si="60"/>
        <v>0.8588143939918621</v>
      </c>
      <c r="O212">
        <f t="shared" si="60"/>
        <v>0.89591903973215103</v>
      </c>
      <c r="P212">
        <f t="shared" si="60"/>
        <v>0.94029541375537018</v>
      </c>
      <c r="Q212">
        <f t="shared" si="60"/>
        <v>0.96248953714092378</v>
      </c>
      <c r="R212">
        <f t="shared" si="60"/>
        <v>0.99208829762604422</v>
      </c>
      <c r="S212">
        <f t="shared" si="60"/>
        <v>0.99855927502363018</v>
      </c>
      <c r="T212">
        <f t="shared" si="60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3AAE-034D-4263-B2EE-B8250456CE7D}">
  <dimension ref="A1:AB212"/>
  <sheetViews>
    <sheetView workbookViewId="0">
      <pane xSplit="1" ySplit="6" topLeftCell="D7" activePane="bottomRight" state="frozen"/>
      <selection pane="topRight" activeCell="B1" sqref="B1"/>
      <selection pane="bottomLeft" activeCell="A7" sqref="A7"/>
      <selection pane="bottomRight" activeCell="A4" sqref="A4"/>
    </sheetView>
  </sheetViews>
  <sheetFormatPr defaultRowHeight="15.5" x14ac:dyDescent="0.35"/>
  <cols>
    <col min="1" max="1" width="14.5" customWidth="1"/>
  </cols>
  <sheetData>
    <row r="1" spans="1:28" x14ac:dyDescent="0.35">
      <c r="A1" s="13" t="s">
        <v>397</v>
      </c>
      <c r="B1" s="13"/>
      <c r="C1" s="13"/>
      <c r="D1" s="13" t="s">
        <v>398</v>
      </c>
      <c r="E1">
        <v>0</v>
      </c>
      <c r="F1" s="13">
        <v>0</v>
      </c>
      <c r="G1" s="13">
        <v>300</v>
      </c>
      <c r="H1" s="13">
        <v>600</v>
      </c>
      <c r="I1" s="13">
        <v>800</v>
      </c>
      <c r="J1" s="13">
        <v>1000</v>
      </c>
      <c r="K1" s="13">
        <v>1200</v>
      </c>
      <c r="L1" s="13">
        <v>1500</v>
      </c>
      <c r="M1" s="13">
        <v>1800</v>
      </c>
      <c r="N1" s="13">
        <v>2000</v>
      </c>
      <c r="O1" s="13">
        <v>2500</v>
      </c>
      <c r="P1" s="13">
        <v>3000</v>
      </c>
      <c r="Q1" s="13">
        <v>4000</v>
      </c>
      <c r="R1" s="13">
        <v>5000</v>
      </c>
      <c r="S1" s="6" t="s">
        <v>399</v>
      </c>
    </row>
    <row r="2" spans="1:28" x14ac:dyDescent="0.35">
      <c r="A2" s="22">
        <v>3000</v>
      </c>
      <c r="B2" s="13"/>
      <c r="C2" s="13"/>
      <c r="D2" s="13" t="s">
        <v>400</v>
      </c>
      <c r="E2">
        <v>0</v>
      </c>
      <c r="F2" s="13">
        <v>300</v>
      </c>
      <c r="G2" s="13">
        <v>600</v>
      </c>
      <c r="H2" s="13">
        <v>800</v>
      </c>
      <c r="I2" s="13">
        <v>1000</v>
      </c>
      <c r="J2" s="13">
        <v>1200</v>
      </c>
      <c r="K2" s="13">
        <v>1500</v>
      </c>
      <c r="L2" s="13">
        <v>1800</v>
      </c>
      <c r="M2" s="13">
        <v>2000</v>
      </c>
      <c r="N2" s="13">
        <v>2500</v>
      </c>
      <c r="O2" s="13">
        <v>3000</v>
      </c>
      <c r="P2" s="13">
        <v>4000</v>
      </c>
      <c r="Q2" s="13">
        <v>5000</v>
      </c>
      <c r="R2" s="13">
        <v>10000</v>
      </c>
      <c r="S2" t="s">
        <v>401</v>
      </c>
    </row>
    <row r="3" spans="1:28" x14ac:dyDescent="0.35">
      <c r="A3" s="25">
        <v>2000</v>
      </c>
      <c r="B3" s="13"/>
      <c r="C3" s="13"/>
      <c r="D3" s="13" t="s">
        <v>402</v>
      </c>
      <c r="E3">
        <v>0</v>
      </c>
      <c r="F3" s="13">
        <v>150</v>
      </c>
      <c r="G3" s="13">
        <v>450</v>
      </c>
      <c r="H3" s="13">
        <v>700</v>
      </c>
      <c r="I3" s="13">
        <v>900</v>
      </c>
      <c r="J3" s="13">
        <v>1100</v>
      </c>
      <c r="K3" s="13">
        <v>1350</v>
      </c>
      <c r="L3" s="13">
        <v>1650</v>
      </c>
      <c r="M3" s="13">
        <v>1900</v>
      </c>
      <c r="N3" s="13">
        <v>2250</v>
      </c>
      <c r="O3" s="13">
        <v>2750</v>
      </c>
      <c r="P3" s="13">
        <v>3500</v>
      </c>
      <c r="Q3" s="13">
        <v>4500</v>
      </c>
      <c r="R3" s="13">
        <v>7500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8" x14ac:dyDescent="0.35">
      <c r="A4" s="13" t="s">
        <v>541</v>
      </c>
      <c r="B4" s="13"/>
      <c r="C4" s="13"/>
      <c r="D4" s="22" t="s">
        <v>403</v>
      </c>
      <c r="E4" s="22">
        <f>($A$2-E3)/$A$2</f>
        <v>1</v>
      </c>
      <c r="F4" s="22">
        <f>($A$2-F3)/$A$2</f>
        <v>0.95</v>
      </c>
      <c r="G4" s="22">
        <f t="shared" ref="G4:R4" si="0">($A$2-G3)/$A$2</f>
        <v>0.85</v>
      </c>
      <c r="H4" s="22">
        <f t="shared" si="0"/>
        <v>0.76666666666666672</v>
      </c>
      <c r="I4" s="22">
        <f t="shared" si="0"/>
        <v>0.7</v>
      </c>
      <c r="J4" s="22">
        <f t="shared" si="0"/>
        <v>0.6333333333333333</v>
      </c>
      <c r="K4" s="22">
        <f t="shared" si="0"/>
        <v>0.55000000000000004</v>
      </c>
      <c r="L4" s="22">
        <f t="shared" si="0"/>
        <v>0.45</v>
      </c>
      <c r="M4" s="22">
        <f t="shared" si="0"/>
        <v>0.36666666666666664</v>
      </c>
      <c r="N4" s="22">
        <f t="shared" si="0"/>
        <v>0.25</v>
      </c>
      <c r="O4" s="22">
        <f t="shared" si="0"/>
        <v>8.3333333333333329E-2</v>
      </c>
      <c r="P4" s="22">
        <f t="shared" si="0"/>
        <v>-0.16666666666666666</v>
      </c>
      <c r="Q4" s="22">
        <f t="shared" si="0"/>
        <v>-0.5</v>
      </c>
      <c r="R4" s="22">
        <f t="shared" si="0"/>
        <v>-1.5</v>
      </c>
      <c r="S4" t="s">
        <v>404</v>
      </c>
    </row>
    <row r="5" spans="1:28" x14ac:dyDescent="0.35">
      <c r="A5" s="13"/>
      <c r="B5" s="13"/>
      <c r="C5" s="13"/>
      <c r="D5" s="13" t="s">
        <v>405</v>
      </c>
      <c r="E5">
        <f>($A$3-E3)/$A$3</f>
        <v>1</v>
      </c>
      <c r="F5">
        <f>($A$3-F3)/$A$3</f>
        <v>0.92500000000000004</v>
      </c>
      <c r="G5">
        <f t="shared" ref="G5:M5" si="1">($A$3-G3)/$A$3</f>
        <v>0.77500000000000002</v>
      </c>
      <c r="H5">
        <f t="shared" si="1"/>
        <v>0.65</v>
      </c>
      <c r="I5">
        <f t="shared" si="1"/>
        <v>0.55000000000000004</v>
      </c>
      <c r="J5">
        <f t="shared" si="1"/>
        <v>0.45</v>
      </c>
      <c r="K5">
        <f t="shared" si="1"/>
        <v>0.32500000000000001</v>
      </c>
      <c r="L5">
        <f t="shared" si="1"/>
        <v>0.17499999999999999</v>
      </c>
      <c r="M5">
        <f t="shared" si="1"/>
        <v>0.05</v>
      </c>
    </row>
    <row r="6" spans="1:28" ht="192" customHeight="1" x14ac:dyDescent="0.35">
      <c r="A6" s="13"/>
      <c r="B6" s="14" t="s">
        <v>0</v>
      </c>
      <c r="C6" s="1" t="s">
        <v>406</v>
      </c>
      <c r="D6" s="14" t="s">
        <v>455</v>
      </c>
      <c r="E6" s="8" t="s">
        <v>408</v>
      </c>
      <c r="F6" s="14" t="s">
        <v>456</v>
      </c>
      <c r="G6" s="14" t="s">
        <v>457</v>
      </c>
      <c r="H6" s="14" t="s">
        <v>458</v>
      </c>
      <c r="I6" s="14" t="s">
        <v>459</v>
      </c>
      <c r="J6" s="14" t="s">
        <v>460</v>
      </c>
      <c r="K6" s="14" t="s">
        <v>461</v>
      </c>
      <c r="L6" s="14" t="s">
        <v>462</v>
      </c>
      <c r="M6" s="14" t="s">
        <v>463</v>
      </c>
      <c r="N6" s="14" t="s">
        <v>464</v>
      </c>
      <c r="O6" s="14" t="s">
        <v>465</v>
      </c>
      <c r="P6" s="14" t="s">
        <v>466</v>
      </c>
      <c r="Q6" s="14" t="s">
        <v>467</v>
      </c>
      <c r="R6" s="14" t="s">
        <v>468</v>
      </c>
      <c r="S6" s="7" t="s">
        <v>429</v>
      </c>
      <c r="T6" s="1" t="s">
        <v>450</v>
      </c>
      <c r="U6" s="1" t="s">
        <v>451</v>
      </c>
      <c r="V6" s="1" t="s">
        <v>452</v>
      </c>
      <c r="W6" s="1" t="s">
        <v>453</v>
      </c>
      <c r="X6" s="1" t="s">
        <v>454</v>
      </c>
      <c r="Y6" s="1" t="s">
        <v>469</v>
      </c>
      <c r="Z6" s="1" t="s">
        <v>470</v>
      </c>
      <c r="AA6" s="1" t="s">
        <v>471</v>
      </c>
      <c r="AB6" s="5" t="s">
        <v>449</v>
      </c>
    </row>
    <row r="7" spans="1:28" x14ac:dyDescent="0.35">
      <c r="A7" s="13" t="s">
        <v>1</v>
      </c>
      <c r="B7" s="13">
        <v>183</v>
      </c>
      <c r="C7">
        <f>VLOOKUP(CONCATENATE("2022",'2022_60'!A7),aktivnepesseg!$C$2:$D$2226,2,FALSE)</f>
        <v>22842</v>
      </c>
      <c r="D7" s="13">
        <v>19784</v>
      </c>
      <c r="E7">
        <f>C7-D7</f>
        <v>3058</v>
      </c>
      <c r="F7" s="13">
        <v>2300</v>
      </c>
      <c r="G7" s="13">
        <v>657</v>
      </c>
      <c r="H7" s="13">
        <v>380</v>
      </c>
      <c r="I7" s="13">
        <v>318</v>
      </c>
      <c r="J7" s="13">
        <v>431</v>
      </c>
      <c r="K7" s="13">
        <v>422</v>
      </c>
      <c r="L7" s="13">
        <v>524</v>
      </c>
      <c r="M7" s="13">
        <v>289</v>
      </c>
      <c r="N7" s="13">
        <v>1036</v>
      </c>
      <c r="O7" s="13">
        <v>1103</v>
      </c>
      <c r="P7" s="13">
        <v>3619</v>
      </c>
      <c r="Q7" s="13">
        <v>2540</v>
      </c>
      <c r="R7" s="13">
        <v>6145</v>
      </c>
      <c r="S7">
        <f t="shared" ref="S7:S38" si="2">E7*E$5</f>
        <v>3058</v>
      </c>
      <c r="T7">
        <f t="shared" ref="T7:T38" si="3">F7*F$5</f>
        <v>2127.5</v>
      </c>
      <c r="U7">
        <f t="shared" ref="U7:U38" si="4">G7*G$5</f>
        <v>509.17500000000001</v>
      </c>
      <c r="V7">
        <f t="shared" ref="V7:V38" si="5">H7*H$5</f>
        <v>247</v>
      </c>
      <c r="W7">
        <f t="shared" ref="W7:W38" si="6">I7*I$5</f>
        <v>174.9</v>
      </c>
      <c r="X7">
        <f t="shared" ref="X7:X38" si="7">J7*J$5</f>
        <v>193.95000000000002</v>
      </c>
      <c r="Y7">
        <f t="shared" ref="Y7:Y38" si="8">K7*K$5</f>
        <v>137.15</v>
      </c>
      <c r="Z7">
        <f t="shared" ref="Z7:Z38" si="9">L7*L$5</f>
        <v>91.699999999999989</v>
      </c>
      <c r="AA7">
        <f t="shared" ref="AA7:AA38" si="10">M7*M$5</f>
        <v>14.450000000000001</v>
      </c>
      <c r="AB7" s="4">
        <f>SUM(S7:AA7)/$C7</f>
        <v>0.28691992820243406</v>
      </c>
    </row>
    <row r="8" spans="1:28" x14ac:dyDescent="0.35">
      <c r="A8" s="13" t="s">
        <v>3</v>
      </c>
      <c r="B8" s="13">
        <v>122</v>
      </c>
      <c r="C8">
        <f>VLOOKUP(CONCATENATE("2022",'2022_60'!A8),aktivnepesseg!$C$2:$D$2226,2,FALSE)</f>
        <v>24391</v>
      </c>
      <c r="D8" s="13">
        <v>20139</v>
      </c>
      <c r="E8">
        <f t="shared" ref="E8:E70" si="11">C8-D8</f>
        <v>4252</v>
      </c>
      <c r="F8" s="13">
        <v>2108</v>
      </c>
      <c r="G8" s="13">
        <v>786</v>
      </c>
      <c r="H8" s="13">
        <v>487</v>
      </c>
      <c r="I8" s="13">
        <v>380</v>
      </c>
      <c r="J8" s="13">
        <v>650</v>
      </c>
      <c r="K8" s="13">
        <v>511</v>
      </c>
      <c r="L8" s="13">
        <v>673</v>
      </c>
      <c r="M8" s="13">
        <v>330</v>
      </c>
      <c r="N8" s="13">
        <v>1262</v>
      </c>
      <c r="O8" s="13">
        <v>1055</v>
      </c>
      <c r="P8" s="13">
        <v>3110</v>
      </c>
      <c r="Q8" s="13">
        <v>2248</v>
      </c>
      <c r="R8" s="13">
        <v>6536</v>
      </c>
      <c r="S8">
        <f t="shared" si="2"/>
        <v>4252</v>
      </c>
      <c r="T8">
        <f t="shared" si="3"/>
        <v>1949.9</v>
      </c>
      <c r="U8">
        <f t="shared" si="4"/>
        <v>609.15</v>
      </c>
      <c r="V8">
        <f t="shared" si="5"/>
        <v>316.55</v>
      </c>
      <c r="W8">
        <f t="shared" si="6"/>
        <v>209.00000000000003</v>
      </c>
      <c r="X8">
        <f t="shared" si="7"/>
        <v>292.5</v>
      </c>
      <c r="Y8">
        <f t="shared" si="8"/>
        <v>166.07500000000002</v>
      </c>
      <c r="Z8">
        <f t="shared" si="9"/>
        <v>117.77499999999999</v>
      </c>
      <c r="AA8">
        <f t="shared" si="10"/>
        <v>16.5</v>
      </c>
      <c r="AB8" s="4">
        <f t="shared" ref="AB8:AB70" si="12">SUM(S8:AA8)/$C8</f>
        <v>0.32509737198146854</v>
      </c>
    </row>
    <row r="9" spans="1:28" x14ac:dyDescent="0.35">
      <c r="A9" s="13" t="s">
        <v>5</v>
      </c>
      <c r="B9" s="13">
        <v>34</v>
      </c>
      <c r="C9">
        <f>VLOOKUP(CONCATENATE("2022",'2022_60'!A9),aktivnepesseg!$C$2:$D$2226,2,FALSE)</f>
        <v>10675</v>
      </c>
      <c r="D9" s="13">
        <v>8671</v>
      </c>
      <c r="E9">
        <f t="shared" si="11"/>
        <v>2004</v>
      </c>
      <c r="F9" s="13">
        <v>1520</v>
      </c>
      <c r="G9" s="13">
        <v>413</v>
      </c>
      <c r="H9" s="13">
        <v>233</v>
      </c>
      <c r="I9" s="13">
        <v>198</v>
      </c>
      <c r="J9" s="13">
        <v>431</v>
      </c>
      <c r="K9" s="13">
        <v>316</v>
      </c>
      <c r="L9" s="13">
        <v>342</v>
      </c>
      <c r="M9" s="13">
        <v>140</v>
      </c>
      <c r="N9" s="13">
        <v>612</v>
      </c>
      <c r="O9" s="13">
        <v>500</v>
      </c>
      <c r="P9" s="13">
        <v>1528</v>
      </c>
      <c r="Q9" s="13">
        <v>938</v>
      </c>
      <c r="R9" s="13">
        <v>1487</v>
      </c>
      <c r="S9">
        <f t="shared" si="2"/>
        <v>2004</v>
      </c>
      <c r="T9">
        <f t="shared" si="3"/>
        <v>1406</v>
      </c>
      <c r="U9">
        <f t="shared" si="4"/>
        <v>320.07499999999999</v>
      </c>
      <c r="V9">
        <f t="shared" si="5"/>
        <v>151.45000000000002</v>
      </c>
      <c r="W9">
        <f t="shared" si="6"/>
        <v>108.9</v>
      </c>
      <c r="X9">
        <f t="shared" si="7"/>
        <v>193.95000000000002</v>
      </c>
      <c r="Y9">
        <f t="shared" si="8"/>
        <v>102.7</v>
      </c>
      <c r="Z9">
        <f t="shared" si="9"/>
        <v>59.849999999999994</v>
      </c>
      <c r="AA9">
        <f t="shared" si="10"/>
        <v>7</v>
      </c>
      <c r="AB9" s="4">
        <f t="shared" si="12"/>
        <v>0.40786182669789228</v>
      </c>
    </row>
    <row r="10" spans="1:28" x14ac:dyDescent="0.35">
      <c r="A10" s="13" t="s">
        <v>7</v>
      </c>
      <c r="B10" s="13">
        <v>35</v>
      </c>
      <c r="C10">
        <f>VLOOKUP(CONCATENATE("2022",'2022_60'!A10),aktivnepesseg!$C$2:$D$2226,2,FALSE)</f>
        <v>37088</v>
      </c>
      <c r="D10" s="13">
        <v>30128</v>
      </c>
      <c r="E10">
        <f t="shared" si="11"/>
        <v>6960</v>
      </c>
      <c r="F10" s="13">
        <v>4739</v>
      </c>
      <c r="G10" s="13">
        <v>1208</v>
      </c>
      <c r="H10" s="13">
        <v>771</v>
      </c>
      <c r="I10" s="13">
        <v>608</v>
      </c>
      <c r="J10" s="13">
        <v>1101</v>
      </c>
      <c r="K10" s="13">
        <v>784</v>
      </c>
      <c r="L10" s="13">
        <v>1023</v>
      </c>
      <c r="M10" s="13">
        <v>511</v>
      </c>
      <c r="N10" s="13">
        <v>2164</v>
      </c>
      <c r="O10" s="13">
        <v>1626</v>
      </c>
      <c r="P10" s="13">
        <v>5385</v>
      </c>
      <c r="Q10" s="13">
        <v>3029</v>
      </c>
      <c r="R10" s="13">
        <v>7161</v>
      </c>
      <c r="S10">
        <f t="shared" si="2"/>
        <v>6960</v>
      </c>
      <c r="T10">
        <f t="shared" si="3"/>
        <v>4383.5749999999998</v>
      </c>
      <c r="U10">
        <f t="shared" si="4"/>
        <v>936.2</v>
      </c>
      <c r="V10">
        <f t="shared" si="5"/>
        <v>501.15000000000003</v>
      </c>
      <c r="W10">
        <f t="shared" si="6"/>
        <v>334.40000000000003</v>
      </c>
      <c r="X10">
        <f t="shared" si="7"/>
        <v>495.45</v>
      </c>
      <c r="Y10">
        <f t="shared" si="8"/>
        <v>254.8</v>
      </c>
      <c r="Z10">
        <f t="shared" si="9"/>
        <v>179.02499999999998</v>
      </c>
      <c r="AA10">
        <f t="shared" si="10"/>
        <v>25.55</v>
      </c>
      <c r="AB10" s="4">
        <f t="shared" si="12"/>
        <v>0.37937203408110437</v>
      </c>
    </row>
    <row r="11" spans="1:28" x14ac:dyDescent="0.35">
      <c r="A11" s="13" t="s">
        <v>9</v>
      </c>
      <c r="B11" s="13">
        <v>148</v>
      </c>
      <c r="C11">
        <f>VLOOKUP(CONCATENATE("2022",'2022_60'!A11),aktivnepesseg!$C$2:$D$2226,2,FALSE)</f>
        <v>11459</v>
      </c>
      <c r="D11" s="13">
        <v>9469</v>
      </c>
      <c r="E11">
        <f t="shared" si="11"/>
        <v>1990</v>
      </c>
      <c r="F11" s="13">
        <v>1486</v>
      </c>
      <c r="G11" s="13">
        <v>481</v>
      </c>
      <c r="H11" s="13">
        <v>302</v>
      </c>
      <c r="I11" s="13">
        <v>280</v>
      </c>
      <c r="J11" s="13">
        <v>645</v>
      </c>
      <c r="K11" s="13">
        <v>334</v>
      </c>
      <c r="L11" s="13">
        <v>384</v>
      </c>
      <c r="M11" s="13">
        <v>160</v>
      </c>
      <c r="N11" s="13">
        <v>649</v>
      </c>
      <c r="O11" s="13">
        <v>500</v>
      </c>
      <c r="P11" s="13">
        <v>1620</v>
      </c>
      <c r="Q11" s="13">
        <v>1037</v>
      </c>
      <c r="R11" s="13">
        <v>1586</v>
      </c>
      <c r="S11">
        <f t="shared" si="2"/>
        <v>1990</v>
      </c>
      <c r="T11">
        <f t="shared" si="3"/>
        <v>1374.55</v>
      </c>
      <c r="U11">
        <f t="shared" si="4"/>
        <v>372.77500000000003</v>
      </c>
      <c r="V11">
        <f t="shared" si="5"/>
        <v>196.3</v>
      </c>
      <c r="W11">
        <f t="shared" si="6"/>
        <v>154</v>
      </c>
      <c r="X11">
        <f t="shared" si="7"/>
        <v>290.25</v>
      </c>
      <c r="Y11">
        <f t="shared" si="8"/>
        <v>108.55</v>
      </c>
      <c r="Z11">
        <f t="shared" si="9"/>
        <v>67.199999999999989</v>
      </c>
      <c r="AA11">
        <f t="shared" si="10"/>
        <v>8</v>
      </c>
      <c r="AB11" s="4">
        <f t="shared" si="12"/>
        <v>0.39808229339383888</v>
      </c>
    </row>
    <row r="12" spans="1:28" x14ac:dyDescent="0.35">
      <c r="A12" s="13" t="s">
        <v>11</v>
      </c>
      <c r="B12" s="13">
        <v>116</v>
      </c>
      <c r="C12">
        <f>VLOOKUP(CONCATENATE("2022",'2022_60'!A12),aktivnepesseg!$C$2:$D$2226,2,FALSE)</f>
        <v>22987</v>
      </c>
      <c r="D12" s="13">
        <v>19538</v>
      </c>
      <c r="E12">
        <f t="shared" si="11"/>
        <v>3449</v>
      </c>
      <c r="F12" s="13">
        <v>2483</v>
      </c>
      <c r="G12" s="13">
        <v>735</v>
      </c>
      <c r="H12" s="13">
        <v>448</v>
      </c>
      <c r="I12" s="13">
        <v>369</v>
      </c>
      <c r="J12" s="13">
        <v>633</v>
      </c>
      <c r="K12" s="13">
        <v>510</v>
      </c>
      <c r="L12" s="13">
        <v>502</v>
      </c>
      <c r="M12" s="13">
        <v>311</v>
      </c>
      <c r="N12" s="13">
        <v>1202</v>
      </c>
      <c r="O12" s="13">
        <v>995</v>
      </c>
      <c r="P12" s="13">
        <v>3078</v>
      </c>
      <c r="Q12" s="13">
        <v>2287</v>
      </c>
      <c r="R12" s="13">
        <v>5924</v>
      </c>
      <c r="S12">
        <f t="shared" si="2"/>
        <v>3449</v>
      </c>
      <c r="T12">
        <f t="shared" si="3"/>
        <v>2296.7750000000001</v>
      </c>
      <c r="U12">
        <f t="shared" si="4"/>
        <v>569.625</v>
      </c>
      <c r="V12">
        <f t="shared" si="5"/>
        <v>291.2</v>
      </c>
      <c r="W12">
        <f t="shared" si="6"/>
        <v>202.95000000000002</v>
      </c>
      <c r="X12">
        <f t="shared" si="7"/>
        <v>284.85000000000002</v>
      </c>
      <c r="Y12">
        <f t="shared" si="8"/>
        <v>165.75</v>
      </c>
      <c r="Z12">
        <f t="shared" si="9"/>
        <v>87.85</v>
      </c>
      <c r="AA12">
        <f t="shared" si="10"/>
        <v>15.55</v>
      </c>
      <c r="AB12" s="4">
        <f t="shared" si="12"/>
        <v>0.32033540696915647</v>
      </c>
    </row>
    <row r="13" spans="1:28" x14ac:dyDescent="0.35">
      <c r="A13" s="13" t="s">
        <v>13</v>
      </c>
      <c r="B13" s="13">
        <v>184</v>
      </c>
      <c r="C13">
        <f>VLOOKUP(CONCATENATE("2022",'2022_60'!A13),aktivnepesseg!$C$2:$D$2226,2,FALSE)</f>
        <v>15650</v>
      </c>
      <c r="D13" s="13">
        <v>14506</v>
      </c>
      <c r="E13">
        <f t="shared" si="11"/>
        <v>1144</v>
      </c>
      <c r="F13" s="13">
        <v>1985</v>
      </c>
      <c r="G13" s="13">
        <v>602</v>
      </c>
      <c r="H13" s="13">
        <v>366</v>
      </c>
      <c r="I13" s="13">
        <v>269</v>
      </c>
      <c r="J13" s="13">
        <v>356</v>
      </c>
      <c r="K13" s="13">
        <v>378</v>
      </c>
      <c r="L13" s="13">
        <v>398</v>
      </c>
      <c r="M13" s="13">
        <v>230</v>
      </c>
      <c r="N13" s="13">
        <v>823</v>
      </c>
      <c r="O13" s="13">
        <v>715</v>
      </c>
      <c r="P13" s="13">
        <v>2288</v>
      </c>
      <c r="Q13" s="13">
        <v>1564</v>
      </c>
      <c r="R13" s="13">
        <v>4527</v>
      </c>
      <c r="S13">
        <f t="shared" si="2"/>
        <v>1144</v>
      </c>
      <c r="T13">
        <f t="shared" si="3"/>
        <v>1836.125</v>
      </c>
      <c r="U13">
        <f t="shared" si="4"/>
        <v>466.55</v>
      </c>
      <c r="V13">
        <f t="shared" si="5"/>
        <v>237.9</v>
      </c>
      <c r="W13">
        <f t="shared" si="6"/>
        <v>147.95000000000002</v>
      </c>
      <c r="X13">
        <f t="shared" si="7"/>
        <v>160.20000000000002</v>
      </c>
      <c r="Y13">
        <f t="shared" si="8"/>
        <v>122.85000000000001</v>
      </c>
      <c r="Z13">
        <f t="shared" si="9"/>
        <v>69.649999999999991</v>
      </c>
      <c r="AA13">
        <f t="shared" si="10"/>
        <v>11.5</v>
      </c>
      <c r="AB13" s="4">
        <f t="shared" si="12"/>
        <v>0.26816134185303508</v>
      </c>
    </row>
    <row r="14" spans="1:28" x14ac:dyDescent="0.35">
      <c r="A14" s="13" t="s">
        <v>15</v>
      </c>
      <c r="B14" s="13">
        <v>185</v>
      </c>
      <c r="C14">
        <f>VLOOKUP(CONCATENATE("2022",'2022_60'!A14),aktivnepesseg!$C$2:$D$2226,2,FALSE)</f>
        <v>14676</v>
      </c>
      <c r="D14" s="13">
        <v>13929</v>
      </c>
      <c r="E14">
        <f t="shared" si="11"/>
        <v>747</v>
      </c>
      <c r="F14" s="13">
        <v>2443</v>
      </c>
      <c r="G14" s="13">
        <v>593</v>
      </c>
      <c r="H14" s="13">
        <v>338</v>
      </c>
      <c r="I14" s="13">
        <v>280</v>
      </c>
      <c r="J14" s="13">
        <v>386</v>
      </c>
      <c r="K14" s="13">
        <v>338</v>
      </c>
      <c r="L14" s="13">
        <v>410</v>
      </c>
      <c r="M14" s="13">
        <v>219</v>
      </c>
      <c r="N14" s="13">
        <v>699</v>
      </c>
      <c r="O14" s="13">
        <v>663</v>
      </c>
      <c r="P14" s="13">
        <v>2116</v>
      </c>
      <c r="Q14" s="13">
        <v>1397</v>
      </c>
      <c r="R14" s="13">
        <v>3981</v>
      </c>
      <c r="S14">
        <f t="shared" si="2"/>
        <v>747</v>
      </c>
      <c r="T14">
        <f t="shared" si="3"/>
        <v>2259.7750000000001</v>
      </c>
      <c r="U14">
        <f t="shared" si="4"/>
        <v>459.57499999999999</v>
      </c>
      <c r="V14">
        <f t="shared" si="5"/>
        <v>219.70000000000002</v>
      </c>
      <c r="W14">
        <f t="shared" si="6"/>
        <v>154</v>
      </c>
      <c r="X14">
        <f t="shared" si="7"/>
        <v>173.70000000000002</v>
      </c>
      <c r="Y14">
        <f t="shared" si="8"/>
        <v>109.85000000000001</v>
      </c>
      <c r="Z14">
        <f t="shared" si="9"/>
        <v>71.75</v>
      </c>
      <c r="AA14">
        <f t="shared" si="10"/>
        <v>10.950000000000001</v>
      </c>
      <c r="AB14" s="4">
        <f t="shared" si="12"/>
        <v>0.28661079313164345</v>
      </c>
    </row>
    <row r="15" spans="1:28" x14ac:dyDescent="0.35">
      <c r="A15" s="13" t="s">
        <v>17</v>
      </c>
      <c r="B15" s="13">
        <v>93</v>
      </c>
      <c r="C15">
        <f>VLOOKUP(CONCATENATE("2022",'2022_60'!A15),aktivnepesseg!$C$2:$D$2226,2,FALSE)</f>
        <v>18276</v>
      </c>
      <c r="D15" s="13">
        <v>15455</v>
      </c>
      <c r="E15">
        <f t="shared" si="11"/>
        <v>2821</v>
      </c>
      <c r="F15" s="13">
        <v>2366</v>
      </c>
      <c r="G15" s="13">
        <v>702</v>
      </c>
      <c r="H15" s="13">
        <v>449</v>
      </c>
      <c r="I15" s="13">
        <v>362</v>
      </c>
      <c r="J15" s="13">
        <v>798</v>
      </c>
      <c r="K15" s="13">
        <v>459</v>
      </c>
      <c r="L15" s="13">
        <v>486</v>
      </c>
      <c r="M15" s="13">
        <v>258</v>
      </c>
      <c r="N15" s="13">
        <v>1077</v>
      </c>
      <c r="O15" s="13">
        <v>907</v>
      </c>
      <c r="P15" s="13">
        <v>2988</v>
      </c>
      <c r="Q15" s="13">
        <v>1745</v>
      </c>
      <c r="R15" s="13">
        <v>2856</v>
      </c>
      <c r="S15">
        <f t="shared" si="2"/>
        <v>2821</v>
      </c>
      <c r="T15">
        <f t="shared" si="3"/>
        <v>2188.5500000000002</v>
      </c>
      <c r="U15">
        <f t="shared" si="4"/>
        <v>544.05000000000007</v>
      </c>
      <c r="V15">
        <f t="shared" si="5"/>
        <v>291.85000000000002</v>
      </c>
      <c r="W15">
        <f t="shared" si="6"/>
        <v>199.10000000000002</v>
      </c>
      <c r="X15">
        <f t="shared" si="7"/>
        <v>359.1</v>
      </c>
      <c r="Y15">
        <f t="shared" si="8"/>
        <v>149.17500000000001</v>
      </c>
      <c r="Z15">
        <f t="shared" si="9"/>
        <v>85.05</v>
      </c>
      <c r="AA15">
        <f t="shared" si="10"/>
        <v>12.9</v>
      </c>
      <c r="AB15" s="4">
        <f t="shared" si="12"/>
        <v>0.3639075837163494</v>
      </c>
    </row>
    <row r="16" spans="1:28" x14ac:dyDescent="0.35">
      <c r="A16" s="13" t="s">
        <v>19</v>
      </c>
      <c r="B16" s="13">
        <v>140</v>
      </c>
      <c r="C16">
        <f>VLOOKUP(CONCATENATE("2022",'2022_60'!A16),aktivnepesseg!$C$2:$D$2226,2,FALSE)</f>
        <v>13346</v>
      </c>
      <c r="D16" s="13">
        <v>10202</v>
      </c>
      <c r="E16">
        <f t="shared" si="11"/>
        <v>3144</v>
      </c>
      <c r="F16" s="13">
        <v>1732</v>
      </c>
      <c r="G16" s="13">
        <v>559</v>
      </c>
      <c r="H16" s="13">
        <v>297</v>
      </c>
      <c r="I16" s="13">
        <v>277</v>
      </c>
      <c r="J16" s="13">
        <v>589</v>
      </c>
      <c r="K16" s="13">
        <v>295</v>
      </c>
      <c r="L16" s="13">
        <v>329</v>
      </c>
      <c r="M16" s="13">
        <v>137</v>
      </c>
      <c r="N16" s="13">
        <v>599</v>
      </c>
      <c r="O16" s="13">
        <v>516</v>
      </c>
      <c r="P16" s="13">
        <v>1752</v>
      </c>
      <c r="Q16" s="13">
        <v>1086</v>
      </c>
      <c r="R16" s="13">
        <v>1941</v>
      </c>
      <c r="S16">
        <f t="shared" si="2"/>
        <v>3144</v>
      </c>
      <c r="T16">
        <f t="shared" si="3"/>
        <v>1602.1000000000001</v>
      </c>
      <c r="U16">
        <f t="shared" si="4"/>
        <v>433.22500000000002</v>
      </c>
      <c r="V16">
        <f t="shared" si="5"/>
        <v>193.05</v>
      </c>
      <c r="W16">
        <f t="shared" si="6"/>
        <v>152.35000000000002</v>
      </c>
      <c r="X16">
        <f t="shared" si="7"/>
        <v>265.05</v>
      </c>
      <c r="Y16">
        <f t="shared" si="8"/>
        <v>95.875</v>
      </c>
      <c r="Z16">
        <f t="shared" si="9"/>
        <v>57.574999999999996</v>
      </c>
      <c r="AA16">
        <f t="shared" si="10"/>
        <v>6.8500000000000005</v>
      </c>
      <c r="AB16" s="4">
        <f t="shared" si="12"/>
        <v>0.44583208451970641</v>
      </c>
    </row>
    <row r="17" spans="1:28" x14ac:dyDescent="0.35">
      <c r="A17" s="13" t="s">
        <v>21</v>
      </c>
      <c r="B17" s="13">
        <v>117</v>
      </c>
      <c r="C17">
        <f>VLOOKUP(CONCATENATE("2022",'2022_60'!A17),aktivnepesseg!$C$2:$D$2226,2,FALSE)</f>
        <v>11647</v>
      </c>
      <c r="D17" s="13">
        <v>9501</v>
      </c>
      <c r="E17">
        <f t="shared" si="11"/>
        <v>2146</v>
      </c>
      <c r="F17" s="13">
        <v>1134</v>
      </c>
      <c r="G17" s="13">
        <v>481</v>
      </c>
      <c r="H17" s="13">
        <v>224</v>
      </c>
      <c r="I17" s="13">
        <v>209</v>
      </c>
      <c r="J17" s="13">
        <v>401</v>
      </c>
      <c r="K17" s="13">
        <v>347</v>
      </c>
      <c r="L17" s="13">
        <v>342</v>
      </c>
      <c r="M17" s="13">
        <v>176</v>
      </c>
      <c r="N17" s="13">
        <v>655</v>
      </c>
      <c r="O17" s="13">
        <v>530</v>
      </c>
      <c r="P17" s="13">
        <v>1543</v>
      </c>
      <c r="Q17" s="13">
        <v>983</v>
      </c>
      <c r="R17" s="13">
        <v>2468</v>
      </c>
      <c r="S17">
        <f t="shared" si="2"/>
        <v>2146</v>
      </c>
      <c r="T17">
        <f t="shared" si="3"/>
        <v>1048.95</v>
      </c>
      <c r="U17">
        <f t="shared" si="4"/>
        <v>372.77500000000003</v>
      </c>
      <c r="V17">
        <f t="shared" si="5"/>
        <v>145.6</v>
      </c>
      <c r="W17">
        <f t="shared" si="6"/>
        <v>114.95</v>
      </c>
      <c r="X17">
        <f t="shared" si="7"/>
        <v>180.45000000000002</v>
      </c>
      <c r="Y17">
        <f t="shared" si="8"/>
        <v>112.77500000000001</v>
      </c>
      <c r="Z17">
        <f t="shared" si="9"/>
        <v>59.849999999999994</v>
      </c>
      <c r="AA17">
        <f t="shared" si="10"/>
        <v>8.8000000000000007</v>
      </c>
      <c r="AB17" s="4">
        <f t="shared" si="12"/>
        <v>0.35976217051601267</v>
      </c>
    </row>
    <row r="18" spans="1:28" x14ac:dyDescent="0.35">
      <c r="A18" s="13" t="s">
        <v>23</v>
      </c>
      <c r="B18" s="13">
        <v>46</v>
      </c>
      <c r="C18">
        <f>VLOOKUP(CONCATENATE("2022",'2022_60'!A18),aktivnepesseg!$C$2:$D$2226,2,FALSE)</f>
        <v>46299</v>
      </c>
      <c r="D18" s="13">
        <v>41219</v>
      </c>
      <c r="E18">
        <f t="shared" si="11"/>
        <v>5080</v>
      </c>
      <c r="F18" s="13">
        <v>6044</v>
      </c>
      <c r="G18" s="13">
        <v>1487</v>
      </c>
      <c r="H18" s="13">
        <v>868</v>
      </c>
      <c r="I18" s="13">
        <v>688</v>
      </c>
      <c r="J18" s="13">
        <v>1114</v>
      </c>
      <c r="K18" s="13">
        <v>962</v>
      </c>
      <c r="L18" s="13">
        <v>1146</v>
      </c>
      <c r="M18" s="13">
        <v>603</v>
      </c>
      <c r="N18" s="13">
        <v>2338</v>
      </c>
      <c r="O18" s="13">
        <v>2040</v>
      </c>
      <c r="P18" s="13">
        <v>7341</v>
      </c>
      <c r="Q18" s="13">
        <v>5127</v>
      </c>
      <c r="R18" s="13">
        <v>11453</v>
      </c>
      <c r="S18">
        <f t="shared" si="2"/>
        <v>5080</v>
      </c>
      <c r="T18">
        <f t="shared" si="3"/>
        <v>5590.7</v>
      </c>
      <c r="U18">
        <f t="shared" si="4"/>
        <v>1152.425</v>
      </c>
      <c r="V18">
        <f t="shared" si="5"/>
        <v>564.20000000000005</v>
      </c>
      <c r="W18">
        <f t="shared" si="6"/>
        <v>378.40000000000003</v>
      </c>
      <c r="X18">
        <f t="shared" si="7"/>
        <v>501.3</v>
      </c>
      <c r="Y18">
        <f t="shared" si="8"/>
        <v>312.65000000000003</v>
      </c>
      <c r="Z18">
        <f t="shared" si="9"/>
        <v>200.54999999999998</v>
      </c>
      <c r="AA18">
        <f t="shared" si="10"/>
        <v>30.150000000000002</v>
      </c>
      <c r="AB18" s="4">
        <f t="shared" si="12"/>
        <v>0.29828668005788456</v>
      </c>
    </row>
    <row r="19" spans="1:28" x14ac:dyDescent="0.35">
      <c r="A19" s="13" t="s">
        <v>25</v>
      </c>
      <c r="B19" s="13">
        <v>45</v>
      </c>
      <c r="C19">
        <f>VLOOKUP(CONCATENATE("2022",'2022_60'!A19),aktivnepesseg!$C$2:$D$2226,2,FALSE)</f>
        <v>20302</v>
      </c>
      <c r="D19" s="13">
        <v>17998</v>
      </c>
      <c r="E19">
        <f t="shared" si="11"/>
        <v>2304</v>
      </c>
      <c r="F19" s="13">
        <v>2873</v>
      </c>
      <c r="G19" s="13">
        <v>709</v>
      </c>
      <c r="H19" s="13">
        <v>471</v>
      </c>
      <c r="I19" s="13">
        <v>387</v>
      </c>
      <c r="J19" s="13">
        <v>728</v>
      </c>
      <c r="K19" s="13">
        <v>512</v>
      </c>
      <c r="L19" s="13">
        <v>662</v>
      </c>
      <c r="M19" s="13">
        <v>335</v>
      </c>
      <c r="N19" s="13">
        <v>1139</v>
      </c>
      <c r="O19" s="13">
        <v>952</v>
      </c>
      <c r="P19" s="13">
        <v>3418</v>
      </c>
      <c r="Q19" s="13">
        <v>2029</v>
      </c>
      <c r="R19" s="13">
        <v>3781</v>
      </c>
      <c r="S19">
        <f t="shared" si="2"/>
        <v>2304</v>
      </c>
      <c r="T19">
        <f t="shared" si="3"/>
        <v>2657.5250000000001</v>
      </c>
      <c r="U19">
        <f t="shared" si="4"/>
        <v>549.47500000000002</v>
      </c>
      <c r="V19">
        <f t="shared" si="5"/>
        <v>306.15000000000003</v>
      </c>
      <c r="W19">
        <f t="shared" si="6"/>
        <v>212.85000000000002</v>
      </c>
      <c r="X19">
        <f t="shared" si="7"/>
        <v>327.60000000000002</v>
      </c>
      <c r="Y19">
        <f t="shared" si="8"/>
        <v>166.4</v>
      </c>
      <c r="Z19">
        <f t="shared" si="9"/>
        <v>115.85</v>
      </c>
      <c r="AA19">
        <f t="shared" si="10"/>
        <v>16.75</v>
      </c>
      <c r="AB19" s="4">
        <f t="shared" si="12"/>
        <v>0.32787902669687718</v>
      </c>
    </row>
    <row r="20" spans="1:28" x14ac:dyDescent="0.35">
      <c r="A20" s="13" t="s">
        <v>27</v>
      </c>
      <c r="B20" s="13">
        <v>103</v>
      </c>
      <c r="C20">
        <f>VLOOKUP(CONCATENATE("2022",'2022_60'!A20),aktivnepesseg!$C$2:$D$2226,2,FALSE)</f>
        <v>4823</v>
      </c>
      <c r="D20" s="13">
        <v>4166</v>
      </c>
      <c r="E20">
        <f t="shared" si="11"/>
        <v>657</v>
      </c>
      <c r="F20" s="13">
        <v>505</v>
      </c>
      <c r="G20" s="13">
        <v>165</v>
      </c>
      <c r="H20" s="13">
        <v>107</v>
      </c>
      <c r="I20" s="13">
        <v>96</v>
      </c>
      <c r="J20" s="13">
        <v>239</v>
      </c>
      <c r="K20" s="13">
        <v>144</v>
      </c>
      <c r="L20" s="13">
        <v>128</v>
      </c>
      <c r="M20" s="13">
        <v>67</v>
      </c>
      <c r="N20" s="13">
        <v>239</v>
      </c>
      <c r="O20" s="13">
        <v>219</v>
      </c>
      <c r="P20" s="13">
        <v>713</v>
      </c>
      <c r="Q20" s="13">
        <v>512</v>
      </c>
      <c r="R20" s="13">
        <v>1026</v>
      </c>
      <c r="S20">
        <f t="shared" si="2"/>
        <v>657</v>
      </c>
      <c r="T20">
        <f t="shared" si="3"/>
        <v>467.125</v>
      </c>
      <c r="U20">
        <f t="shared" si="4"/>
        <v>127.875</v>
      </c>
      <c r="V20">
        <f t="shared" si="5"/>
        <v>69.55</v>
      </c>
      <c r="W20">
        <f t="shared" si="6"/>
        <v>52.800000000000004</v>
      </c>
      <c r="X20">
        <f t="shared" si="7"/>
        <v>107.55</v>
      </c>
      <c r="Y20">
        <f t="shared" si="8"/>
        <v>46.800000000000004</v>
      </c>
      <c r="Z20">
        <f t="shared" si="9"/>
        <v>22.4</v>
      </c>
      <c r="AA20">
        <f t="shared" si="10"/>
        <v>3.35</v>
      </c>
      <c r="AB20" s="4">
        <f t="shared" si="12"/>
        <v>0.32229939871449304</v>
      </c>
    </row>
    <row r="21" spans="1:28" x14ac:dyDescent="0.35">
      <c r="A21" s="13" t="s">
        <v>29</v>
      </c>
      <c r="B21" s="13">
        <v>94</v>
      </c>
      <c r="C21">
        <f>VLOOKUP(CONCATENATE("2022",'2022_60'!A21),aktivnepesseg!$C$2:$D$2226,2,FALSE)</f>
        <v>25977</v>
      </c>
      <c r="D21" s="13">
        <v>21144</v>
      </c>
      <c r="E21">
        <f t="shared" si="11"/>
        <v>4833</v>
      </c>
      <c r="F21" s="13">
        <v>3684</v>
      </c>
      <c r="G21" s="13">
        <v>970</v>
      </c>
      <c r="H21" s="13">
        <v>589</v>
      </c>
      <c r="I21" s="13">
        <v>471</v>
      </c>
      <c r="J21" s="13">
        <v>1445</v>
      </c>
      <c r="K21" s="13">
        <v>641</v>
      </c>
      <c r="L21" s="13">
        <v>618</v>
      </c>
      <c r="M21" s="13">
        <v>289</v>
      </c>
      <c r="N21" s="13">
        <v>1306</v>
      </c>
      <c r="O21" s="13">
        <v>1051</v>
      </c>
      <c r="P21" s="13">
        <v>3487</v>
      </c>
      <c r="Q21" s="13">
        <v>1938</v>
      </c>
      <c r="R21" s="13">
        <v>4623</v>
      </c>
      <c r="S21">
        <f t="shared" si="2"/>
        <v>4833</v>
      </c>
      <c r="T21">
        <f t="shared" si="3"/>
        <v>3407.7000000000003</v>
      </c>
      <c r="U21">
        <f t="shared" si="4"/>
        <v>751.75</v>
      </c>
      <c r="V21">
        <f t="shared" si="5"/>
        <v>382.85</v>
      </c>
      <c r="W21">
        <f t="shared" si="6"/>
        <v>259.05</v>
      </c>
      <c r="X21">
        <f t="shared" si="7"/>
        <v>650.25</v>
      </c>
      <c r="Y21">
        <f t="shared" si="8"/>
        <v>208.32500000000002</v>
      </c>
      <c r="Z21">
        <f t="shared" si="9"/>
        <v>108.14999999999999</v>
      </c>
      <c r="AA21">
        <f t="shared" si="10"/>
        <v>14.450000000000001</v>
      </c>
      <c r="AB21" s="4">
        <f t="shared" si="12"/>
        <v>0.40865092196943453</v>
      </c>
    </row>
    <row r="22" spans="1:28" x14ac:dyDescent="0.35">
      <c r="A22" s="13" t="s">
        <v>31</v>
      </c>
      <c r="B22" s="13">
        <v>77</v>
      </c>
      <c r="C22">
        <f>VLOOKUP(CONCATENATE("2022",'2022_60'!A22),aktivnepesseg!$C$2:$D$2226,2,FALSE)</f>
        <v>23336</v>
      </c>
      <c r="D22" s="13">
        <v>19926</v>
      </c>
      <c r="E22">
        <f t="shared" si="11"/>
        <v>3410</v>
      </c>
      <c r="F22" s="13">
        <v>2163</v>
      </c>
      <c r="G22" s="13">
        <v>714</v>
      </c>
      <c r="H22" s="13">
        <v>431</v>
      </c>
      <c r="I22" s="13">
        <v>337</v>
      </c>
      <c r="J22" s="13">
        <v>537</v>
      </c>
      <c r="K22" s="13">
        <v>459</v>
      </c>
      <c r="L22" s="13">
        <v>547</v>
      </c>
      <c r="M22" s="13">
        <v>273</v>
      </c>
      <c r="N22" s="13">
        <v>1139</v>
      </c>
      <c r="O22" s="13">
        <v>965</v>
      </c>
      <c r="P22" s="13">
        <v>3091</v>
      </c>
      <c r="Q22" s="13">
        <v>2201</v>
      </c>
      <c r="R22" s="13">
        <v>7062</v>
      </c>
      <c r="S22">
        <f t="shared" si="2"/>
        <v>3410</v>
      </c>
      <c r="T22">
        <f t="shared" si="3"/>
        <v>2000.7750000000001</v>
      </c>
      <c r="U22">
        <f t="shared" si="4"/>
        <v>553.35</v>
      </c>
      <c r="V22">
        <f t="shared" si="5"/>
        <v>280.15000000000003</v>
      </c>
      <c r="W22">
        <f t="shared" si="6"/>
        <v>185.35000000000002</v>
      </c>
      <c r="X22">
        <f t="shared" si="7"/>
        <v>241.65</v>
      </c>
      <c r="Y22">
        <f t="shared" si="8"/>
        <v>149.17500000000001</v>
      </c>
      <c r="Z22">
        <f t="shared" si="9"/>
        <v>95.724999999999994</v>
      </c>
      <c r="AA22">
        <f t="shared" si="10"/>
        <v>13.65</v>
      </c>
      <c r="AB22" s="4">
        <f t="shared" si="12"/>
        <v>0.29695856187864245</v>
      </c>
    </row>
    <row r="23" spans="1:28" x14ac:dyDescent="0.35">
      <c r="A23" s="13" t="s">
        <v>33</v>
      </c>
      <c r="B23" s="13">
        <v>24</v>
      </c>
      <c r="C23">
        <f>VLOOKUP(CONCATENATE("2022",'2022_60'!A23),aktivnepesseg!$C$2:$D$2226,2,FALSE)</f>
        <v>6971</v>
      </c>
      <c r="D23" s="13">
        <v>5527</v>
      </c>
      <c r="E23">
        <f t="shared" si="11"/>
        <v>1444</v>
      </c>
      <c r="F23" s="13">
        <v>861</v>
      </c>
      <c r="G23" s="13">
        <v>250</v>
      </c>
      <c r="H23" s="13">
        <v>95</v>
      </c>
      <c r="I23" s="13">
        <v>93</v>
      </c>
      <c r="J23" s="13">
        <v>144</v>
      </c>
      <c r="K23" s="13">
        <v>114</v>
      </c>
      <c r="L23" s="13">
        <v>155</v>
      </c>
      <c r="M23" s="13">
        <v>89</v>
      </c>
      <c r="N23" s="13">
        <v>291</v>
      </c>
      <c r="O23" s="13">
        <v>277</v>
      </c>
      <c r="P23" s="13">
        <v>1083</v>
      </c>
      <c r="Q23" s="13">
        <v>656</v>
      </c>
      <c r="R23" s="13">
        <v>1365</v>
      </c>
      <c r="S23">
        <f t="shared" si="2"/>
        <v>1444</v>
      </c>
      <c r="T23">
        <f t="shared" si="3"/>
        <v>796.42500000000007</v>
      </c>
      <c r="U23">
        <f t="shared" si="4"/>
        <v>193.75</v>
      </c>
      <c r="V23">
        <f t="shared" si="5"/>
        <v>61.75</v>
      </c>
      <c r="W23">
        <f t="shared" si="6"/>
        <v>51.150000000000006</v>
      </c>
      <c r="X23">
        <f t="shared" si="7"/>
        <v>64.8</v>
      </c>
      <c r="Y23">
        <f t="shared" si="8"/>
        <v>37.050000000000004</v>
      </c>
      <c r="Z23">
        <f t="shared" si="9"/>
        <v>27.125</v>
      </c>
      <c r="AA23">
        <f t="shared" si="10"/>
        <v>4.45</v>
      </c>
      <c r="AB23" s="4">
        <f t="shared" si="12"/>
        <v>0.38452158944197395</v>
      </c>
    </row>
    <row r="24" spans="1:28" x14ac:dyDescent="0.35">
      <c r="A24" s="13" t="s">
        <v>35</v>
      </c>
      <c r="B24" s="13">
        <v>170</v>
      </c>
      <c r="C24">
        <f>VLOOKUP(CONCATENATE("2022",'2022_60'!A24),aktivnepesseg!$C$2:$D$2226,2,FALSE)</f>
        <v>17436</v>
      </c>
      <c r="D24" s="13">
        <v>13882</v>
      </c>
      <c r="E24">
        <f t="shared" si="11"/>
        <v>3554</v>
      </c>
      <c r="F24" s="13">
        <v>2304</v>
      </c>
      <c r="G24" s="13">
        <v>522</v>
      </c>
      <c r="H24" s="13">
        <v>275</v>
      </c>
      <c r="I24" s="13">
        <v>250</v>
      </c>
      <c r="J24" s="13">
        <v>414</v>
      </c>
      <c r="K24" s="13">
        <v>351</v>
      </c>
      <c r="L24" s="13">
        <v>379</v>
      </c>
      <c r="M24" s="13">
        <v>213</v>
      </c>
      <c r="N24" s="13">
        <v>1005</v>
      </c>
      <c r="O24" s="13">
        <v>865</v>
      </c>
      <c r="P24" s="13">
        <v>2635</v>
      </c>
      <c r="Q24" s="13">
        <v>1513</v>
      </c>
      <c r="R24" s="13">
        <v>3097</v>
      </c>
      <c r="S24">
        <f t="shared" si="2"/>
        <v>3554</v>
      </c>
      <c r="T24">
        <f t="shared" si="3"/>
        <v>2131.2000000000003</v>
      </c>
      <c r="U24">
        <f t="shared" si="4"/>
        <v>404.55</v>
      </c>
      <c r="V24">
        <f t="shared" si="5"/>
        <v>178.75</v>
      </c>
      <c r="W24">
        <f t="shared" si="6"/>
        <v>137.5</v>
      </c>
      <c r="X24">
        <f t="shared" si="7"/>
        <v>186.3</v>
      </c>
      <c r="Y24">
        <f t="shared" si="8"/>
        <v>114.075</v>
      </c>
      <c r="Z24">
        <f t="shared" si="9"/>
        <v>66.325000000000003</v>
      </c>
      <c r="AA24">
        <f t="shared" si="10"/>
        <v>10.65</v>
      </c>
      <c r="AB24" s="4">
        <f t="shared" si="12"/>
        <v>0.38904278504244094</v>
      </c>
    </row>
    <row r="25" spans="1:28" x14ac:dyDescent="0.35">
      <c r="A25" s="13" t="s">
        <v>37</v>
      </c>
      <c r="B25" s="13">
        <v>123</v>
      </c>
      <c r="C25">
        <f>VLOOKUP(CONCATENATE("2022",'2022_60'!A25),aktivnepesseg!$C$2:$D$2226,2,FALSE)</f>
        <v>60464</v>
      </c>
      <c r="D25" s="13">
        <v>51152</v>
      </c>
      <c r="E25">
        <f t="shared" si="11"/>
        <v>9312</v>
      </c>
      <c r="F25" s="13">
        <v>6173</v>
      </c>
      <c r="G25" s="13">
        <v>1732</v>
      </c>
      <c r="H25" s="13">
        <v>1236</v>
      </c>
      <c r="I25" s="13">
        <v>877</v>
      </c>
      <c r="J25" s="13">
        <v>1289</v>
      </c>
      <c r="K25" s="13">
        <v>1182</v>
      </c>
      <c r="L25" s="13">
        <v>1468</v>
      </c>
      <c r="M25" s="13">
        <v>695</v>
      </c>
      <c r="N25" s="13">
        <v>2765</v>
      </c>
      <c r="O25" s="13">
        <v>2007</v>
      </c>
      <c r="P25" s="13">
        <v>6656</v>
      </c>
      <c r="Q25" s="13">
        <v>4354</v>
      </c>
      <c r="R25" s="13">
        <v>20718</v>
      </c>
      <c r="S25">
        <f t="shared" si="2"/>
        <v>9312</v>
      </c>
      <c r="T25">
        <f t="shared" si="3"/>
        <v>5710.0250000000005</v>
      </c>
      <c r="U25">
        <f t="shared" si="4"/>
        <v>1342.3</v>
      </c>
      <c r="V25">
        <f t="shared" si="5"/>
        <v>803.4</v>
      </c>
      <c r="W25">
        <f t="shared" si="6"/>
        <v>482.35</v>
      </c>
      <c r="X25">
        <f t="shared" si="7"/>
        <v>580.05000000000007</v>
      </c>
      <c r="Y25">
        <f t="shared" si="8"/>
        <v>384.15000000000003</v>
      </c>
      <c r="Z25">
        <f t="shared" si="9"/>
        <v>256.89999999999998</v>
      </c>
      <c r="AA25">
        <f t="shared" si="10"/>
        <v>34.75</v>
      </c>
      <c r="AB25" s="4">
        <f t="shared" si="12"/>
        <v>0.31268068602804977</v>
      </c>
    </row>
    <row r="26" spans="1:28" x14ac:dyDescent="0.35">
      <c r="A26" s="13" t="s">
        <v>41</v>
      </c>
      <c r="B26" s="13">
        <v>1</v>
      </c>
      <c r="C26">
        <f>VLOOKUP(CONCATENATE("2022",'2022_60'!A26),aktivnepesseg!$C$2:$D$2226,2,FALSE)</f>
        <v>14685</v>
      </c>
      <c r="D26" s="13">
        <v>13218</v>
      </c>
      <c r="E26">
        <f t="shared" si="11"/>
        <v>1467</v>
      </c>
      <c r="F26" s="13">
        <v>1970</v>
      </c>
      <c r="G26" s="13">
        <v>523</v>
      </c>
      <c r="H26" s="13">
        <v>341</v>
      </c>
      <c r="I26" s="13">
        <v>281</v>
      </c>
      <c r="J26" s="13">
        <v>326</v>
      </c>
      <c r="K26" s="13">
        <v>329</v>
      </c>
      <c r="L26" s="13">
        <v>345</v>
      </c>
      <c r="M26" s="13">
        <v>166</v>
      </c>
      <c r="N26" s="13">
        <v>665</v>
      </c>
      <c r="O26" s="13">
        <v>444</v>
      </c>
      <c r="P26" s="13">
        <v>1410</v>
      </c>
      <c r="Q26" s="13">
        <v>913</v>
      </c>
      <c r="R26" s="13">
        <v>5505</v>
      </c>
      <c r="S26">
        <f t="shared" si="2"/>
        <v>1467</v>
      </c>
      <c r="T26">
        <f t="shared" si="3"/>
        <v>1822.25</v>
      </c>
      <c r="U26">
        <f t="shared" si="4"/>
        <v>405.32499999999999</v>
      </c>
      <c r="V26">
        <f t="shared" si="5"/>
        <v>221.65</v>
      </c>
      <c r="W26">
        <f t="shared" si="6"/>
        <v>154.55000000000001</v>
      </c>
      <c r="X26">
        <f t="shared" si="7"/>
        <v>146.70000000000002</v>
      </c>
      <c r="Y26">
        <f t="shared" si="8"/>
        <v>106.925</v>
      </c>
      <c r="Z26">
        <f t="shared" si="9"/>
        <v>60.374999999999993</v>
      </c>
      <c r="AA26">
        <f t="shared" si="10"/>
        <v>8.3000000000000007</v>
      </c>
      <c r="AB26" s="4">
        <f t="shared" si="12"/>
        <v>0.29915389853592106</v>
      </c>
    </row>
    <row r="27" spans="1:28" x14ac:dyDescent="0.35">
      <c r="A27" s="13" t="s">
        <v>43</v>
      </c>
      <c r="B27" s="13">
        <v>2</v>
      </c>
      <c r="C27">
        <f>VLOOKUP(CONCATENATE("2022",'2022_60'!A27),aktivnepesseg!$C$2:$D$2226,2,FALSE)</f>
        <v>50339</v>
      </c>
      <c r="D27" s="13">
        <v>42287</v>
      </c>
      <c r="E27">
        <f t="shared" si="11"/>
        <v>8052</v>
      </c>
      <c r="F27" s="13">
        <v>6608</v>
      </c>
      <c r="G27" s="13">
        <v>1514</v>
      </c>
      <c r="H27" s="13">
        <v>986</v>
      </c>
      <c r="I27" s="13">
        <v>749</v>
      </c>
      <c r="J27" s="13">
        <v>1121</v>
      </c>
      <c r="K27" s="13">
        <v>903</v>
      </c>
      <c r="L27" s="13">
        <v>1161</v>
      </c>
      <c r="M27" s="13">
        <v>542</v>
      </c>
      <c r="N27" s="13">
        <v>1967</v>
      </c>
      <c r="O27" s="13">
        <v>1330</v>
      </c>
      <c r="P27" s="13">
        <v>4391</v>
      </c>
      <c r="Q27" s="13">
        <v>2820</v>
      </c>
      <c r="R27" s="13">
        <v>18195</v>
      </c>
      <c r="S27">
        <f t="shared" si="2"/>
        <v>8052</v>
      </c>
      <c r="T27">
        <f t="shared" si="3"/>
        <v>6112.4000000000005</v>
      </c>
      <c r="U27">
        <f t="shared" si="4"/>
        <v>1173.3500000000001</v>
      </c>
      <c r="V27">
        <f t="shared" si="5"/>
        <v>640.9</v>
      </c>
      <c r="W27">
        <f t="shared" si="6"/>
        <v>411.95000000000005</v>
      </c>
      <c r="X27">
        <f t="shared" si="7"/>
        <v>504.45</v>
      </c>
      <c r="Y27">
        <f t="shared" si="8"/>
        <v>293.47500000000002</v>
      </c>
      <c r="Z27">
        <f t="shared" si="9"/>
        <v>203.17499999999998</v>
      </c>
      <c r="AA27">
        <f t="shared" si="10"/>
        <v>27.1</v>
      </c>
      <c r="AB27" s="4">
        <f t="shared" si="12"/>
        <v>0.34602991716164405</v>
      </c>
    </row>
    <row r="28" spans="1:28" x14ac:dyDescent="0.35">
      <c r="A28" s="13" t="s">
        <v>45</v>
      </c>
      <c r="B28" s="13">
        <v>3</v>
      </c>
      <c r="C28">
        <f>VLOOKUP(CONCATENATE("2022",'2022_60'!A28),aktivnepesseg!$C$2:$D$2226,2,FALSE)</f>
        <v>78824</v>
      </c>
      <c r="D28" s="13">
        <v>66000</v>
      </c>
      <c r="E28">
        <f t="shared" si="11"/>
        <v>12824</v>
      </c>
      <c r="F28" s="13">
        <v>8181</v>
      </c>
      <c r="G28" s="13">
        <v>2291</v>
      </c>
      <c r="H28" s="13">
        <v>1576</v>
      </c>
      <c r="I28" s="13">
        <v>1109</v>
      </c>
      <c r="J28" s="13">
        <v>1649</v>
      </c>
      <c r="K28" s="13">
        <v>1542</v>
      </c>
      <c r="L28" s="13">
        <v>1811</v>
      </c>
      <c r="M28" s="13">
        <v>853</v>
      </c>
      <c r="N28" s="13">
        <v>3513</v>
      </c>
      <c r="O28" s="13">
        <v>2483</v>
      </c>
      <c r="P28" s="13">
        <v>7684</v>
      </c>
      <c r="Q28" s="13">
        <v>5710</v>
      </c>
      <c r="R28" s="13">
        <v>27598</v>
      </c>
      <c r="S28">
        <f t="shared" si="2"/>
        <v>12824</v>
      </c>
      <c r="T28">
        <f t="shared" si="3"/>
        <v>7567.4250000000002</v>
      </c>
      <c r="U28">
        <f t="shared" si="4"/>
        <v>1775.5250000000001</v>
      </c>
      <c r="V28">
        <f t="shared" si="5"/>
        <v>1024.4000000000001</v>
      </c>
      <c r="W28">
        <f t="shared" si="6"/>
        <v>609.95000000000005</v>
      </c>
      <c r="X28">
        <f t="shared" si="7"/>
        <v>742.05000000000007</v>
      </c>
      <c r="Y28">
        <f t="shared" si="8"/>
        <v>501.15000000000003</v>
      </c>
      <c r="Z28">
        <f t="shared" si="9"/>
        <v>316.92499999999995</v>
      </c>
      <c r="AA28">
        <f t="shared" si="10"/>
        <v>42.650000000000006</v>
      </c>
      <c r="AB28" s="4">
        <f t="shared" si="12"/>
        <v>0.32228857962042023</v>
      </c>
    </row>
    <row r="29" spans="1:28" x14ac:dyDescent="0.35">
      <c r="A29" s="13" t="s">
        <v>47</v>
      </c>
      <c r="B29" s="13">
        <v>4</v>
      </c>
      <c r="C29">
        <f>VLOOKUP(CONCATENATE("2022",'2022_60'!A29),aktivnepesseg!$C$2:$D$2226,2,FALSE)</f>
        <v>62149</v>
      </c>
      <c r="D29" s="13">
        <v>50748</v>
      </c>
      <c r="E29">
        <f t="shared" si="11"/>
        <v>11401</v>
      </c>
      <c r="F29" s="13">
        <v>5360</v>
      </c>
      <c r="G29" s="13">
        <v>1836</v>
      </c>
      <c r="H29" s="13">
        <v>1183</v>
      </c>
      <c r="I29" s="13">
        <v>814</v>
      </c>
      <c r="J29" s="13">
        <v>1328</v>
      </c>
      <c r="K29" s="13">
        <v>1222</v>
      </c>
      <c r="L29" s="13">
        <v>1350</v>
      </c>
      <c r="M29" s="13">
        <v>713</v>
      </c>
      <c r="N29" s="13">
        <v>2674</v>
      </c>
      <c r="O29" s="13">
        <v>1959</v>
      </c>
      <c r="P29" s="13">
        <v>6431</v>
      </c>
      <c r="Q29" s="13">
        <v>4772</v>
      </c>
      <c r="R29" s="13">
        <v>21106</v>
      </c>
      <c r="S29">
        <f t="shared" si="2"/>
        <v>11401</v>
      </c>
      <c r="T29">
        <f t="shared" si="3"/>
        <v>4958</v>
      </c>
      <c r="U29">
        <f t="shared" si="4"/>
        <v>1422.9</v>
      </c>
      <c r="V29">
        <f t="shared" si="5"/>
        <v>768.95</v>
      </c>
      <c r="W29">
        <f t="shared" si="6"/>
        <v>447.70000000000005</v>
      </c>
      <c r="X29">
        <f t="shared" si="7"/>
        <v>597.6</v>
      </c>
      <c r="Y29">
        <f t="shared" si="8"/>
        <v>397.15000000000003</v>
      </c>
      <c r="Z29">
        <f t="shared" si="9"/>
        <v>236.24999999999997</v>
      </c>
      <c r="AA29">
        <f t="shared" si="10"/>
        <v>35.65</v>
      </c>
      <c r="AB29" s="4">
        <f t="shared" si="12"/>
        <v>0.32607443402146463</v>
      </c>
    </row>
    <row r="30" spans="1:28" x14ac:dyDescent="0.35">
      <c r="A30" s="13" t="s">
        <v>49</v>
      </c>
      <c r="B30" s="13">
        <v>5</v>
      </c>
      <c r="C30">
        <f>VLOOKUP(CONCATENATE("2022",'2022_60'!A30),aktivnepesseg!$C$2:$D$2226,2,FALSE)</f>
        <v>15078</v>
      </c>
      <c r="D30" s="13">
        <v>12531</v>
      </c>
      <c r="E30">
        <f t="shared" si="11"/>
        <v>2547</v>
      </c>
      <c r="F30" s="13">
        <v>1920</v>
      </c>
      <c r="G30" s="13">
        <v>521</v>
      </c>
      <c r="H30" s="13">
        <v>389</v>
      </c>
      <c r="I30" s="13">
        <v>277</v>
      </c>
      <c r="J30" s="13">
        <v>354</v>
      </c>
      <c r="K30" s="13">
        <v>343</v>
      </c>
      <c r="L30" s="13">
        <v>362</v>
      </c>
      <c r="M30" s="13">
        <v>195</v>
      </c>
      <c r="N30" s="13">
        <v>711</v>
      </c>
      <c r="O30" s="13">
        <v>491</v>
      </c>
      <c r="P30" s="13">
        <v>1425</v>
      </c>
      <c r="Q30" s="13">
        <v>844</v>
      </c>
      <c r="R30" s="13">
        <v>4699</v>
      </c>
      <c r="S30">
        <f t="shared" si="2"/>
        <v>2547</v>
      </c>
      <c r="T30">
        <f t="shared" si="3"/>
        <v>1776</v>
      </c>
      <c r="U30">
        <f t="shared" si="4"/>
        <v>403.77500000000003</v>
      </c>
      <c r="V30">
        <f t="shared" si="5"/>
        <v>252.85000000000002</v>
      </c>
      <c r="W30">
        <f t="shared" si="6"/>
        <v>152.35000000000002</v>
      </c>
      <c r="X30">
        <f t="shared" si="7"/>
        <v>159.30000000000001</v>
      </c>
      <c r="Y30">
        <f t="shared" si="8"/>
        <v>111.47500000000001</v>
      </c>
      <c r="Z30">
        <f t="shared" si="9"/>
        <v>63.349999999999994</v>
      </c>
      <c r="AA30">
        <f t="shared" si="10"/>
        <v>9.75</v>
      </c>
      <c r="AB30" s="4">
        <f t="shared" si="12"/>
        <v>0.36316819206791362</v>
      </c>
    </row>
    <row r="31" spans="1:28" x14ac:dyDescent="0.35">
      <c r="A31" s="13" t="s">
        <v>51</v>
      </c>
      <c r="B31" s="13">
        <v>6</v>
      </c>
      <c r="C31">
        <f>VLOOKUP(CONCATENATE("2022",'2022_60'!A31),aktivnepesseg!$C$2:$D$2226,2,FALSE)</f>
        <v>26326</v>
      </c>
      <c r="D31" s="13">
        <v>17746</v>
      </c>
      <c r="E31">
        <f t="shared" si="11"/>
        <v>8580</v>
      </c>
      <c r="F31" s="13">
        <v>2462</v>
      </c>
      <c r="G31" s="13">
        <v>813</v>
      </c>
      <c r="H31" s="13">
        <v>531</v>
      </c>
      <c r="I31" s="13">
        <v>377</v>
      </c>
      <c r="J31" s="13">
        <v>476</v>
      </c>
      <c r="K31" s="13">
        <v>486</v>
      </c>
      <c r="L31" s="13">
        <v>537</v>
      </c>
      <c r="M31" s="13">
        <v>282</v>
      </c>
      <c r="N31" s="13">
        <v>1058</v>
      </c>
      <c r="O31" s="13">
        <v>731</v>
      </c>
      <c r="P31" s="13">
        <v>1980</v>
      </c>
      <c r="Q31" s="13">
        <v>1258</v>
      </c>
      <c r="R31" s="13">
        <v>6755</v>
      </c>
      <c r="S31">
        <f t="shared" si="2"/>
        <v>8580</v>
      </c>
      <c r="T31">
        <f t="shared" si="3"/>
        <v>2277.35</v>
      </c>
      <c r="U31">
        <f t="shared" si="4"/>
        <v>630.07500000000005</v>
      </c>
      <c r="V31">
        <f t="shared" si="5"/>
        <v>345.15000000000003</v>
      </c>
      <c r="W31">
        <f t="shared" si="6"/>
        <v>207.35000000000002</v>
      </c>
      <c r="X31">
        <f t="shared" si="7"/>
        <v>214.20000000000002</v>
      </c>
      <c r="Y31">
        <f t="shared" si="8"/>
        <v>157.95000000000002</v>
      </c>
      <c r="Z31">
        <f t="shared" si="9"/>
        <v>93.974999999999994</v>
      </c>
      <c r="AA31">
        <f t="shared" si="10"/>
        <v>14.100000000000001</v>
      </c>
      <c r="AB31" s="4">
        <f t="shared" si="12"/>
        <v>0.47558117450429244</v>
      </c>
    </row>
    <row r="32" spans="1:28" x14ac:dyDescent="0.35">
      <c r="A32" s="13" t="s">
        <v>53</v>
      </c>
      <c r="B32" s="13">
        <v>7</v>
      </c>
      <c r="C32">
        <f>VLOOKUP(CONCATENATE("2022",'2022_60'!A32),aktivnepesseg!$C$2:$D$2226,2,FALSE)</f>
        <v>36575</v>
      </c>
      <c r="D32" s="13">
        <v>24955</v>
      </c>
      <c r="E32">
        <f t="shared" si="11"/>
        <v>11620</v>
      </c>
      <c r="F32" s="13">
        <v>3415</v>
      </c>
      <c r="G32" s="13">
        <v>1146</v>
      </c>
      <c r="H32" s="13">
        <v>780</v>
      </c>
      <c r="I32" s="13">
        <v>549</v>
      </c>
      <c r="J32" s="13">
        <v>783</v>
      </c>
      <c r="K32" s="13">
        <v>681</v>
      </c>
      <c r="L32" s="13">
        <v>810</v>
      </c>
      <c r="M32" s="13">
        <v>369</v>
      </c>
      <c r="N32" s="13">
        <v>1495</v>
      </c>
      <c r="O32" s="13">
        <v>1060</v>
      </c>
      <c r="P32" s="13">
        <v>2842</v>
      </c>
      <c r="Q32" s="13">
        <v>1992</v>
      </c>
      <c r="R32" s="13">
        <v>9033</v>
      </c>
      <c r="S32">
        <f t="shared" si="2"/>
        <v>11620</v>
      </c>
      <c r="T32">
        <f t="shared" si="3"/>
        <v>3158.875</v>
      </c>
      <c r="U32">
        <f t="shared" si="4"/>
        <v>888.15</v>
      </c>
      <c r="V32">
        <f t="shared" si="5"/>
        <v>507</v>
      </c>
      <c r="W32">
        <f t="shared" si="6"/>
        <v>301.95000000000005</v>
      </c>
      <c r="X32">
        <f t="shared" si="7"/>
        <v>352.35</v>
      </c>
      <c r="Y32">
        <f t="shared" si="8"/>
        <v>221.32500000000002</v>
      </c>
      <c r="Z32">
        <f t="shared" si="9"/>
        <v>141.75</v>
      </c>
      <c r="AA32">
        <f t="shared" si="10"/>
        <v>18.45</v>
      </c>
      <c r="AB32" s="4">
        <f t="shared" si="12"/>
        <v>0.47053588516746409</v>
      </c>
    </row>
    <row r="33" spans="1:28" x14ac:dyDescent="0.35">
      <c r="A33" s="13" t="s">
        <v>55</v>
      </c>
      <c r="B33" s="13">
        <v>8</v>
      </c>
      <c r="C33">
        <f>VLOOKUP(CONCATENATE("2022",'2022_60'!A33),aktivnepesseg!$C$2:$D$2226,2,FALSE)</f>
        <v>52720</v>
      </c>
      <c r="D33" s="13">
        <v>35887</v>
      </c>
      <c r="E33">
        <f t="shared" si="11"/>
        <v>16833</v>
      </c>
      <c r="F33" s="13">
        <v>4758</v>
      </c>
      <c r="G33" s="13">
        <v>1866</v>
      </c>
      <c r="H33" s="13">
        <v>1172</v>
      </c>
      <c r="I33" s="13">
        <v>903</v>
      </c>
      <c r="J33" s="13">
        <v>1213</v>
      </c>
      <c r="K33" s="13">
        <v>1070</v>
      </c>
      <c r="L33" s="13">
        <v>1220</v>
      </c>
      <c r="M33" s="13">
        <v>649</v>
      </c>
      <c r="N33" s="13">
        <v>2250</v>
      </c>
      <c r="O33" s="13">
        <v>1588</v>
      </c>
      <c r="P33" s="13">
        <v>3857</v>
      </c>
      <c r="Q33" s="13">
        <v>2926</v>
      </c>
      <c r="R33" s="13">
        <v>12415</v>
      </c>
      <c r="S33">
        <f t="shared" si="2"/>
        <v>16833</v>
      </c>
      <c r="T33">
        <f t="shared" si="3"/>
        <v>4401.1500000000005</v>
      </c>
      <c r="U33">
        <f t="shared" si="4"/>
        <v>1446.15</v>
      </c>
      <c r="V33">
        <f t="shared" si="5"/>
        <v>761.80000000000007</v>
      </c>
      <c r="W33">
        <f t="shared" si="6"/>
        <v>496.65000000000003</v>
      </c>
      <c r="X33">
        <f t="shared" si="7"/>
        <v>545.85</v>
      </c>
      <c r="Y33">
        <f t="shared" si="8"/>
        <v>347.75</v>
      </c>
      <c r="Z33">
        <f t="shared" si="9"/>
        <v>213.5</v>
      </c>
      <c r="AA33">
        <f t="shared" si="10"/>
        <v>32.450000000000003</v>
      </c>
      <c r="AB33" s="4">
        <f t="shared" si="12"/>
        <v>0.4756885432473445</v>
      </c>
    </row>
    <row r="34" spans="1:28" x14ac:dyDescent="0.35">
      <c r="A34" s="13" t="s">
        <v>57</v>
      </c>
      <c r="B34" s="13">
        <v>9</v>
      </c>
      <c r="C34">
        <f>VLOOKUP(CONCATENATE("2022",'2022_60'!A34),aktivnepesseg!$C$2:$D$2226,2,FALSE)</f>
        <v>44066</v>
      </c>
      <c r="D34" s="13">
        <v>29251</v>
      </c>
      <c r="E34">
        <f t="shared" si="11"/>
        <v>14815</v>
      </c>
      <c r="F34" s="13">
        <v>3480</v>
      </c>
      <c r="G34" s="13">
        <v>1128</v>
      </c>
      <c r="H34" s="13">
        <v>716</v>
      </c>
      <c r="I34" s="13">
        <v>542</v>
      </c>
      <c r="J34" s="13">
        <v>752</v>
      </c>
      <c r="K34" s="13">
        <v>701</v>
      </c>
      <c r="L34" s="13">
        <v>789</v>
      </c>
      <c r="M34" s="13">
        <v>382</v>
      </c>
      <c r="N34" s="13">
        <v>1545</v>
      </c>
      <c r="O34" s="13">
        <v>1159</v>
      </c>
      <c r="P34" s="13">
        <v>3087</v>
      </c>
      <c r="Q34" s="13">
        <v>2334</v>
      </c>
      <c r="R34" s="13">
        <v>12636</v>
      </c>
      <c r="S34">
        <f t="shared" si="2"/>
        <v>14815</v>
      </c>
      <c r="T34">
        <f t="shared" si="3"/>
        <v>3219</v>
      </c>
      <c r="U34">
        <f t="shared" si="4"/>
        <v>874.2</v>
      </c>
      <c r="V34">
        <f t="shared" si="5"/>
        <v>465.40000000000003</v>
      </c>
      <c r="W34">
        <f t="shared" si="6"/>
        <v>298.10000000000002</v>
      </c>
      <c r="X34">
        <f t="shared" si="7"/>
        <v>338.40000000000003</v>
      </c>
      <c r="Y34">
        <f t="shared" si="8"/>
        <v>227.82500000000002</v>
      </c>
      <c r="Z34">
        <f t="shared" si="9"/>
        <v>138.07499999999999</v>
      </c>
      <c r="AA34">
        <f t="shared" si="10"/>
        <v>19.100000000000001</v>
      </c>
      <c r="AB34" s="4">
        <f t="shared" si="12"/>
        <v>0.46283075386919625</v>
      </c>
    </row>
    <row r="35" spans="1:28" x14ac:dyDescent="0.35">
      <c r="A35" s="13" t="s">
        <v>59</v>
      </c>
      <c r="B35" s="13">
        <v>10</v>
      </c>
      <c r="C35">
        <f>VLOOKUP(CONCATENATE("2022",'2022_60'!A35),aktivnepesseg!$C$2:$D$2226,2,FALSE)</f>
        <v>52316</v>
      </c>
      <c r="D35" s="13">
        <v>38351</v>
      </c>
      <c r="E35">
        <f t="shared" si="11"/>
        <v>13965</v>
      </c>
      <c r="F35" s="13">
        <v>4087</v>
      </c>
      <c r="G35" s="13">
        <v>1578</v>
      </c>
      <c r="H35" s="13">
        <v>1030</v>
      </c>
      <c r="I35" s="13">
        <v>792</v>
      </c>
      <c r="J35" s="13">
        <v>1203</v>
      </c>
      <c r="K35" s="13">
        <v>1030</v>
      </c>
      <c r="L35" s="13">
        <v>1189</v>
      </c>
      <c r="M35" s="13">
        <v>557</v>
      </c>
      <c r="N35" s="13">
        <v>2646</v>
      </c>
      <c r="O35" s="13">
        <v>1777</v>
      </c>
      <c r="P35" s="13">
        <v>4849</v>
      </c>
      <c r="Q35" s="13">
        <v>3501</v>
      </c>
      <c r="R35" s="13">
        <v>14112</v>
      </c>
      <c r="S35">
        <f t="shared" si="2"/>
        <v>13965</v>
      </c>
      <c r="T35">
        <f t="shared" si="3"/>
        <v>3780.4750000000004</v>
      </c>
      <c r="U35">
        <f t="shared" si="4"/>
        <v>1222.95</v>
      </c>
      <c r="V35">
        <f t="shared" si="5"/>
        <v>669.5</v>
      </c>
      <c r="W35">
        <f t="shared" si="6"/>
        <v>435.6</v>
      </c>
      <c r="X35">
        <f t="shared" si="7"/>
        <v>541.35</v>
      </c>
      <c r="Y35">
        <f t="shared" si="8"/>
        <v>334.75</v>
      </c>
      <c r="Z35">
        <f t="shared" si="9"/>
        <v>208.07499999999999</v>
      </c>
      <c r="AA35">
        <f t="shared" si="10"/>
        <v>27.85</v>
      </c>
      <c r="AB35" s="4">
        <f t="shared" si="12"/>
        <v>0.40495355149476253</v>
      </c>
    </row>
    <row r="36" spans="1:28" x14ac:dyDescent="0.35">
      <c r="A36" s="13" t="s">
        <v>61</v>
      </c>
      <c r="B36" s="13">
        <v>11</v>
      </c>
      <c r="C36">
        <f>VLOOKUP(CONCATENATE("2022",'2022_60'!A36),aktivnepesseg!$C$2:$D$2226,2,FALSE)</f>
        <v>90645</v>
      </c>
      <c r="D36" s="13">
        <v>69184</v>
      </c>
      <c r="E36">
        <f t="shared" si="11"/>
        <v>21461</v>
      </c>
      <c r="F36" s="13">
        <v>8927</v>
      </c>
      <c r="G36" s="13">
        <v>2395</v>
      </c>
      <c r="H36" s="13">
        <v>1576</v>
      </c>
      <c r="I36" s="13">
        <v>1275</v>
      </c>
      <c r="J36" s="13">
        <v>1628</v>
      </c>
      <c r="K36" s="13">
        <v>1612</v>
      </c>
      <c r="L36" s="13">
        <v>1837</v>
      </c>
      <c r="M36" s="13">
        <v>824</v>
      </c>
      <c r="N36" s="13">
        <v>3250</v>
      </c>
      <c r="O36" s="13">
        <v>2461</v>
      </c>
      <c r="P36" s="13">
        <v>7412</v>
      </c>
      <c r="Q36" s="13">
        <v>5226</v>
      </c>
      <c r="R36" s="13">
        <v>30761</v>
      </c>
      <c r="S36">
        <f t="shared" si="2"/>
        <v>21461</v>
      </c>
      <c r="T36">
        <f t="shared" si="3"/>
        <v>8257.4750000000004</v>
      </c>
      <c r="U36">
        <f t="shared" si="4"/>
        <v>1856.125</v>
      </c>
      <c r="V36">
        <f t="shared" si="5"/>
        <v>1024.4000000000001</v>
      </c>
      <c r="W36">
        <f t="shared" si="6"/>
        <v>701.25</v>
      </c>
      <c r="X36">
        <f t="shared" si="7"/>
        <v>732.6</v>
      </c>
      <c r="Y36">
        <f t="shared" si="8"/>
        <v>523.9</v>
      </c>
      <c r="Z36">
        <f t="shared" si="9"/>
        <v>321.47499999999997</v>
      </c>
      <c r="AA36">
        <f t="shared" si="10"/>
        <v>41.2</v>
      </c>
      <c r="AB36" s="4">
        <f t="shared" si="12"/>
        <v>0.38523277621490426</v>
      </c>
    </row>
    <row r="37" spans="1:28" x14ac:dyDescent="0.35">
      <c r="A37" s="13" t="s">
        <v>63</v>
      </c>
      <c r="B37" s="13">
        <v>12</v>
      </c>
      <c r="C37">
        <f>VLOOKUP(CONCATENATE("2022",'2022_60'!A37),aktivnepesseg!$C$2:$D$2226,2,FALSE)</f>
        <v>33449</v>
      </c>
      <c r="D37" s="13">
        <v>27816</v>
      </c>
      <c r="E37">
        <f t="shared" si="11"/>
        <v>5633</v>
      </c>
      <c r="F37" s="13">
        <v>4304</v>
      </c>
      <c r="G37" s="13">
        <v>860</v>
      </c>
      <c r="H37" s="13">
        <v>693</v>
      </c>
      <c r="I37" s="13">
        <v>493</v>
      </c>
      <c r="J37" s="13">
        <v>719</v>
      </c>
      <c r="K37" s="13">
        <v>622</v>
      </c>
      <c r="L37" s="13">
        <v>691</v>
      </c>
      <c r="M37" s="13">
        <v>303</v>
      </c>
      <c r="N37" s="13">
        <v>1198</v>
      </c>
      <c r="O37" s="13">
        <v>864</v>
      </c>
      <c r="P37" s="13">
        <v>2909</v>
      </c>
      <c r="Q37" s="13">
        <v>1848</v>
      </c>
      <c r="R37" s="13">
        <v>12312</v>
      </c>
      <c r="S37">
        <f t="shared" si="2"/>
        <v>5633</v>
      </c>
      <c r="T37">
        <f t="shared" si="3"/>
        <v>3981.2000000000003</v>
      </c>
      <c r="U37">
        <f t="shared" si="4"/>
        <v>666.5</v>
      </c>
      <c r="V37">
        <f t="shared" si="5"/>
        <v>450.45</v>
      </c>
      <c r="W37">
        <f t="shared" si="6"/>
        <v>271.15000000000003</v>
      </c>
      <c r="X37">
        <f t="shared" si="7"/>
        <v>323.55</v>
      </c>
      <c r="Y37">
        <f t="shared" si="8"/>
        <v>202.15</v>
      </c>
      <c r="Z37">
        <f t="shared" si="9"/>
        <v>120.925</v>
      </c>
      <c r="AA37">
        <f t="shared" si="10"/>
        <v>15.15</v>
      </c>
      <c r="AB37" s="4">
        <f t="shared" si="12"/>
        <v>0.34871221860145291</v>
      </c>
    </row>
    <row r="38" spans="1:28" x14ac:dyDescent="0.35">
      <c r="A38" s="13" t="s">
        <v>65</v>
      </c>
      <c r="B38" s="13">
        <v>13</v>
      </c>
      <c r="C38">
        <f>VLOOKUP(CONCATENATE("2022",'2022_60'!A38),aktivnepesseg!$C$2:$D$2226,2,FALSE)</f>
        <v>85005</v>
      </c>
      <c r="D38" s="13">
        <v>64614</v>
      </c>
      <c r="E38">
        <f t="shared" si="11"/>
        <v>20391</v>
      </c>
      <c r="F38" s="13">
        <v>7524</v>
      </c>
      <c r="G38" s="13">
        <v>2318</v>
      </c>
      <c r="H38" s="13">
        <v>1610</v>
      </c>
      <c r="I38" s="13">
        <v>1175</v>
      </c>
      <c r="J38" s="13">
        <v>1693</v>
      </c>
      <c r="K38" s="13">
        <v>1490</v>
      </c>
      <c r="L38" s="13">
        <v>1779</v>
      </c>
      <c r="M38" s="13">
        <v>929</v>
      </c>
      <c r="N38" s="13">
        <v>3465</v>
      </c>
      <c r="O38" s="13">
        <v>2333</v>
      </c>
      <c r="P38" s="13">
        <v>7020</v>
      </c>
      <c r="Q38" s="13">
        <v>4813</v>
      </c>
      <c r="R38" s="13">
        <v>28465</v>
      </c>
      <c r="S38">
        <f t="shared" si="2"/>
        <v>20391</v>
      </c>
      <c r="T38">
        <f t="shared" si="3"/>
        <v>6959.7000000000007</v>
      </c>
      <c r="U38">
        <f t="shared" si="4"/>
        <v>1796.45</v>
      </c>
      <c r="V38">
        <f t="shared" si="5"/>
        <v>1046.5</v>
      </c>
      <c r="W38">
        <f t="shared" si="6"/>
        <v>646.25</v>
      </c>
      <c r="X38">
        <f t="shared" si="7"/>
        <v>761.85</v>
      </c>
      <c r="Y38">
        <f t="shared" si="8"/>
        <v>484.25</v>
      </c>
      <c r="Z38">
        <f t="shared" si="9"/>
        <v>311.32499999999999</v>
      </c>
      <c r="AA38">
        <f t="shared" si="10"/>
        <v>46.45</v>
      </c>
      <c r="AB38" s="4">
        <f t="shared" si="12"/>
        <v>0.38166901946944298</v>
      </c>
    </row>
    <row r="39" spans="1:28" x14ac:dyDescent="0.35">
      <c r="A39" s="13" t="s">
        <v>67</v>
      </c>
      <c r="B39" s="13">
        <v>14</v>
      </c>
      <c r="C39">
        <f>VLOOKUP(CONCATENATE("2022",'2022_60'!A39),aktivnepesseg!$C$2:$D$2226,2,FALSE)</f>
        <v>78315</v>
      </c>
      <c r="D39" s="13">
        <v>58799</v>
      </c>
      <c r="E39">
        <f t="shared" si="11"/>
        <v>19516</v>
      </c>
      <c r="F39" s="13">
        <v>7125</v>
      </c>
      <c r="G39" s="13">
        <v>2091</v>
      </c>
      <c r="H39" s="13">
        <v>1340</v>
      </c>
      <c r="I39" s="13">
        <v>1058</v>
      </c>
      <c r="J39" s="13">
        <v>1506</v>
      </c>
      <c r="K39" s="13">
        <v>1264</v>
      </c>
      <c r="L39" s="13">
        <v>1551</v>
      </c>
      <c r="M39" s="13">
        <v>688</v>
      </c>
      <c r="N39" s="13">
        <v>3143</v>
      </c>
      <c r="O39" s="13">
        <v>2175</v>
      </c>
      <c r="P39" s="13">
        <v>6305</v>
      </c>
      <c r="Q39" s="13">
        <v>4822</v>
      </c>
      <c r="R39" s="13">
        <v>25731</v>
      </c>
      <c r="S39">
        <f t="shared" ref="S39:S70" si="13">E39*E$5</f>
        <v>19516</v>
      </c>
      <c r="T39">
        <f t="shared" ref="T39:T70" si="14">F39*F$5</f>
        <v>6590.625</v>
      </c>
      <c r="U39">
        <f t="shared" ref="U39:U70" si="15">G39*G$5</f>
        <v>1620.5250000000001</v>
      </c>
      <c r="V39">
        <f t="shared" ref="V39:V70" si="16">H39*H$5</f>
        <v>871</v>
      </c>
      <c r="W39">
        <f t="shared" ref="W39:W70" si="17">I39*I$5</f>
        <v>581.90000000000009</v>
      </c>
      <c r="X39">
        <f t="shared" ref="X39:X70" si="18">J39*J$5</f>
        <v>677.7</v>
      </c>
      <c r="Y39">
        <f t="shared" ref="Y39:Y70" si="19">K39*K$5</f>
        <v>410.8</v>
      </c>
      <c r="Z39">
        <f t="shared" ref="Z39:Z70" si="20">L39*L$5</f>
        <v>271.42499999999995</v>
      </c>
      <c r="AA39">
        <f t="shared" ref="AA39:AA70" si="21">M39*M$5</f>
        <v>34.4</v>
      </c>
      <c r="AB39" s="4">
        <f t="shared" si="12"/>
        <v>0.3904025410202388</v>
      </c>
    </row>
    <row r="40" spans="1:28" x14ac:dyDescent="0.35">
      <c r="A40" s="13" t="s">
        <v>69</v>
      </c>
      <c r="B40" s="13">
        <v>15</v>
      </c>
      <c r="C40">
        <f>VLOOKUP(CONCATENATE("2022",'2022_60'!A40),aktivnepesseg!$C$2:$D$2226,2,FALSE)</f>
        <v>50337</v>
      </c>
      <c r="D40" s="13">
        <v>40282</v>
      </c>
      <c r="E40">
        <f t="shared" si="11"/>
        <v>10055</v>
      </c>
      <c r="F40" s="13">
        <v>4369</v>
      </c>
      <c r="G40" s="13">
        <v>1647</v>
      </c>
      <c r="H40" s="13">
        <v>1124</v>
      </c>
      <c r="I40" s="13">
        <v>774</v>
      </c>
      <c r="J40" s="13">
        <v>1235</v>
      </c>
      <c r="K40" s="13">
        <v>1051</v>
      </c>
      <c r="L40" s="13">
        <v>1263</v>
      </c>
      <c r="M40" s="13">
        <v>642</v>
      </c>
      <c r="N40" s="13">
        <v>2524</v>
      </c>
      <c r="O40" s="13">
        <v>1776</v>
      </c>
      <c r="P40" s="13">
        <v>5316</v>
      </c>
      <c r="Q40" s="13">
        <v>4068</v>
      </c>
      <c r="R40" s="13">
        <v>14493</v>
      </c>
      <c r="S40">
        <f t="shared" si="13"/>
        <v>10055</v>
      </c>
      <c r="T40">
        <f t="shared" si="14"/>
        <v>4041.3250000000003</v>
      </c>
      <c r="U40">
        <f t="shared" si="15"/>
        <v>1276.425</v>
      </c>
      <c r="V40">
        <f t="shared" si="16"/>
        <v>730.6</v>
      </c>
      <c r="W40">
        <f t="shared" si="17"/>
        <v>425.70000000000005</v>
      </c>
      <c r="X40">
        <f t="shared" si="18"/>
        <v>555.75</v>
      </c>
      <c r="Y40">
        <f t="shared" si="19"/>
        <v>341.57499999999999</v>
      </c>
      <c r="Z40">
        <f t="shared" si="20"/>
        <v>221.02499999999998</v>
      </c>
      <c r="AA40">
        <f t="shared" si="21"/>
        <v>32.1</v>
      </c>
      <c r="AB40" s="4">
        <f t="shared" si="12"/>
        <v>0.35122275860698887</v>
      </c>
    </row>
    <row r="41" spans="1:28" x14ac:dyDescent="0.35">
      <c r="A41" s="13" t="s">
        <v>71</v>
      </c>
      <c r="B41" s="13">
        <v>16</v>
      </c>
      <c r="C41">
        <f>VLOOKUP(CONCATENATE("2022",'2022_60'!A41),aktivnepesseg!$C$2:$D$2226,2,FALSE)</f>
        <v>45089</v>
      </c>
      <c r="D41" s="13">
        <v>38088</v>
      </c>
      <c r="E41">
        <f t="shared" si="11"/>
        <v>7001</v>
      </c>
      <c r="F41" s="13">
        <v>4818</v>
      </c>
      <c r="G41" s="13">
        <v>1362</v>
      </c>
      <c r="H41" s="13">
        <v>890</v>
      </c>
      <c r="I41" s="13">
        <v>657</v>
      </c>
      <c r="J41" s="13">
        <v>967</v>
      </c>
      <c r="K41" s="13">
        <v>863</v>
      </c>
      <c r="L41" s="13">
        <v>1023</v>
      </c>
      <c r="M41" s="13">
        <v>514</v>
      </c>
      <c r="N41" s="13">
        <v>2123</v>
      </c>
      <c r="O41" s="13">
        <v>1476</v>
      </c>
      <c r="P41" s="13">
        <v>4734</v>
      </c>
      <c r="Q41" s="13">
        <v>3302</v>
      </c>
      <c r="R41" s="13">
        <v>15359</v>
      </c>
      <c r="S41">
        <f t="shared" si="13"/>
        <v>7001</v>
      </c>
      <c r="T41">
        <f t="shared" si="14"/>
        <v>4456.6500000000005</v>
      </c>
      <c r="U41">
        <f t="shared" si="15"/>
        <v>1055.55</v>
      </c>
      <c r="V41">
        <f t="shared" si="16"/>
        <v>578.5</v>
      </c>
      <c r="W41">
        <f t="shared" si="17"/>
        <v>361.35</v>
      </c>
      <c r="X41">
        <f t="shared" si="18"/>
        <v>435.15000000000003</v>
      </c>
      <c r="Y41">
        <f t="shared" si="19"/>
        <v>280.47500000000002</v>
      </c>
      <c r="Z41">
        <f t="shared" si="20"/>
        <v>179.02499999999998</v>
      </c>
      <c r="AA41">
        <f t="shared" si="21"/>
        <v>25.700000000000003</v>
      </c>
      <c r="AB41" s="4">
        <f t="shared" si="12"/>
        <v>0.31877841602164608</v>
      </c>
    </row>
    <row r="42" spans="1:28" x14ac:dyDescent="0.35">
      <c r="A42" s="13" t="s">
        <v>73</v>
      </c>
      <c r="B42" s="13">
        <v>17</v>
      </c>
      <c r="C42">
        <f>VLOOKUP(CONCATENATE("2022",'2022_60'!A42),aktivnepesseg!$C$2:$D$2226,2,FALSE)</f>
        <v>53283</v>
      </c>
      <c r="D42" s="13">
        <v>46283</v>
      </c>
      <c r="E42">
        <f t="shared" si="11"/>
        <v>7000</v>
      </c>
      <c r="F42" s="13">
        <v>5297</v>
      </c>
      <c r="G42" s="13">
        <v>1637</v>
      </c>
      <c r="H42" s="13">
        <v>1157</v>
      </c>
      <c r="I42" s="13">
        <v>784</v>
      </c>
      <c r="J42" s="13">
        <v>1290</v>
      </c>
      <c r="K42" s="13">
        <v>1016</v>
      </c>
      <c r="L42" s="13">
        <v>1287</v>
      </c>
      <c r="M42" s="13">
        <v>627</v>
      </c>
      <c r="N42" s="13">
        <v>2705</v>
      </c>
      <c r="O42" s="13">
        <v>1925</v>
      </c>
      <c r="P42" s="13">
        <v>6237</v>
      </c>
      <c r="Q42" s="13">
        <v>4357</v>
      </c>
      <c r="R42" s="13">
        <v>17964</v>
      </c>
      <c r="S42">
        <f t="shared" si="13"/>
        <v>7000</v>
      </c>
      <c r="T42">
        <f t="shared" si="14"/>
        <v>4899.7250000000004</v>
      </c>
      <c r="U42">
        <f t="shared" si="15"/>
        <v>1268.675</v>
      </c>
      <c r="V42">
        <f t="shared" si="16"/>
        <v>752.05000000000007</v>
      </c>
      <c r="W42">
        <f t="shared" si="17"/>
        <v>431.20000000000005</v>
      </c>
      <c r="X42">
        <f t="shared" si="18"/>
        <v>580.5</v>
      </c>
      <c r="Y42">
        <f t="shared" si="19"/>
        <v>330.2</v>
      </c>
      <c r="Z42">
        <f t="shared" si="20"/>
        <v>225.22499999999999</v>
      </c>
      <c r="AA42">
        <f t="shared" si="21"/>
        <v>31.35</v>
      </c>
      <c r="AB42" s="4">
        <f t="shared" si="12"/>
        <v>0.29125471538764713</v>
      </c>
    </row>
    <row r="43" spans="1:28" x14ac:dyDescent="0.35">
      <c r="A43" s="13" t="s">
        <v>75</v>
      </c>
      <c r="B43" s="13">
        <v>18</v>
      </c>
      <c r="C43">
        <f>VLOOKUP(CONCATENATE("2022",'2022_60'!A43),aktivnepesseg!$C$2:$D$2226,2,FALSE)</f>
        <v>63505</v>
      </c>
      <c r="D43" s="13">
        <v>52294</v>
      </c>
      <c r="E43">
        <f t="shared" si="11"/>
        <v>11211</v>
      </c>
      <c r="F43" s="13">
        <v>5946</v>
      </c>
      <c r="G43" s="13">
        <v>1923</v>
      </c>
      <c r="H43" s="13">
        <v>1260</v>
      </c>
      <c r="I43" s="13">
        <v>978</v>
      </c>
      <c r="J43" s="13">
        <v>1359</v>
      </c>
      <c r="K43" s="13">
        <v>1185</v>
      </c>
      <c r="L43" s="13">
        <v>1646</v>
      </c>
      <c r="M43" s="13">
        <v>716</v>
      </c>
      <c r="N43" s="13">
        <v>3024</v>
      </c>
      <c r="O43" s="13">
        <v>2151</v>
      </c>
      <c r="P43" s="13">
        <v>6861</v>
      </c>
      <c r="Q43" s="13">
        <v>4956</v>
      </c>
      <c r="R43" s="13">
        <v>20289</v>
      </c>
      <c r="S43">
        <f t="shared" si="13"/>
        <v>11211</v>
      </c>
      <c r="T43">
        <f t="shared" si="14"/>
        <v>5500.05</v>
      </c>
      <c r="U43">
        <f t="shared" si="15"/>
        <v>1490.325</v>
      </c>
      <c r="V43">
        <f t="shared" si="16"/>
        <v>819</v>
      </c>
      <c r="W43">
        <f t="shared" si="17"/>
        <v>537.90000000000009</v>
      </c>
      <c r="X43">
        <f t="shared" si="18"/>
        <v>611.55000000000007</v>
      </c>
      <c r="Y43">
        <f t="shared" si="19"/>
        <v>385.125</v>
      </c>
      <c r="Z43">
        <f t="shared" si="20"/>
        <v>288.04999999999995</v>
      </c>
      <c r="AA43">
        <f t="shared" si="21"/>
        <v>35.800000000000004</v>
      </c>
      <c r="AB43" s="4">
        <f t="shared" si="12"/>
        <v>0.32877411227462405</v>
      </c>
    </row>
    <row r="44" spans="1:28" x14ac:dyDescent="0.35">
      <c r="A44" s="13" t="s">
        <v>77</v>
      </c>
      <c r="B44" s="13">
        <v>19</v>
      </c>
      <c r="C44">
        <f>VLOOKUP(CONCATENATE("2022",'2022_60'!A44),aktivnepesseg!$C$2:$D$2226,2,FALSE)</f>
        <v>35815</v>
      </c>
      <c r="D44" s="13">
        <v>29421</v>
      </c>
      <c r="E44">
        <f t="shared" si="11"/>
        <v>6394</v>
      </c>
      <c r="F44" s="13">
        <v>3405</v>
      </c>
      <c r="G44" s="13">
        <v>1121</v>
      </c>
      <c r="H44" s="13">
        <v>733</v>
      </c>
      <c r="I44" s="13">
        <v>563</v>
      </c>
      <c r="J44" s="13">
        <v>851</v>
      </c>
      <c r="K44" s="13">
        <v>696</v>
      </c>
      <c r="L44" s="13">
        <v>854</v>
      </c>
      <c r="M44" s="13">
        <v>428</v>
      </c>
      <c r="N44" s="13">
        <v>1798</v>
      </c>
      <c r="O44" s="13">
        <v>1266</v>
      </c>
      <c r="P44" s="13">
        <v>3772</v>
      </c>
      <c r="Q44" s="13">
        <v>2755</v>
      </c>
      <c r="R44" s="13">
        <v>11179</v>
      </c>
      <c r="S44">
        <f t="shared" si="13"/>
        <v>6394</v>
      </c>
      <c r="T44">
        <f t="shared" si="14"/>
        <v>3149.625</v>
      </c>
      <c r="U44">
        <f t="shared" si="15"/>
        <v>868.77499999999998</v>
      </c>
      <c r="V44">
        <f t="shared" si="16"/>
        <v>476.45</v>
      </c>
      <c r="W44">
        <f t="shared" si="17"/>
        <v>309.65000000000003</v>
      </c>
      <c r="X44">
        <f t="shared" si="18"/>
        <v>382.95</v>
      </c>
      <c r="Y44">
        <f t="shared" si="19"/>
        <v>226.20000000000002</v>
      </c>
      <c r="Z44">
        <f t="shared" si="20"/>
        <v>149.44999999999999</v>
      </c>
      <c r="AA44">
        <f t="shared" si="21"/>
        <v>21.400000000000002</v>
      </c>
      <c r="AB44" s="4">
        <f t="shared" si="12"/>
        <v>0.33445483735864867</v>
      </c>
    </row>
    <row r="45" spans="1:28" x14ac:dyDescent="0.35">
      <c r="A45" s="13" t="s">
        <v>79</v>
      </c>
      <c r="B45" s="13">
        <v>20</v>
      </c>
      <c r="C45">
        <f>VLOOKUP(CONCATENATE("2022",'2022_60'!A45),aktivnepesseg!$C$2:$D$2226,2,FALSE)</f>
        <v>41404</v>
      </c>
      <c r="D45" s="13">
        <v>32265</v>
      </c>
      <c r="E45">
        <f t="shared" si="11"/>
        <v>9139</v>
      </c>
      <c r="F45" s="13">
        <v>3669</v>
      </c>
      <c r="G45" s="13">
        <v>1311</v>
      </c>
      <c r="H45" s="13">
        <v>807</v>
      </c>
      <c r="I45" s="13">
        <v>637</v>
      </c>
      <c r="J45" s="13">
        <v>954</v>
      </c>
      <c r="K45" s="13">
        <v>857</v>
      </c>
      <c r="L45" s="13">
        <v>960</v>
      </c>
      <c r="M45" s="13">
        <v>514</v>
      </c>
      <c r="N45" s="13">
        <v>1938</v>
      </c>
      <c r="O45" s="13">
        <v>1468</v>
      </c>
      <c r="P45" s="13">
        <v>4381</v>
      </c>
      <c r="Q45" s="13">
        <v>3134</v>
      </c>
      <c r="R45" s="13">
        <v>11635</v>
      </c>
      <c r="S45">
        <f t="shared" si="13"/>
        <v>9139</v>
      </c>
      <c r="T45">
        <f t="shared" si="14"/>
        <v>3393.8250000000003</v>
      </c>
      <c r="U45">
        <f t="shared" si="15"/>
        <v>1016.025</v>
      </c>
      <c r="V45">
        <f t="shared" si="16"/>
        <v>524.55000000000007</v>
      </c>
      <c r="W45">
        <f t="shared" si="17"/>
        <v>350.35</v>
      </c>
      <c r="X45">
        <f t="shared" si="18"/>
        <v>429.3</v>
      </c>
      <c r="Y45">
        <f t="shared" si="19"/>
        <v>278.52500000000003</v>
      </c>
      <c r="Z45">
        <f t="shared" si="20"/>
        <v>168</v>
      </c>
      <c r="AA45">
        <f t="shared" si="21"/>
        <v>25.700000000000003</v>
      </c>
      <c r="AB45" s="4">
        <f t="shared" si="12"/>
        <v>0.37013996232248092</v>
      </c>
    </row>
    <row r="46" spans="1:28" x14ac:dyDescent="0.35">
      <c r="A46" s="13" t="s">
        <v>81</v>
      </c>
      <c r="B46" s="13">
        <v>21</v>
      </c>
      <c r="C46">
        <f>VLOOKUP(CONCATENATE("2022",'2022_60'!A46),aktivnepesseg!$C$2:$D$2226,2,FALSE)</f>
        <v>45674</v>
      </c>
      <c r="D46" s="13">
        <v>36817</v>
      </c>
      <c r="E46">
        <f t="shared" si="11"/>
        <v>8857</v>
      </c>
      <c r="F46" s="13">
        <v>4079</v>
      </c>
      <c r="G46" s="13">
        <v>1493</v>
      </c>
      <c r="H46" s="13">
        <v>896</v>
      </c>
      <c r="I46" s="13">
        <v>710</v>
      </c>
      <c r="J46" s="13">
        <v>951</v>
      </c>
      <c r="K46" s="13">
        <v>942</v>
      </c>
      <c r="L46" s="13">
        <v>1172</v>
      </c>
      <c r="M46" s="13">
        <v>556</v>
      </c>
      <c r="N46" s="13">
        <v>2188</v>
      </c>
      <c r="O46" s="13">
        <v>1653</v>
      </c>
      <c r="P46" s="13">
        <v>4904</v>
      </c>
      <c r="Q46" s="13">
        <v>3761</v>
      </c>
      <c r="R46" s="13">
        <v>13512</v>
      </c>
      <c r="S46">
        <f t="shared" si="13"/>
        <v>8857</v>
      </c>
      <c r="T46">
        <f t="shared" si="14"/>
        <v>3773.0750000000003</v>
      </c>
      <c r="U46">
        <f t="shared" si="15"/>
        <v>1157.075</v>
      </c>
      <c r="V46">
        <f t="shared" si="16"/>
        <v>582.4</v>
      </c>
      <c r="W46">
        <f t="shared" si="17"/>
        <v>390.50000000000006</v>
      </c>
      <c r="X46">
        <f t="shared" si="18"/>
        <v>427.95</v>
      </c>
      <c r="Y46">
        <f t="shared" si="19"/>
        <v>306.15000000000003</v>
      </c>
      <c r="Z46">
        <f t="shared" si="20"/>
        <v>205.1</v>
      </c>
      <c r="AA46">
        <f t="shared" si="21"/>
        <v>27.8</v>
      </c>
      <c r="AB46" s="4">
        <f t="shared" si="12"/>
        <v>0.34433266190830669</v>
      </c>
    </row>
    <row r="47" spans="1:28" x14ac:dyDescent="0.35">
      <c r="A47" s="13" t="s">
        <v>83</v>
      </c>
      <c r="B47" s="13">
        <v>22</v>
      </c>
      <c r="C47">
        <f>VLOOKUP(CONCATENATE("2022",'2022_60'!A47),aktivnepesseg!$C$2:$D$2226,2,FALSE)</f>
        <v>35059</v>
      </c>
      <c r="D47" s="13">
        <v>29315</v>
      </c>
      <c r="E47">
        <f t="shared" si="11"/>
        <v>5744</v>
      </c>
      <c r="F47" s="13">
        <v>3521</v>
      </c>
      <c r="G47" s="13">
        <v>1082</v>
      </c>
      <c r="H47" s="13">
        <v>651</v>
      </c>
      <c r="I47" s="13">
        <v>525</v>
      </c>
      <c r="J47" s="13">
        <v>769</v>
      </c>
      <c r="K47" s="13">
        <v>671</v>
      </c>
      <c r="L47" s="13">
        <v>827</v>
      </c>
      <c r="M47" s="13">
        <v>364</v>
      </c>
      <c r="N47" s="13">
        <v>1654</v>
      </c>
      <c r="O47" s="13">
        <v>1158</v>
      </c>
      <c r="P47" s="13">
        <v>3603</v>
      </c>
      <c r="Q47" s="13">
        <v>2654</v>
      </c>
      <c r="R47" s="13">
        <v>11836</v>
      </c>
      <c r="S47">
        <f t="shared" si="13"/>
        <v>5744</v>
      </c>
      <c r="T47">
        <f t="shared" si="14"/>
        <v>3256.9250000000002</v>
      </c>
      <c r="U47">
        <f t="shared" si="15"/>
        <v>838.55000000000007</v>
      </c>
      <c r="V47">
        <f t="shared" si="16"/>
        <v>423.15000000000003</v>
      </c>
      <c r="W47">
        <f t="shared" si="17"/>
        <v>288.75</v>
      </c>
      <c r="X47">
        <f t="shared" si="18"/>
        <v>346.05</v>
      </c>
      <c r="Y47">
        <f t="shared" si="19"/>
        <v>218.07500000000002</v>
      </c>
      <c r="Z47">
        <f t="shared" si="20"/>
        <v>144.72499999999999</v>
      </c>
      <c r="AA47">
        <f t="shared" si="21"/>
        <v>18.2</v>
      </c>
      <c r="AB47" s="4">
        <f t="shared" si="12"/>
        <v>0.32169842265894633</v>
      </c>
    </row>
    <row r="48" spans="1:28" x14ac:dyDescent="0.35">
      <c r="A48" s="13" t="s">
        <v>85</v>
      </c>
      <c r="B48" s="13">
        <v>23</v>
      </c>
      <c r="C48">
        <f>VLOOKUP(CONCATENATE("2022",'2022_60'!A48),aktivnepesseg!$C$2:$D$2226,2,FALSE)</f>
        <v>14950</v>
      </c>
      <c r="D48" s="13">
        <v>12282</v>
      </c>
      <c r="E48">
        <f t="shared" si="11"/>
        <v>2668</v>
      </c>
      <c r="F48" s="13">
        <v>1412</v>
      </c>
      <c r="G48" s="13">
        <v>527</v>
      </c>
      <c r="H48" s="13">
        <v>309</v>
      </c>
      <c r="I48" s="13">
        <v>229</v>
      </c>
      <c r="J48" s="13">
        <v>363</v>
      </c>
      <c r="K48" s="13">
        <v>306</v>
      </c>
      <c r="L48" s="13">
        <v>390</v>
      </c>
      <c r="M48" s="13">
        <v>174</v>
      </c>
      <c r="N48" s="13">
        <v>734</v>
      </c>
      <c r="O48" s="13">
        <v>577</v>
      </c>
      <c r="P48" s="13">
        <v>1694</v>
      </c>
      <c r="Q48" s="13">
        <v>1168</v>
      </c>
      <c r="R48" s="13">
        <v>4399</v>
      </c>
      <c r="S48">
        <f t="shared" si="13"/>
        <v>2668</v>
      </c>
      <c r="T48">
        <f t="shared" si="14"/>
        <v>1306.1000000000001</v>
      </c>
      <c r="U48">
        <f t="shared" si="15"/>
        <v>408.42500000000001</v>
      </c>
      <c r="V48">
        <f t="shared" si="16"/>
        <v>200.85</v>
      </c>
      <c r="W48">
        <f t="shared" si="17"/>
        <v>125.95000000000002</v>
      </c>
      <c r="X48">
        <f t="shared" si="18"/>
        <v>163.35</v>
      </c>
      <c r="Y48">
        <f t="shared" si="19"/>
        <v>99.45</v>
      </c>
      <c r="Z48">
        <f t="shared" si="20"/>
        <v>68.25</v>
      </c>
      <c r="AA48">
        <f t="shared" si="21"/>
        <v>8.7000000000000011</v>
      </c>
      <c r="AB48" s="4">
        <f t="shared" si="12"/>
        <v>0.33773076923076928</v>
      </c>
    </row>
    <row r="49" spans="1:28" x14ac:dyDescent="0.35">
      <c r="A49" s="13" t="s">
        <v>87</v>
      </c>
      <c r="B49" s="13">
        <v>124</v>
      </c>
      <c r="C49">
        <f>VLOOKUP(CONCATENATE("2022",'2022_60'!A49),aktivnepesseg!$C$2:$D$2226,2,FALSE)</f>
        <v>56751</v>
      </c>
      <c r="D49" s="13">
        <v>47264</v>
      </c>
      <c r="E49">
        <f t="shared" si="11"/>
        <v>9487</v>
      </c>
      <c r="F49" s="13">
        <v>5492</v>
      </c>
      <c r="G49" s="13">
        <v>1861</v>
      </c>
      <c r="H49" s="13">
        <v>1050</v>
      </c>
      <c r="I49" s="13">
        <v>909</v>
      </c>
      <c r="J49" s="13">
        <v>1478</v>
      </c>
      <c r="K49" s="13">
        <v>1179</v>
      </c>
      <c r="L49" s="13">
        <v>1519</v>
      </c>
      <c r="M49" s="13">
        <v>728</v>
      </c>
      <c r="N49" s="13">
        <v>3167</v>
      </c>
      <c r="O49" s="13">
        <v>2503</v>
      </c>
      <c r="P49" s="13">
        <v>7562</v>
      </c>
      <c r="Q49" s="13">
        <v>5490</v>
      </c>
      <c r="R49" s="13">
        <v>14322</v>
      </c>
      <c r="S49">
        <f t="shared" si="13"/>
        <v>9487</v>
      </c>
      <c r="T49">
        <f t="shared" si="14"/>
        <v>5080.1000000000004</v>
      </c>
      <c r="U49">
        <f t="shared" si="15"/>
        <v>1442.2750000000001</v>
      </c>
      <c r="V49">
        <f t="shared" si="16"/>
        <v>682.5</v>
      </c>
      <c r="W49">
        <f t="shared" si="17"/>
        <v>499.95000000000005</v>
      </c>
      <c r="X49">
        <f t="shared" si="18"/>
        <v>665.1</v>
      </c>
      <c r="Y49">
        <f t="shared" si="19"/>
        <v>383.17500000000001</v>
      </c>
      <c r="Z49">
        <f t="shared" si="20"/>
        <v>265.82499999999999</v>
      </c>
      <c r="AA49">
        <f t="shared" si="21"/>
        <v>36.4</v>
      </c>
      <c r="AB49" s="4">
        <f t="shared" si="12"/>
        <v>0.32673124702648415</v>
      </c>
    </row>
    <row r="50" spans="1:28" x14ac:dyDescent="0.35">
      <c r="A50" s="13" t="s">
        <v>89</v>
      </c>
      <c r="B50" s="13">
        <v>176</v>
      </c>
      <c r="C50">
        <f>VLOOKUP(CONCATENATE("2022",'2022_60'!A50),aktivnepesseg!$C$2:$D$2226,2,FALSE)</f>
        <v>14545</v>
      </c>
      <c r="D50" s="13">
        <v>12536</v>
      </c>
      <c r="E50">
        <f t="shared" si="11"/>
        <v>2009</v>
      </c>
      <c r="F50" s="13">
        <v>1669</v>
      </c>
      <c r="G50" s="13">
        <v>506</v>
      </c>
      <c r="H50" s="13">
        <v>209</v>
      </c>
      <c r="I50" s="13">
        <v>171</v>
      </c>
      <c r="J50" s="13">
        <v>286</v>
      </c>
      <c r="K50" s="13">
        <v>302</v>
      </c>
      <c r="L50" s="13">
        <v>293</v>
      </c>
      <c r="M50" s="13">
        <v>160</v>
      </c>
      <c r="N50" s="13">
        <v>638</v>
      </c>
      <c r="O50" s="13">
        <v>576</v>
      </c>
      <c r="P50" s="13">
        <v>1999</v>
      </c>
      <c r="Q50" s="13">
        <v>1717</v>
      </c>
      <c r="R50" s="13">
        <v>3910</v>
      </c>
      <c r="S50">
        <f t="shared" si="13"/>
        <v>2009</v>
      </c>
      <c r="T50">
        <f t="shared" si="14"/>
        <v>1543.825</v>
      </c>
      <c r="U50">
        <f t="shared" si="15"/>
        <v>392.15000000000003</v>
      </c>
      <c r="V50">
        <f t="shared" si="16"/>
        <v>135.85</v>
      </c>
      <c r="W50">
        <f t="shared" si="17"/>
        <v>94.050000000000011</v>
      </c>
      <c r="X50">
        <f t="shared" si="18"/>
        <v>128.70000000000002</v>
      </c>
      <c r="Y50">
        <f t="shared" si="19"/>
        <v>98.15</v>
      </c>
      <c r="Z50">
        <f t="shared" si="20"/>
        <v>51.274999999999999</v>
      </c>
      <c r="AA50">
        <f t="shared" si="21"/>
        <v>8</v>
      </c>
      <c r="AB50" s="4">
        <f t="shared" si="12"/>
        <v>0.30670333447920239</v>
      </c>
    </row>
    <row r="51" spans="1:28" x14ac:dyDescent="0.35">
      <c r="A51" s="13" t="s">
        <v>91</v>
      </c>
      <c r="B51" s="13">
        <v>54</v>
      </c>
      <c r="C51">
        <f>VLOOKUP(CONCATENATE("2022",'2022_60'!A51),aktivnepesseg!$C$2:$D$2226,2,FALSE)</f>
        <v>9273</v>
      </c>
      <c r="D51" s="13">
        <v>7631</v>
      </c>
      <c r="E51">
        <f t="shared" si="11"/>
        <v>1642</v>
      </c>
      <c r="F51" s="13">
        <v>1225</v>
      </c>
      <c r="G51" s="13">
        <v>547</v>
      </c>
      <c r="H51" s="13">
        <v>288</v>
      </c>
      <c r="I51" s="13">
        <v>306</v>
      </c>
      <c r="J51" s="13">
        <v>766</v>
      </c>
      <c r="K51" s="13">
        <v>308</v>
      </c>
      <c r="L51" s="13">
        <v>283</v>
      </c>
      <c r="M51" s="13">
        <v>129</v>
      </c>
      <c r="N51" s="13">
        <v>521</v>
      </c>
      <c r="O51" s="13">
        <v>390</v>
      </c>
      <c r="P51" s="13">
        <v>1161</v>
      </c>
      <c r="Q51" s="13">
        <v>656</v>
      </c>
      <c r="R51" s="13">
        <v>1034</v>
      </c>
      <c r="S51">
        <f t="shared" si="13"/>
        <v>1642</v>
      </c>
      <c r="T51">
        <f t="shared" si="14"/>
        <v>1133.125</v>
      </c>
      <c r="U51">
        <f t="shared" si="15"/>
        <v>423.92500000000001</v>
      </c>
      <c r="V51">
        <f t="shared" si="16"/>
        <v>187.20000000000002</v>
      </c>
      <c r="W51">
        <f t="shared" si="17"/>
        <v>168.3</v>
      </c>
      <c r="X51">
        <f t="shared" si="18"/>
        <v>344.7</v>
      </c>
      <c r="Y51">
        <f t="shared" si="19"/>
        <v>100.10000000000001</v>
      </c>
      <c r="Z51">
        <f t="shared" si="20"/>
        <v>49.524999999999999</v>
      </c>
      <c r="AA51">
        <f t="shared" si="21"/>
        <v>6.45</v>
      </c>
      <c r="AB51" s="4">
        <f t="shared" si="12"/>
        <v>0.43732610805564542</v>
      </c>
    </row>
    <row r="52" spans="1:28" x14ac:dyDescent="0.35">
      <c r="A52" s="13" t="s">
        <v>93</v>
      </c>
      <c r="B52" s="13">
        <v>149</v>
      </c>
      <c r="C52">
        <f>VLOOKUP(CONCATENATE("2022",'2022_60'!A52),aktivnepesseg!$C$2:$D$2226,2,FALSE)</f>
        <v>7733</v>
      </c>
      <c r="D52" s="13">
        <v>6561</v>
      </c>
      <c r="E52">
        <f t="shared" si="11"/>
        <v>1172</v>
      </c>
      <c r="F52" s="13">
        <v>1227</v>
      </c>
      <c r="G52" s="13">
        <v>340</v>
      </c>
      <c r="H52" s="13">
        <v>223</v>
      </c>
      <c r="I52" s="13">
        <v>206</v>
      </c>
      <c r="J52" s="13">
        <v>448</v>
      </c>
      <c r="K52" s="13">
        <v>229</v>
      </c>
      <c r="L52" s="13">
        <v>197</v>
      </c>
      <c r="M52" s="13">
        <v>107</v>
      </c>
      <c r="N52" s="13">
        <v>402</v>
      </c>
      <c r="O52" s="13">
        <v>385</v>
      </c>
      <c r="P52" s="13">
        <v>1202</v>
      </c>
      <c r="Q52" s="13">
        <v>600</v>
      </c>
      <c r="R52" s="13">
        <v>973</v>
      </c>
      <c r="S52">
        <f t="shared" si="13"/>
        <v>1172</v>
      </c>
      <c r="T52">
        <f t="shared" si="14"/>
        <v>1134.9750000000001</v>
      </c>
      <c r="U52">
        <f t="shared" si="15"/>
        <v>263.5</v>
      </c>
      <c r="V52">
        <f t="shared" si="16"/>
        <v>144.95000000000002</v>
      </c>
      <c r="W52">
        <f t="shared" si="17"/>
        <v>113.30000000000001</v>
      </c>
      <c r="X52">
        <f t="shared" si="18"/>
        <v>201.6</v>
      </c>
      <c r="Y52">
        <f t="shared" si="19"/>
        <v>74.424999999999997</v>
      </c>
      <c r="Z52">
        <f t="shared" si="20"/>
        <v>34.474999999999994</v>
      </c>
      <c r="AA52">
        <f t="shared" si="21"/>
        <v>5.3500000000000005</v>
      </c>
      <c r="AB52" s="4">
        <f t="shared" si="12"/>
        <v>0.4066436053278159</v>
      </c>
    </row>
    <row r="53" spans="1:28" x14ac:dyDescent="0.35">
      <c r="A53" s="13" t="s">
        <v>95</v>
      </c>
      <c r="B53" s="13">
        <v>70</v>
      </c>
      <c r="C53">
        <f>VLOOKUP(CONCATENATE("2022",'2022_60'!A53),aktivnepesseg!$C$2:$D$2226,2,FALSE)</f>
        <v>12673</v>
      </c>
      <c r="D53" s="13">
        <v>10956</v>
      </c>
      <c r="E53">
        <f t="shared" si="11"/>
        <v>1717</v>
      </c>
      <c r="F53" s="13">
        <v>1848</v>
      </c>
      <c r="G53" s="13">
        <v>415</v>
      </c>
      <c r="H53" s="13">
        <v>232</v>
      </c>
      <c r="I53" s="13">
        <v>212</v>
      </c>
      <c r="J53" s="13">
        <v>391</v>
      </c>
      <c r="K53" s="13">
        <v>286</v>
      </c>
      <c r="L53" s="13">
        <v>364</v>
      </c>
      <c r="M53" s="13">
        <v>169</v>
      </c>
      <c r="N53" s="13">
        <v>700</v>
      </c>
      <c r="O53" s="13">
        <v>571</v>
      </c>
      <c r="P53" s="13">
        <v>1964</v>
      </c>
      <c r="Q53" s="13">
        <v>1172</v>
      </c>
      <c r="R53" s="13">
        <v>2630</v>
      </c>
      <c r="S53">
        <f t="shared" si="13"/>
        <v>1717</v>
      </c>
      <c r="T53">
        <f t="shared" si="14"/>
        <v>1709.4</v>
      </c>
      <c r="U53">
        <f t="shared" si="15"/>
        <v>321.625</v>
      </c>
      <c r="V53">
        <f t="shared" si="16"/>
        <v>150.80000000000001</v>
      </c>
      <c r="W53">
        <f t="shared" si="17"/>
        <v>116.60000000000001</v>
      </c>
      <c r="X53">
        <f t="shared" si="18"/>
        <v>175.95000000000002</v>
      </c>
      <c r="Y53">
        <f t="shared" si="19"/>
        <v>92.95</v>
      </c>
      <c r="Z53">
        <f t="shared" si="20"/>
        <v>63.699999999999996</v>
      </c>
      <c r="AA53">
        <f t="shared" si="21"/>
        <v>8.4500000000000011</v>
      </c>
      <c r="AB53" s="4">
        <f t="shared" si="12"/>
        <v>0.34376035666377336</v>
      </c>
    </row>
    <row r="54" spans="1:28" x14ac:dyDescent="0.35">
      <c r="A54" s="13" t="s">
        <v>97</v>
      </c>
      <c r="B54" s="13">
        <v>86</v>
      </c>
      <c r="C54">
        <f>VLOOKUP(CONCATENATE("2022",'2022_60'!A54),aktivnepesseg!$C$2:$D$2226,2,FALSE)</f>
        <v>20285</v>
      </c>
      <c r="D54" s="13">
        <v>17458</v>
      </c>
      <c r="E54">
        <f t="shared" si="11"/>
        <v>2827</v>
      </c>
      <c r="F54" s="13">
        <v>2771</v>
      </c>
      <c r="G54" s="13">
        <v>572</v>
      </c>
      <c r="H54" s="13">
        <v>334</v>
      </c>
      <c r="I54" s="13">
        <v>238</v>
      </c>
      <c r="J54" s="13">
        <v>383</v>
      </c>
      <c r="K54" s="13">
        <v>346</v>
      </c>
      <c r="L54" s="13">
        <v>393</v>
      </c>
      <c r="M54" s="13">
        <v>199</v>
      </c>
      <c r="N54" s="13">
        <v>850</v>
      </c>
      <c r="O54" s="13">
        <v>757</v>
      </c>
      <c r="P54" s="13">
        <v>2699</v>
      </c>
      <c r="Q54" s="13">
        <v>2055</v>
      </c>
      <c r="R54" s="13">
        <v>5766</v>
      </c>
      <c r="S54">
        <f t="shared" si="13"/>
        <v>2827</v>
      </c>
      <c r="T54">
        <f t="shared" si="14"/>
        <v>2563.1750000000002</v>
      </c>
      <c r="U54">
        <f t="shared" si="15"/>
        <v>443.3</v>
      </c>
      <c r="V54">
        <f t="shared" si="16"/>
        <v>217.1</v>
      </c>
      <c r="W54">
        <f t="shared" si="17"/>
        <v>130.9</v>
      </c>
      <c r="X54">
        <f t="shared" si="18"/>
        <v>172.35</v>
      </c>
      <c r="Y54">
        <f t="shared" si="19"/>
        <v>112.45</v>
      </c>
      <c r="Z54">
        <f t="shared" si="20"/>
        <v>68.774999999999991</v>
      </c>
      <c r="AA54">
        <f t="shared" si="21"/>
        <v>9.9500000000000011</v>
      </c>
      <c r="AB54" s="4">
        <f t="shared" si="12"/>
        <v>0.32265220606359379</v>
      </c>
    </row>
    <row r="55" spans="1:28" x14ac:dyDescent="0.35">
      <c r="A55" s="13" t="s">
        <v>99</v>
      </c>
      <c r="B55" s="13">
        <v>141</v>
      </c>
      <c r="C55">
        <f>VLOOKUP(CONCATENATE("2022",'2022_60'!A55),aktivnepesseg!$C$2:$D$2226,2,FALSE)</f>
        <v>9616</v>
      </c>
      <c r="D55" s="13">
        <v>7519</v>
      </c>
      <c r="E55">
        <f t="shared" si="11"/>
        <v>2097</v>
      </c>
      <c r="F55" s="13">
        <v>1228</v>
      </c>
      <c r="G55" s="13">
        <v>408</v>
      </c>
      <c r="H55" s="13">
        <v>213</v>
      </c>
      <c r="I55" s="13">
        <v>217</v>
      </c>
      <c r="J55" s="13">
        <v>376</v>
      </c>
      <c r="K55" s="13">
        <v>205</v>
      </c>
      <c r="L55" s="13">
        <v>188</v>
      </c>
      <c r="M55" s="13">
        <v>83</v>
      </c>
      <c r="N55" s="13">
        <v>460</v>
      </c>
      <c r="O55" s="13">
        <v>405</v>
      </c>
      <c r="P55" s="13">
        <v>1320</v>
      </c>
      <c r="Q55" s="13">
        <v>864</v>
      </c>
      <c r="R55" s="13">
        <v>1507</v>
      </c>
      <c r="S55">
        <f t="shared" si="13"/>
        <v>2097</v>
      </c>
      <c r="T55">
        <f t="shared" si="14"/>
        <v>1135.9000000000001</v>
      </c>
      <c r="U55">
        <f t="shared" si="15"/>
        <v>316.2</v>
      </c>
      <c r="V55">
        <f t="shared" si="16"/>
        <v>138.45000000000002</v>
      </c>
      <c r="W55">
        <f t="shared" si="17"/>
        <v>119.35000000000001</v>
      </c>
      <c r="X55">
        <f t="shared" si="18"/>
        <v>169.20000000000002</v>
      </c>
      <c r="Y55">
        <f t="shared" si="19"/>
        <v>66.625</v>
      </c>
      <c r="Z55">
        <f t="shared" si="20"/>
        <v>32.9</v>
      </c>
      <c r="AA55">
        <f t="shared" si="21"/>
        <v>4.1500000000000004</v>
      </c>
      <c r="AB55" s="4">
        <f t="shared" si="12"/>
        <v>0.42426944675540762</v>
      </c>
    </row>
    <row r="56" spans="1:28" x14ac:dyDescent="0.35">
      <c r="A56" s="13" t="s">
        <v>101</v>
      </c>
      <c r="B56" s="13">
        <v>125</v>
      </c>
      <c r="C56">
        <f>VLOOKUP(CONCATENATE("2022",'2022_60'!A56),aktivnepesseg!$C$2:$D$2226,2,FALSE)</f>
        <v>32697</v>
      </c>
      <c r="D56" s="13">
        <v>27726</v>
      </c>
      <c r="E56">
        <f t="shared" si="11"/>
        <v>4971</v>
      </c>
      <c r="F56" s="13">
        <v>2882</v>
      </c>
      <c r="G56" s="13">
        <v>917</v>
      </c>
      <c r="H56" s="13">
        <v>591</v>
      </c>
      <c r="I56" s="13">
        <v>477</v>
      </c>
      <c r="J56" s="13">
        <v>841</v>
      </c>
      <c r="K56" s="13">
        <v>657</v>
      </c>
      <c r="L56" s="13">
        <v>825</v>
      </c>
      <c r="M56" s="13">
        <v>493</v>
      </c>
      <c r="N56" s="13">
        <v>2133</v>
      </c>
      <c r="O56" s="13">
        <v>1566</v>
      </c>
      <c r="P56" s="13">
        <v>4854</v>
      </c>
      <c r="Q56" s="13">
        <v>3032</v>
      </c>
      <c r="R56" s="13">
        <v>8456</v>
      </c>
      <c r="S56">
        <f t="shared" si="13"/>
        <v>4971</v>
      </c>
      <c r="T56">
        <f t="shared" si="14"/>
        <v>2665.85</v>
      </c>
      <c r="U56">
        <f t="shared" si="15"/>
        <v>710.67500000000007</v>
      </c>
      <c r="V56">
        <f t="shared" si="16"/>
        <v>384.15000000000003</v>
      </c>
      <c r="W56">
        <f t="shared" si="17"/>
        <v>262.35000000000002</v>
      </c>
      <c r="X56">
        <f t="shared" si="18"/>
        <v>378.45</v>
      </c>
      <c r="Y56">
        <f t="shared" si="19"/>
        <v>213.52500000000001</v>
      </c>
      <c r="Z56">
        <f t="shared" si="20"/>
        <v>144.375</v>
      </c>
      <c r="AA56">
        <f t="shared" si="21"/>
        <v>24.650000000000002</v>
      </c>
      <c r="AB56" s="4">
        <f t="shared" si="12"/>
        <v>0.29834617854849066</v>
      </c>
    </row>
    <row r="57" spans="1:28" x14ac:dyDescent="0.35">
      <c r="A57" s="13" t="s">
        <v>103</v>
      </c>
      <c r="B57" s="13">
        <v>95</v>
      </c>
      <c r="C57">
        <f>VLOOKUP(CONCATENATE("2022",'2022_60'!A57),aktivnepesseg!$C$2:$D$2226,2,FALSE)</f>
        <v>140445</v>
      </c>
      <c r="D57" s="13">
        <v>109342</v>
      </c>
      <c r="E57">
        <f t="shared" si="11"/>
        <v>31103</v>
      </c>
      <c r="F57" s="13">
        <v>14292</v>
      </c>
      <c r="G57" s="13">
        <v>3977</v>
      </c>
      <c r="H57" s="13">
        <v>2432</v>
      </c>
      <c r="I57" s="13">
        <v>1817</v>
      </c>
      <c r="J57" s="13">
        <v>2978</v>
      </c>
      <c r="K57" s="13">
        <v>2461</v>
      </c>
      <c r="L57" s="13">
        <v>2869</v>
      </c>
      <c r="M57" s="13">
        <v>1433</v>
      </c>
      <c r="N57" s="13">
        <v>5629</v>
      </c>
      <c r="O57" s="13">
        <v>4974</v>
      </c>
      <c r="P57" s="13">
        <v>17184</v>
      </c>
      <c r="Q57" s="13">
        <v>11845</v>
      </c>
      <c r="R57" s="13">
        <v>37451</v>
      </c>
      <c r="S57">
        <f t="shared" si="13"/>
        <v>31103</v>
      </c>
      <c r="T57">
        <f t="shared" si="14"/>
        <v>13220.1</v>
      </c>
      <c r="U57">
        <f t="shared" si="15"/>
        <v>3082.1750000000002</v>
      </c>
      <c r="V57">
        <f t="shared" si="16"/>
        <v>1580.8</v>
      </c>
      <c r="W57">
        <f t="shared" si="17"/>
        <v>999.35000000000014</v>
      </c>
      <c r="X57">
        <f t="shared" si="18"/>
        <v>1340.1000000000001</v>
      </c>
      <c r="Y57">
        <f t="shared" si="19"/>
        <v>799.82500000000005</v>
      </c>
      <c r="Z57">
        <f t="shared" si="20"/>
        <v>502.07499999999999</v>
      </c>
      <c r="AA57">
        <f t="shared" si="21"/>
        <v>71.650000000000006</v>
      </c>
      <c r="AB57" s="4">
        <f t="shared" si="12"/>
        <v>0.3752292712449713</v>
      </c>
    </row>
    <row r="58" spans="1:28" x14ac:dyDescent="0.35">
      <c r="A58" s="13" t="s">
        <v>105</v>
      </c>
      <c r="B58" s="13">
        <v>96</v>
      </c>
      <c r="C58">
        <f>VLOOKUP(CONCATENATE("2022",'2022_60'!A58),aktivnepesseg!$C$2:$D$2226,2,FALSE)</f>
        <v>25834</v>
      </c>
      <c r="D58" s="13">
        <v>20871</v>
      </c>
      <c r="E58">
        <f t="shared" si="11"/>
        <v>4963</v>
      </c>
      <c r="F58" s="13">
        <v>3521</v>
      </c>
      <c r="G58" s="13">
        <v>854</v>
      </c>
      <c r="H58" s="13">
        <v>494</v>
      </c>
      <c r="I58" s="13">
        <v>470</v>
      </c>
      <c r="J58" s="13">
        <v>1115</v>
      </c>
      <c r="K58" s="13">
        <v>587</v>
      </c>
      <c r="L58" s="13">
        <v>616</v>
      </c>
      <c r="M58" s="13">
        <v>334</v>
      </c>
      <c r="N58" s="13">
        <v>1406</v>
      </c>
      <c r="O58" s="13">
        <v>1166</v>
      </c>
      <c r="P58" s="13">
        <v>3787</v>
      </c>
      <c r="Q58" s="13">
        <v>2219</v>
      </c>
      <c r="R58" s="13">
        <v>4297</v>
      </c>
      <c r="S58">
        <f t="shared" si="13"/>
        <v>4963</v>
      </c>
      <c r="T58">
        <f t="shared" si="14"/>
        <v>3256.9250000000002</v>
      </c>
      <c r="U58">
        <f t="shared" si="15"/>
        <v>661.85</v>
      </c>
      <c r="V58">
        <f t="shared" si="16"/>
        <v>321.10000000000002</v>
      </c>
      <c r="W58">
        <f t="shared" si="17"/>
        <v>258.5</v>
      </c>
      <c r="X58">
        <f t="shared" si="18"/>
        <v>501.75</v>
      </c>
      <c r="Y58">
        <f t="shared" si="19"/>
        <v>190.77500000000001</v>
      </c>
      <c r="Z58">
        <f t="shared" si="20"/>
        <v>107.8</v>
      </c>
      <c r="AA58">
        <f t="shared" si="21"/>
        <v>16.7</v>
      </c>
      <c r="AB58" s="4">
        <f t="shared" si="12"/>
        <v>0.39786328094758844</v>
      </c>
    </row>
    <row r="59" spans="1:28" x14ac:dyDescent="0.35">
      <c r="A59" s="13" t="s">
        <v>107</v>
      </c>
      <c r="B59" s="13">
        <v>186</v>
      </c>
      <c r="C59">
        <f>VLOOKUP(CONCATENATE("2022",'2022_60'!A59),aktivnepesseg!$C$2:$D$2226,2,FALSE)</f>
        <v>9028</v>
      </c>
      <c r="D59" s="13">
        <v>7552</v>
      </c>
      <c r="E59">
        <f t="shared" si="11"/>
        <v>1476</v>
      </c>
      <c r="F59" s="13">
        <v>1002</v>
      </c>
      <c r="G59" s="13">
        <v>313</v>
      </c>
      <c r="H59" s="13">
        <v>161</v>
      </c>
      <c r="I59" s="13">
        <v>156</v>
      </c>
      <c r="J59" s="13">
        <v>291</v>
      </c>
      <c r="K59" s="13">
        <v>184</v>
      </c>
      <c r="L59" s="13">
        <v>212</v>
      </c>
      <c r="M59" s="13">
        <v>131</v>
      </c>
      <c r="N59" s="13">
        <v>471</v>
      </c>
      <c r="O59" s="13">
        <v>445</v>
      </c>
      <c r="P59" s="13">
        <v>1405</v>
      </c>
      <c r="Q59" s="13">
        <v>1029</v>
      </c>
      <c r="R59" s="13">
        <v>1664</v>
      </c>
      <c r="S59">
        <f t="shared" si="13"/>
        <v>1476</v>
      </c>
      <c r="T59">
        <f t="shared" si="14"/>
        <v>926.85</v>
      </c>
      <c r="U59">
        <f t="shared" si="15"/>
        <v>242.57500000000002</v>
      </c>
      <c r="V59">
        <f t="shared" si="16"/>
        <v>104.65</v>
      </c>
      <c r="W59">
        <f t="shared" si="17"/>
        <v>85.800000000000011</v>
      </c>
      <c r="X59">
        <f t="shared" si="18"/>
        <v>130.95000000000002</v>
      </c>
      <c r="Y59">
        <f t="shared" si="19"/>
        <v>59.800000000000004</v>
      </c>
      <c r="Z59">
        <f t="shared" si="20"/>
        <v>37.099999999999994</v>
      </c>
      <c r="AA59">
        <f t="shared" si="21"/>
        <v>6.5500000000000007</v>
      </c>
      <c r="AB59" s="4">
        <f t="shared" si="12"/>
        <v>0.34008362871067788</v>
      </c>
    </row>
    <row r="60" spans="1:28" x14ac:dyDescent="0.35">
      <c r="A60" s="13" t="s">
        <v>109</v>
      </c>
      <c r="B60" s="13">
        <v>171</v>
      </c>
      <c r="C60">
        <f>VLOOKUP(CONCATENATE("2022",'2022_60'!A60),aktivnepesseg!$C$2:$D$2226,2,FALSE)</f>
        <v>17928</v>
      </c>
      <c r="D60" s="13">
        <v>14240</v>
      </c>
      <c r="E60">
        <f t="shared" si="11"/>
        <v>3688</v>
      </c>
      <c r="F60" s="13">
        <v>2037</v>
      </c>
      <c r="G60" s="13">
        <v>577</v>
      </c>
      <c r="H60" s="13">
        <v>385</v>
      </c>
      <c r="I60" s="13">
        <v>252</v>
      </c>
      <c r="J60" s="13">
        <v>498</v>
      </c>
      <c r="K60" s="13">
        <v>411</v>
      </c>
      <c r="L60" s="13">
        <v>420</v>
      </c>
      <c r="M60" s="13">
        <v>236</v>
      </c>
      <c r="N60" s="13">
        <v>867</v>
      </c>
      <c r="O60" s="13">
        <v>762</v>
      </c>
      <c r="P60" s="13">
        <v>2399</v>
      </c>
      <c r="Q60" s="13">
        <v>1644</v>
      </c>
      <c r="R60" s="13">
        <v>3724</v>
      </c>
      <c r="S60">
        <f t="shared" si="13"/>
        <v>3688</v>
      </c>
      <c r="T60">
        <f t="shared" si="14"/>
        <v>1884.2250000000001</v>
      </c>
      <c r="U60">
        <f t="shared" si="15"/>
        <v>447.17500000000001</v>
      </c>
      <c r="V60">
        <f t="shared" si="16"/>
        <v>250.25</v>
      </c>
      <c r="W60">
        <f t="shared" si="17"/>
        <v>138.60000000000002</v>
      </c>
      <c r="X60">
        <f t="shared" si="18"/>
        <v>224.1</v>
      </c>
      <c r="Y60">
        <f t="shared" si="19"/>
        <v>133.57500000000002</v>
      </c>
      <c r="Z60">
        <f t="shared" si="20"/>
        <v>73.5</v>
      </c>
      <c r="AA60">
        <f t="shared" si="21"/>
        <v>11.8</v>
      </c>
      <c r="AB60" s="4">
        <f t="shared" si="12"/>
        <v>0.38215221999107546</v>
      </c>
    </row>
    <row r="61" spans="1:28" x14ac:dyDescent="0.35">
      <c r="A61" s="13" t="s">
        <v>111</v>
      </c>
      <c r="B61" s="13">
        <v>126</v>
      </c>
      <c r="C61">
        <f>VLOOKUP(CONCATENATE("2022",'2022_60'!A61),aktivnepesseg!$C$2:$D$2226,2,FALSE)</f>
        <v>56890</v>
      </c>
      <c r="D61" s="13">
        <v>47676</v>
      </c>
      <c r="E61">
        <f t="shared" si="11"/>
        <v>9214</v>
      </c>
      <c r="F61" s="13">
        <v>5212</v>
      </c>
      <c r="G61" s="13">
        <v>1646</v>
      </c>
      <c r="H61" s="13">
        <v>1134</v>
      </c>
      <c r="I61" s="13">
        <v>772</v>
      </c>
      <c r="J61" s="13">
        <v>1191</v>
      </c>
      <c r="K61" s="13">
        <v>1036</v>
      </c>
      <c r="L61" s="13">
        <v>1335</v>
      </c>
      <c r="M61" s="13">
        <v>666</v>
      </c>
      <c r="N61" s="13">
        <v>2681</v>
      </c>
      <c r="O61" s="13">
        <v>1964</v>
      </c>
      <c r="P61" s="13">
        <v>6387</v>
      </c>
      <c r="Q61" s="13">
        <v>4157</v>
      </c>
      <c r="R61" s="13">
        <v>19495</v>
      </c>
      <c r="S61">
        <f t="shared" si="13"/>
        <v>9214</v>
      </c>
      <c r="T61">
        <f t="shared" si="14"/>
        <v>4821.1000000000004</v>
      </c>
      <c r="U61">
        <f t="shared" si="15"/>
        <v>1275.6500000000001</v>
      </c>
      <c r="V61">
        <f t="shared" si="16"/>
        <v>737.1</v>
      </c>
      <c r="W61">
        <f t="shared" si="17"/>
        <v>424.6</v>
      </c>
      <c r="X61">
        <f t="shared" si="18"/>
        <v>535.95000000000005</v>
      </c>
      <c r="Y61">
        <f t="shared" si="19"/>
        <v>336.7</v>
      </c>
      <c r="Z61">
        <f t="shared" si="20"/>
        <v>233.62499999999997</v>
      </c>
      <c r="AA61">
        <f t="shared" si="21"/>
        <v>33.300000000000004</v>
      </c>
      <c r="AB61" s="4">
        <f t="shared" si="12"/>
        <v>0.30958033046229566</v>
      </c>
    </row>
    <row r="62" spans="1:28" x14ac:dyDescent="0.35">
      <c r="A62" s="13" t="s">
        <v>113</v>
      </c>
      <c r="B62" s="13">
        <v>78</v>
      </c>
      <c r="C62">
        <f>VLOOKUP(CONCATENATE("2022",'2022_60'!A62),aktivnepesseg!$C$2:$D$2226,2,FALSE)</f>
        <v>57077</v>
      </c>
      <c r="D62" s="13">
        <v>47908</v>
      </c>
      <c r="E62">
        <f t="shared" si="11"/>
        <v>9169</v>
      </c>
      <c r="F62" s="13">
        <v>5611</v>
      </c>
      <c r="G62" s="13">
        <v>1667</v>
      </c>
      <c r="H62" s="13">
        <v>961</v>
      </c>
      <c r="I62" s="13">
        <v>777</v>
      </c>
      <c r="J62" s="13">
        <v>1071</v>
      </c>
      <c r="K62" s="13">
        <v>1068</v>
      </c>
      <c r="L62" s="13">
        <v>1260</v>
      </c>
      <c r="M62" s="13">
        <v>694</v>
      </c>
      <c r="N62" s="13">
        <v>2493</v>
      </c>
      <c r="O62" s="13">
        <v>2152</v>
      </c>
      <c r="P62" s="13">
        <v>7015</v>
      </c>
      <c r="Q62" s="13">
        <v>4995</v>
      </c>
      <c r="R62" s="13">
        <v>18142</v>
      </c>
      <c r="S62">
        <f t="shared" si="13"/>
        <v>9169</v>
      </c>
      <c r="T62">
        <f t="shared" si="14"/>
        <v>5190.1750000000002</v>
      </c>
      <c r="U62">
        <f t="shared" si="15"/>
        <v>1291.925</v>
      </c>
      <c r="V62">
        <f t="shared" si="16"/>
        <v>624.65</v>
      </c>
      <c r="W62">
        <f t="shared" si="17"/>
        <v>427.35</v>
      </c>
      <c r="X62">
        <f t="shared" si="18"/>
        <v>481.95</v>
      </c>
      <c r="Y62">
        <f t="shared" si="19"/>
        <v>347.1</v>
      </c>
      <c r="Z62">
        <f t="shared" si="20"/>
        <v>220.5</v>
      </c>
      <c r="AA62">
        <f t="shared" si="21"/>
        <v>34.700000000000003</v>
      </c>
      <c r="AB62" s="4">
        <f t="shared" si="12"/>
        <v>0.31163778755015153</v>
      </c>
    </row>
    <row r="63" spans="1:28" x14ac:dyDescent="0.35">
      <c r="A63" s="13" t="s">
        <v>115</v>
      </c>
      <c r="B63" s="13">
        <v>55</v>
      </c>
      <c r="C63">
        <f>VLOOKUP(CONCATENATE("2022",'2022_60'!A63),aktivnepesseg!$C$2:$D$2226,2,FALSE)</f>
        <v>19398</v>
      </c>
      <c r="D63" s="13">
        <v>15171</v>
      </c>
      <c r="E63">
        <f t="shared" si="11"/>
        <v>4227</v>
      </c>
      <c r="F63" s="13">
        <v>2153</v>
      </c>
      <c r="G63" s="13">
        <v>980</v>
      </c>
      <c r="H63" s="13">
        <v>498</v>
      </c>
      <c r="I63" s="13">
        <v>512</v>
      </c>
      <c r="J63" s="13">
        <v>1339</v>
      </c>
      <c r="K63" s="13">
        <v>622</v>
      </c>
      <c r="L63" s="13">
        <v>447</v>
      </c>
      <c r="M63" s="13">
        <v>221</v>
      </c>
      <c r="N63" s="13">
        <v>835</v>
      </c>
      <c r="O63" s="13">
        <v>705</v>
      </c>
      <c r="P63" s="13">
        <v>2342</v>
      </c>
      <c r="Q63" s="13">
        <v>1513</v>
      </c>
      <c r="R63" s="13">
        <v>2837</v>
      </c>
      <c r="S63">
        <f t="shared" si="13"/>
        <v>4227</v>
      </c>
      <c r="T63">
        <f t="shared" si="14"/>
        <v>1991.5250000000001</v>
      </c>
      <c r="U63">
        <f t="shared" si="15"/>
        <v>759.5</v>
      </c>
      <c r="V63">
        <f t="shared" si="16"/>
        <v>323.7</v>
      </c>
      <c r="W63">
        <f t="shared" si="17"/>
        <v>281.60000000000002</v>
      </c>
      <c r="X63">
        <f t="shared" si="18"/>
        <v>602.55000000000007</v>
      </c>
      <c r="Y63">
        <f t="shared" si="19"/>
        <v>202.15</v>
      </c>
      <c r="Z63">
        <f t="shared" si="20"/>
        <v>78.224999999999994</v>
      </c>
      <c r="AA63">
        <f t="shared" si="21"/>
        <v>11.05</v>
      </c>
      <c r="AB63" s="4">
        <f t="shared" si="12"/>
        <v>0.43701928033817916</v>
      </c>
    </row>
    <row r="64" spans="1:28" x14ac:dyDescent="0.35">
      <c r="A64" s="13" t="s">
        <v>117</v>
      </c>
      <c r="B64" s="13">
        <v>104</v>
      </c>
      <c r="C64">
        <f>VLOOKUP(CONCATENATE("2022",'2022_60'!A64),aktivnepesseg!$C$2:$D$2226,2,FALSE)</f>
        <v>50648</v>
      </c>
      <c r="D64" s="13">
        <v>43832</v>
      </c>
      <c r="E64">
        <f t="shared" si="11"/>
        <v>6816</v>
      </c>
      <c r="F64" s="13">
        <v>5887</v>
      </c>
      <c r="G64" s="13">
        <v>1716</v>
      </c>
      <c r="H64" s="13">
        <v>975</v>
      </c>
      <c r="I64" s="13">
        <v>826</v>
      </c>
      <c r="J64" s="13">
        <v>1195</v>
      </c>
      <c r="K64" s="13">
        <v>1090</v>
      </c>
      <c r="L64" s="13">
        <v>1226</v>
      </c>
      <c r="M64" s="13">
        <v>650</v>
      </c>
      <c r="N64" s="13">
        <v>2340</v>
      </c>
      <c r="O64" s="13">
        <v>2060</v>
      </c>
      <c r="P64" s="13">
        <v>6949</v>
      </c>
      <c r="Q64" s="13">
        <v>4851</v>
      </c>
      <c r="R64" s="13">
        <v>14042</v>
      </c>
      <c r="S64">
        <f t="shared" si="13"/>
        <v>6816</v>
      </c>
      <c r="T64">
        <f t="shared" si="14"/>
        <v>5445.4750000000004</v>
      </c>
      <c r="U64">
        <f t="shared" si="15"/>
        <v>1329.9</v>
      </c>
      <c r="V64">
        <f t="shared" si="16"/>
        <v>633.75</v>
      </c>
      <c r="W64">
        <f t="shared" si="17"/>
        <v>454.3</v>
      </c>
      <c r="X64">
        <f t="shared" si="18"/>
        <v>537.75</v>
      </c>
      <c r="Y64">
        <f t="shared" si="19"/>
        <v>354.25</v>
      </c>
      <c r="Z64">
        <f t="shared" si="20"/>
        <v>214.54999999999998</v>
      </c>
      <c r="AA64">
        <f t="shared" si="21"/>
        <v>32.5</v>
      </c>
      <c r="AB64" s="4">
        <f t="shared" si="12"/>
        <v>0.31232180935081344</v>
      </c>
    </row>
    <row r="65" spans="1:28" x14ac:dyDescent="0.35">
      <c r="A65" s="13" t="s">
        <v>119</v>
      </c>
      <c r="B65" s="13">
        <v>56</v>
      </c>
      <c r="C65">
        <f>VLOOKUP(CONCATENATE("2022",'2022_60'!A65),aktivnepesseg!$C$2:$D$2226,2,FALSE)</f>
        <v>12794</v>
      </c>
      <c r="D65" s="13">
        <v>10142</v>
      </c>
      <c r="E65">
        <f t="shared" si="11"/>
        <v>2652</v>
      </c>
      <c r="F65" s="13">
        <v>1573</v>
      </c>
      <c r="G65" s="13">
        <v>724</v>
      </c>
      <c r="H65" s="13">
        <v>370</v>
      </c>
      <c r="I65" s="13">
        <v>396</v>
      </c>
      <c r="J65" s="13">
        <v>860</v>
      </c>
      <c r="K65" s="13">
        <v>358</v>
      </c>
      <c r="L65" s="13">
        <v>299</v>
      </c>
      <c r="M65" s="13">
        <v>159</v>
      </c>
      <c r="N65" s="13">
        <v>620</v>
      </c>
      <c r="O65" s="13">
        <v>482</v>
      </c>
      <c r="P65" s="13">
        <v>1525</v>
      </c>
      <c r="Q65" s="13">
        <v>954</v>
      </c>
      <c r="R65" s="13">
        <v>1722</v>
      </c>
      <c r="S65">
        <f t="shared" si="13"/>
        <v>2652</v>
      </c>
      <c r="T65">
        <f t="shared" si="14"/>
        <v>1455.0250000000001</v>
      </c>
      <c r="U65">
        <f t="shared" si="15"/>
        <v>561.1</v>
      </c>
      <c r="V65">
        <f t="shared" si="16"/>
        <v>240.5</v>
      </c>
      <c r="W65">
        <f t="shared" si="17"/>
        <v>217.8</v>
      </c>
      <c r="X65">
        <f t="shared" si="18"/>
        <v>387</v>
      </c>
      <c r="Y65">
        <f t="shared" si="19"/>
        <v>116.35000000000001</v>
      </c>
      <c r="Z65">
        <f t="shared" si="20"/>
        <v>52.324999999999996</v>
      </c>
      <c r="AA65">
        <f t="shared" si="21"/>
        <v>7.95</v>
      </c>
      <c r="AB65" s="4">
        <f t="shared" si="12"/>
        <v>0.44474362982648119</v>
      </c>
    </row>
    <row r="66" spans="1:28" x14ac:dyDescent="0.35">
      <c r="A66" s="13" t="s">
        <v>121</v>
      </c>
      <c r="B66" s="13">
        <v>79</v>
      </c>
      <c r="C66">
        <f>VLOOKUP(CONCATENATE("2022",'2022_60'!A66),aktivnepesseg!$C$2:$D$2226,2,FALSE)</f>
        <v>12682</v>
      </c>
      <c r="D66" s="13">
        <v>10916</v>
      </c>
      <c r="E66">
        <f t="shared" si="11"/>
        <v>1766</v>
      </c>
      <c r="F66" s="13">
        <v>1459</v>
      </c>
      <c r="G66" s="13">
        <v>418</v>
      </c>
      <c r="H66" s="13">
        <v>264</v>
      </c>
      <c r="I66" s="13">
        <v>208</v>
      </c>
      <c r="J66" s="13">
        <v>294</v>
      </c>
      <c r="K66" s="13">
        <v>266</v>
      </c>
      <c r="L66" s="13">
        <v>301</v>
      </c>
      <c r="M66" s="13">
        <v>179</v>
      </c>
      <c r="N66" s="13">
        <v>685</v>
      </c>
      <c r="O66" s="13">
        <v>563</v>
      </c>
      <c r="P66" s="13">
        <v>1809</v>
      </c>
      <c r="Q66" s="13">
        <v>1363</v>
      </c>
      <c r="R66" s="13">
        <v>3103</v>
      </c>
      <c r="S66">
        <f t="shared" si="13"/>
        <v>1766</v>
      </c>
      <c r="T66">
        <f t="shared" si="14"/>
        <v>1349.575</v>
      </c>
      <c r="U66">
        <f t="shared" si="15"/>
        <v>323.95</v>
      </c>
      <c r="V66">
        <f t="shared" si="16"/>
        <v>171.6</v>
      </c>
      <c r="W66">
        <f t="shared" si="17"/>
        <v>114.4</v>
      </c>
      <c r="X66">
        <f t="shared" si="18"/>
        <v>132.30000000000001</v>
      </c>
      <c r="Y66">
        <f t="shared" si="19"/>
        <v>86.45</v>
      </c>
      <c r="Z66">
        <f t="shared" si="20"/>
        <v>52.674999999999997</v>
      </c>
      <c r="AA66">
        <f t="shared" si="21"/>
        <v>8.9500000000000011</v>
      </c>
      <c r="AB66" s="4">
        <f t="shared" si="12"/>
        <v>0.31587289071124425</v>
      </c>
    </row>
    <row r="67" spans="1:28" x14ac:dyDescent="0.35">
      <c r="A67" s="13" t="s">
        <v>123</v>
      </c>
      <c r="B67" s="13">
        <v>127</v>
      </c>
      <c r="C67">
        <f>VLOOKUP(CONCATENATE("2022",'2022_60'!A67),aktivnepesseg!$C$2:$D$2226,2,FALSE)</f>
        <v>83631</v>
      </c>
      <c r="D67" s="13">
        <v>71013</v>
      </c>
      <c r="E67">
        <f t="shared" si="11"/>
        <v>12618</v>
      </c>
      <c r="F67" s="13">
        <v>7584</v>
      </c>
      <c r="G67" s="13">
        <v>2433</v>
      </c>
      <c r="H67" s="13">
        <v>1625</v>
      </c>
      <c r="I67" s="13">
        <v>1214</v>
      </c>
      <c r="J67" s="13">
        <v>1786</v>
      </c>
      <c r="K67" s="13">
        <v>1600</v>
      </c>
      <c r="L67" s="13">
        <v>2017</v>
      </c>
      <c r="M67" s="13">
        <v>1063</v>
      </c>
      <c r="N67" s="13">
        <v>4063</v>
      </c>
      <c r="O67" s="13">
        <v>3088</v>
      </c>
      <c r="P67" s="13">
        <v>9806</v>
      </c>
      <c r="Q67" s="13">
        <v>6805</v>
      </c>
      <c r="R67" s="13">
        <v>27929</v>
      </c>
      <c r="S67">
        <f t="shared" si="13"/>
        <v>12618</v>
      </c>
      <c r="T67">
        <f t="shared" si="14"/>
        <v>7015.2000000000007</v>
      </c>
      <c r="U67">
        <f t="shared" si="15"/>
        <v>1885.575</v>
      </c>
      <c r="V67">
        <f t="shared" si="16"/>
        <v>1056.25</v>
      </c>
      <c r="W67">
        <f t="shared" si="17"/>
        <v>667.7</v>
      </c>
      <c r="X67">
        <f t="shared" si="18"/>
        <v>803.7</v>
      </c>
      <c r="Y67">
        <f t="shared" si="19"/>
        <v>520</v>
      </c>
      <c r="Z67">
        <f t="shared" si="20"/>
        <v>352.97499999999997</v>
      </c>
      <c r="AA67">
        <f t="shared" si="21"/>
        <v>53.150000000000006</v>
      </c>
      <c r="AB67" s="4">
        <f t="shared" si="12"/>
        <v>0.29860398656000769</v>
      </c>
    </row>
    <row r="68" spans="1:28" x14ac:dyDescent="0.35">
      <c r="A68" s="13" t="s">
        <v>125</v>
      </c>
      <c r="B68" s="13">
        <v>110</v>
      </c>
      <c r="C68">
        <f>VLOOKUP(CONCATENATE("2022",'2022_60'!A68),aktivnepesseg!$C$2:$D$2226,2,FALSE)</f>
        <v>58928</v>
      </c>
      <c r="D68" s="13">
        <v>49371</v>
      </c>
      <c r="E68">
        <f t="shared" si="11"/>
        <v>9557</v>
      </c>
      <c r="F68" s="13">
        <v>5017</v>
      </c>
      <c r="G68" s="13">
        <v>1675</v>
      </c>
      <c r="H68" s="13">
        <v>904</v>
      </c>
      <c r="I68" s="13">
        <v>841</v>
      </c>
      <c r="J68" s="13">
        <v>1280</v>
      </c>
      <c r="K68" s="13">
        <v>1175</v>
      </c>
      <c r="L68" s="13">
        <v>1423</v>
      </c>
      <c r="M68" s="13">
        <v>776</v>
      </c>
      <c r="N68" s="13">
        <v>2858</v>
      </c>
      <c r="O68" s="13">
        <v>2416</v>
      </c>
      <c r="P68" s="13">
        <v>7876</v>
      </c>
      <c r="Q68" s="13">
        <v>5132</v>
      </c>
      <c r="R68" s="13">
        <v>17993</v>
      </c>
      <c r="S68">
        <f t="shared" si="13"/>
        <v>9557</v>
      </c>
      <c r="T68">
        <f t="shared" si="14"/>
        <v>4640.7250000000004</v>
      </c>
      <c r="U68">
        <f t="shared" si="15"/>
        <v>1298.125</v>
      </c>
      <c r="V68">
        <f t="shared" si="16"/>
        <v>587.6</v>
      </c>
      <c r="W68">
        <f t="shared" si="17"/>
        <v>462.55</v>
      </c>
      <c r="X68">
        <f t="shared" si="18"/>
        <v>576</v>
      </c>
      <c r="Y68">
        <f t="shared" si="19"/>
        <v>381.875</v>
      </c>
      <c r="Z68">
        <f t="shared" si="20"/>
        <v>249.02499999999998</v>
      </c>
      <c r="AA68">
        <f t="shared" si="21"/>
        <v>38.800000000000004</v>
      </c>
      <c r="AB68" s="4">
        <f t="shared" si="12"/>
        <v>0.30192268531088789</v>
      </c>
    </row>
    <row r="69" spans="1:28" x14ac:dyDescent="0.35">
      <c r="A69" s="13" t="s">
        <v>127</v>
      </c>
      <c r="B69" s="13">
        <v>150</v>
      </c>
      <c r="C69">
        <f>VLOOKUP(CONCATENATE("2022",'2022_60'!A69),aktivnepesseg!$C$2:$D$2226,2,FALSE)</f>
        <v>22486</v>
      </c>
      <c r="D69" s="13">
        <v>19266</v>
      </c>
      <c r="E69">
        <f t="shared" si="11"/>
        <v>3220</v>
      </c>
      <c r="F69" s="13">
        <v>3614</v>
      </c>
      <c r="G69" s="13">
        <v>1119</v>
      </c>
      <c r="H69" s="13">
        <v>693</v>
      </c>
      <c r="I69" s="13">
        <v>674</v>
      </c>
      <c r="J69" s="13">
        <v>1823</v>
      </c>
      <c r="K69" s="13">
        <v>789</v>
      </c>
      <c r="L69" s="13">
        <v>749</v>
      </c>
      <c r="M69" s="13">
        <v>285</v>
      </c>
      <c r="N69" s="13">
        <v>1155</v>
      </c>
      <c r="O69" s="13">
        <v>831</v>
      </c>
      <c r="P69" s="13">
        <v>2925</v>
      </c>
      <c r="Q69" s="13">
        <v>1561</v>
      </c>
      <c r="R69" s="13">
        <v>2944</v>
      </c>
      <c r="S69">
        <f t="shared" si="13"/>
        <v>3220</v>
      </c>
      <c r="T69">
        <f t="shared" si="14"/>
        <v>3342.9500000000003</v>
      </c>
      <c r="U69">
        <f t="shared" si="15"/>
        <v>867.22500000000002</v>
      </c>
      <c r="V69">
        <f t="shared" si="16"/>
        <v>450.45</v>
      </c>
      <c r="W69">
        <f t="shared" si="17"/>
        <v>370.70000000000005</v>
      </c>
      <c r="X69">
        <f t="shared" si="18"/>
        <v>820.35</v>
      </c>
      <c r="Y69">
        <f t="shared" si="19"/>
        <v>256.42500000000001</v>
      </c>
      <c r="Z69">
        <f t="shared" si="20"/>
        <v>131.07499999999999</v>
      </c>
      <c r="AA69">
        <f t="shared" si="21"/>
        <v>14.25</v>
      </c>
      <c r="AB69" s="4">
        <f t="shared" si="12"/>
        <v>0.42130325535889002</v>
      </c>
    </row>
    <row r="70" spans="1:28" x14ac:dyDescent="0.35">
      <c r="A70" s="13" t="s">
        <v>129</v>
      </c>
      <c r="B70" s="13">
        <v>142</v>
      </c>
      <c r="C70">
        <f>VLOOKUP(CONCATENATE("2022",'2022_60'!A70),aktivnepesseg!$C$2:$D$2226,2,FALSE)</f>
        <v>19755</v>
      </c>
      <c r="D70" s="13">
        <v>16794</v>
      </c>
      <c r="E70">
        <f t="shared" si="11"/>
        <v>2961</v>
      </c>
      <c r="F70" s="13">
        <v>3071</v>
      </c>
      <c r="G70" s="13">
        <v>874</v>
      </c>
      <c r="H70" s="13">
        <v>469</v>
      </c>
      <c r="I70" s="13">
        <v>373</v>
      </c>
      <c r="J70" s="13">
        <v>556</v>
      </c>
      <c r="K70" s="13">
        <v>485</v>
      </c>
      <c r="L70" s="13">
        <v>548</v>
      </c>
      <c r="M70" s="13">
        <v>256</v>
      </c>
      <c r="N70" s="13">
        <v>1118</v>
      </c>
      <c r="O70" s="13">
        <v>886</v>
      </c>
      <c r="P70" s="13">
        <v>2908</v>
      </c>
      <c r="Q70" s="13">
        <v>1758</v>
      </c>
      <c r="R70" s="13">
        <v>3471</v>
      </c>
      <c r="S70">
        <f t="shared" si="13"/>
        <v>2961</v>
      </c>
      <c r="T70">
        <f t="shared" si="14"/>
        <v>2840.6750000000002</v>
      </c>
      <c r="U70">
        <f t="shared" si="15"/>
        <v>677.35</v>
      </c>
      <c r="V70">
        <f t="shared" si="16"/>
        <v>304.85000000000002</v>
      </c>
      <c r="W70">
        <f t="shared" si="17"/>
        <v>205.15</v>
      </c>
      <c r="X70">
        <f t="shared" si="18"/>
        <v>250.20000000000002</v>
      </c>
      <c r="Y70">
        <f t="shared" si="19"/>
        <v>157.625</v>
      </c>
      <c r="Z70">
        <f t="shared" si="20"/>
        <v>95.899999999999991</v>
      </c>
      <c r="AA70">
        <f t="shared" si="21"/>
        <v>12.8</v>
      </c>
      <c r="AB70" s="4">
        <f t="shared" si="12"/>
        <v>0.37993166287015945</v>
      </c>
    </row>
    <row r="71" spans="1:28" x14ac:dyDescent="0.35">
      <c r="A71" s="13" t="s">
        <v>131</v>
      </c>
      <c r="B71" s="13">
        <v>105</v>
      </c>
      <c r="C71">
        <f>VLOOKUP(CONCATENATE("2022",'2022_60'!A71),aktivnepesseg!$C$2:$D$2226,2,FALSE)</f>
        <v>17881</v>
      </c>
      <c r="D71" s="13">
        <v>14729</v>
      </c>
      <c r="E71">
        <f t="shared" ref="E71:E134" si="22">C71-D71</f>
        <v>3152</v>
      </c>
      <c r="F71" s="13">
        <v>2024</v>
      </c>
      <c r="G71" s="13">
        <v>694</v>
      </c>
      <c r="H71" s="13">
        <v>376</v>
      </c>
      <c r="I71" s="13">
        <v>357</v>
      </c>
      <c r="J71" s="13">
        <v>612</v>
      </c>
      <c r="K71" s="13">
        <v>428</v>
      </c>
      <c r="L71" s="13">
        <v>476</v>
      </c>
      <c r="M71" s="13">
        <v>281</v>
      </c>
      <c r="N71" s="13">
        <v>1011</v>
      </c>
      <c r="O71" s="13">
        <v>699</v>
      </c>
      <c r="P71" s="13">
        <v>2435</v>
      </c>
      <c r="Q71" s="13">
        <v>1710</v>
      </c>
      <c r="R71" s="13">
        <v>3610</v>
      </c>
      <c r="S71">
        <f t="shared" ref="S71:S102" si="23">E71*E$5</f>
        <v>3152</v>
      </c>
      <c r="T71">
        <f t="shared" ref="T71:T102" si="24">F71*F$5</f>
        <v>1872.2</v>
      </c>
      <c r="U71">
        <f t="shared" ref="U71:U102" si="25">G71*G$5</f>
        <v>537.85</v>
      </c>
      <c r="V71">
        <f t="shared" ref="V71:V102" si="26">H71*H$5</f>
        <v>244.4</v>
      </c>
      <c r="W71">
        <f t="shared" ref="W71:W102" si="27">I71*I$5</f>
        <v>196.35000000000002</v>
      </c>
      <c r="X71">
        <f t="shared" ref="X71:X102" si="28">J71*J$5</f>
        <v>275.40000000000003</v>
      </c>
      <c r="Y71">
        <f t="shared" ref="Y71:Y102" si="29">K71*K$5</f>
        <v>139.1</v>
      </c>
      <c r="Z71">
        <f t="shared" ref="Z71:Z102" si="30">L71*L$5</f>
        <v>83.3</v>
      </c>
      <c r="AA71">
        <f t="shared" ref="AA71:AA102" si="31">M71*M$5</f>
        <v>14.05</v>
      </c>
      <c r="AB71" s="4">
        <f t="shared" ref="AB71:AB134" si="32">SUM(S71:AA71)/$C71</f>
        <v>0.36433365024327502</v>
      </c>
    </row>
    <row r="72" spans="1:28" x14ac:dyDescent="0.35">
      <c r="A72" s="13" t="s">
        <v>133</v>
      </c>
      <c r="B72" s="13">
        <v>80</v>
      </c>
      <c r="C72">
        <f>VLOOKUP(CONCATENATE("2022",'2022_60'!A72),aktivnepesseg!$C$2:$D$2226,2,FALSE)</f>
        <v>22496</v>
      </c>
      <c r="D72" s="13">
        <v>19904</v>
      </c>
      <c r="E72">
        <f t="shared" si="22"/>
        <v>2592</v>
      </c>
      <c r="F72" s="13">
        <v>2571</v>
      </c>
      <c r="G72" s="13">
        <v>647</v>
      </c>
      <c r="H72" s="13">
        <v>413</v>
      </c>
      <c r="I72" s="13">
        <v>311</v>
      </c>
      <c r="J72" s="13">
        <v>431</v>
      </c>
      <c r="K72" s="13">
        <v>458</v>
      </c>
      <c r="L72" s="13">
        <v>534</v>
      </c>
      <c r="M72" s="13">
        <v>295</v>
      </c>
      <c r="N72" s="13">
        <v>1132</v>
      </c>
      <c r="O72" s="13">
        <v>860</v>
      </c>
      <c r="P72" s="13">
        <v>3015</v>
      </c>
      <c r="Q72" s="13">
        <v>1906</v>
      </c>
      <c r="R72" s="13">
        <v>7329</v>
      </c>
      <c r="S72">
        <f t="shared" si="23"/>
        <v>2592</v>
      </c>
      <c r="T72">
        <f t="shared" si="24"/>
        <v>2378.1750000000002</v>
      </c>
      <c r="U72">
        <f t="shared" si="25"/>
        <v>501.42500000000001</v>
      </c>
      <c r="V72">
        <f t="shared" si="26"/>
        <v>268.45</v>
      </c>
      <c r="W72">
        <f t="shared" si="27"/>
        <v>171.05</v>
      </c>
      <c r="X72">
        <f t="shared" si="28"/>
        <v>193.95000000000002</v>
      </c>
      <c r="Y72">
        <f t="shared" si="29"/>
        <v>148.85</v>
      </c>
      <c r="Z72">
        <f t="shared" si="30"/>
        <v>93.449999999999989</v>
      </c>
      <c r="AA72">
        <f t="shared" si="31"/>
        <v>14.75</v>
      </c>
      <c r="AB72" s="4">
        <f t="shared" si="32"/>
        <v>0.2828102773826458</v>
      </c>
    </row>
    <row r="73" spans="1:28" x14ac:dyDescent="0.35">
      <c r="A73" s="13" t="s">
        <v>135</v>
      </c>
      <c r="B73" s="13">
        <v>128</v>
      </c>
      <c r="C73">
        <f>VLOOKUP(CONCATENATE("2022",'2022_60'!A73),aktivnepesseg!$C$2:$D$2226,2,FALSE)</f>
        <v>103200</v>
      </c>
      <c r="D73" s="13">
        <v>84799</v>
      </c>
      <c r="E73">
        <f t="shared" si="22"/>
        <v>18401</v>
      </c>
      <c r="F73" s="13">
        <v>9456</v>
      </c>
      <c r="G73" s="13">
        <v>3027</v>
      </c>
      <c r="H73" s="13">
        <v>2017</v>
      </c>
      <c r="I73" s="13">
        <v>1453</v>
      </c>
      <c r="J73" s="13">
        <v>2415</v>
      </c>
      <c r="K73" s="13">
        <v>1970</v>
      </c>
      <c r="L73" s="13">
        <v>2527</v>
      </c>
      <c r="M73" s="13">
        <v>1195</v>
      </c>
      <c r="N73" s="13">
        <v>5149</v>
      </c>
      <c r="O73" s="13">
        <v>3640</v>
      </c>
      <c r="P73" s="13">
        <v>11892</v>
      </c>
      <c r="Q73" s="13">
        <v>8084</v>
      </c>
      <c r="R73" s="13">
        <v>31972</v>
      </c>
      <c r="S73">
        <f t="shared" si="23"/>
        <v>18401</v>
      </c>
      <c r="T73">
        <f t="shared" si="24"/>
        <v>8746.8000000000011</v>
      </c>
      <c r="U73">
        <f t="shared" si="25"/>
        <v>2345.9250000000002</v>
      </c>
      <c r="V73">
        <f t="shared" si="26"/>
        <v>1311.05</v>
      </c>
      <c r="W73">
        <f t="shared" si="27"/>
        <v>799.15000000000009</v>
      </c>
      <c r="X73">
        <f t="shared" si="28"/>
        <v>1086.75</v>
      </c>
      <c r="Y73">
        <f t="shared" si="29"/>
        <v>640.25</v>
      </c>
      <c r="Z73">
        <f t="shared" si="30"/>
        <v>442.22499999999997</v>
      </c>
      <c r="AA73">
        <f t="shared" si="31"/>
        <v>59.75</v>
      </c>
      <c r="AB73" s="4">
        <f t="shared" si="32"/>
        <v>0.32783817829457368</v>
      </c>
    </row>
    <row r="74" spans="1:28" x14ac:dyDescent="0.35">
      <c r="A74" s="13" t="s">
        <v>137</v>
      </c>
      <c r="B74" s="13">
        <v>57</v>
      </c>
      <c r="C74">
        <f>VLOOKUP(CONCATENATE("2022",'2022_60'!A74),aktivnepesseg!$C$2:$D$2226,2,FALSE)</f>
        <v>10027</v>
      </c>
      <c r="D74" s="13">
        <v>7730</v>
      </c>
      <c r="E74">
        <f t="shared" si="22"/>
        <v>2297</v>
      </c>
      <c r="F74" s="13">
        <v>1289</v>
      </c>
      <c r="G74" s="13">
        <v>458</v>
      </c>
      <c r="H74" s="13">
        <v>280</v>
      </c>
      <c r="I74" s="13">
        <v>213</v>
      </c>
      <c r="J74" s="13">
        <v>774</v>
      </c>
      <c r="K74" s="13">
        <v>299</v>
      </c>
      <c r="L74" s="13">
        <v>240</v>
      </c>
      <c r="M74" s="13">
        <v>103</v>
      </c>
      <c r="N74" s="13">
        <v>505</v>
      </c>
      <c r="O74" s="13">
        <v>381</v>
      </c>
      <c r="P74" s="13">
        <v>1205</v>
      </c>
      <c r="Q74" s="13">
        <v>664</v>
      </c>
      <c r="R74" s="13">
        <v>1198</v>
      </c>
      <c r="S74">
        <f t="shared" si="23"/>
        <v>2297</v>
      </c>
      <c r="T74">
        <f t="shared" si="24"/>
        <v>1192.325</v>
      </c>
      <c r="U74">
        <f t="shared" si="25"/>
        <v>354.95</v>
      </c>
      <c r="V74">
        <f t="shared" si="26"/>
        <v>182</v>
      </c>
      <c r="W74">
        <f t="shared" si="27"/>
        <v>117.15</v>
      </c>
      <c r="X74">
        <f t="shared" si="28"/>
        <v>348.3</v>
      </c>
      <c r="Y74">
        <f t="shared" si="29"/>
        <v>97.174999999999997</v>
      </c>
      <c r="Z74">
        <f t="shared" si="30"/>
        <v>42</v>
      </c>
      <c r="AA74">
        <f t="shared" si="31"/>
        <v>5.15</v>
      </c>
      <c r="AB74" s="4">
        <f t="shared" si="32"/>
        <v>0.46235663707988423</v>
      </c>
    </row>
    <row r="75" spans="1:28" x14ac:dyDescent="0.35">
      <c r="A75" s="13" t="s">
        <v>139</v>
      </c>
      <c r="B75" s="13">
        <v>129</v>
      </c>
      <c r="C75">
        <f>VLOOKUP(CONCATENATE("2022",'2022_60'!A75),aktivnepesseg!$C$2:$D$2226,2,FALSE)</f>
        <v>28369</v>
      </c>
      <c r="D75" s="13">
        <v>24285</v>
      </c>
      <c r="E75">
        <f t="shared" si="22"/>
        <v>4084</v>
      </c>
      <c r="F75" s="13">
        <v>2540</v>
      </c>
      <c r="G75" s="13">
        <v>875</v>
      </c>
      <c r="H75" s="13">
        <v>579</v>
      </c>
      <c r="I75" s="13">
        <v>446</v>
      </c>
      <c r="J75" s="13">
        <v>748</v>
      </c>
      <c r="K75" s="13">
        <v>651</v>
      </c>
      <c r="L75" s="13">
        <v>778</v>
      </c>
      <c r="M75" s="13">
        <v>375</v>
      </c>
      <c r="N75" s="13">
        <v>1622</v>
      </c>
      <c r="O75" s="13">
        <v>1193</v>
      </c>
      <c r="P75" s="13">
        <v>3809</v>
      </c>
      <c r="Q75" s="13">
        <v>2486</v>
      </c>
      <c r="R75" s="13">
        <v>8183</v>
      </c>
      <c r="S75">
        <f t="shared" si="23"/>
        <v>4084</v>
      </c>
      <c r="T75">
        <f t="shared" si="24"/>
        <v>2349.5</v>
      </c>
      <c r="U75">
        <f t="shared" si="25"/>
        <v>678.125</v>
      </c>
      <c r="V75">
        <f t="shared" si="26"/>
        <v>376.35</v>
      </c>
      <c r="W75">
        <f t="shared" si="27"/>
        <v>245.3</v>
      </c>
      <c r="X75">
        <f t="shared" si="28"/>
        <v>336.6</v>
      </c>
      <c r="Y75">
        <f t="shared" si="29"/>
        <v>211.57500000000002</v>
      </c>
      <c r="Z75">
        <f t="shared" si="30"/>
        <v>136.14999999999998</v>
      </c>
      <c r="AA75">
        <f t="shared" si="31"/>
        <v>18.75</v>
      </c>
      <c r="AB75" s="4">
        <f t="shared" si="32"/>
        <v>0.29737918150093412</v>
      </c>
    </row>
    <row r="76" spans="1:28" x14ac:dyDescent="0.35">
      <c r="A76" s="13" t="s">
        <v>141</v>
      </c>
      <c r="B76" s="13">
        <v>47</v>
      </c>
      <c r="C76">
        <f>VLOOKUP(CONCATENATE("2022",'2022_60'!A76),aktivnepesseg!$C$2:$D$2226,2,FALSE)</f>
        <v>12998</v>
      </c>
      <c r="D76" s="13">
        <v>11554</v>
      </c>
      <c r="E76">
        <f t="shared" si="22"/>
        <v>1444</v>
      </c>
      <c r="F76" s="13">
        <v>1915</v>
      </c>
      <c r="G76" s="13">
        <v>464</v>
      </c>
      <c r="H76" s="13">
        <v>228</v>
      </c>
      <c r="I76" s="13">
        <v>235</v>
      </c>
      <c r="J76" s="13">
        <v>477</v>
      </c>
      <c r="K76" s="13">
        <v>375</v>
      </c>
      <c r="L76" s="13">
        <v>367</v>
      </c>
      <c r="M76" s="13">
        <v>246</v>
      </c>
      <c r="N76" s="13">
        <v>879</v>
      </c>
      <c r="O76" s="13">
        <v>734</v>
      </c>
      <c r="P76" s="13">
        <v>2330</v>
      </c>
      <c r="Q76" s="13">
        <v>1287</v>
      </c>
      <c r="R76" s="13">
        <v>2015</v>
      </c>
      <c r="S76">
        <f t="shared" si="23"/>
        <v>1444</v>
      </c>
      <c r="T76">
        <f t="shared" si="24"/>
        <v>1771.375</v>
      </c>
      <c r="U76">
        <f t="shared" si="25"/>
        <v>359.6</v>
      </c>
      <c r="V76">
        <f t="shared" si="26"/>
        <v>148.20000000000002</v>
      </c>
      <c r="W76">
        <f t="shared" si="27"/>
        <v>129.25</v>
      </c>
      <c r="X76">
        <f t="shared" si="28"/>
        <v>214.65</v>
      </c>
      <c r="Y76">
        <f t="shared" si="29"/>
        <v>121.875</v>
      </c>
      <c r="Z76">
        <f t="shared" si="30"/>
        <v>64.224999999999994</v>
      </c>
      <c r="AA76">
        <f t="shared" si="31"/>
        <v>12.3</v>
      </c>
      <c r="AB76" s="4">
        <f t="shared" si="32"/>
        <v>0.32816394829973844</v>
      </c>
    </row>
    <row r="77" spans="1:28" x14ac:dyDescent="0.35">
      <c r="A77" s="13" t="s">
        <v>143</v>
      </c>
      <c r="B77" s="13">
        <v>106</v>
      </c>
      <c r="C77">
        <f>VLOOKUP(CONCATENATE("2022",'2022_60'!A77),aktivnepesseg!$C$2:$D$2226,2,FALSE)</f>
        <v>41731</v>
      </c>
      <c r="D77" s="13">
        <v>35426</v>
      </c>
      <c r="E77">
        <f t="shared" si="22"/>
        <v>6305</v>
      </c>
      <c r="F77" s="13">
        <v>4382</v>
      </c>
      <c r="G77" s="13">
        <v>1329</v>
      </c>
      <c r="H77" s="13">
        <v>771</v>
      </c>
      <c r="I77" s="13">
        <v>594</v>
      </c>
      <c r="J77" s="13">
        <v>852</v>
      </c>
      <c r="K77" s="13">
        <v>781</v>
      </c>
      <c r="L77" s="13">
        <v>958</v>
      </c>
      <c r="M77" s="13">
        <v>464</v>
      </c>
      <c r="N77" s="13">
        <v>1996</v>
      </c>
      <c r="O77" s="13">
        <v>1728</v>
      </c>
      <c r="P77" s="13">
        <v>5319</v>
      </c>
      <c r="Q77" s="13">
        <v>3789</v>
      </c>
      <c r="R77" s="13">
        <v>12445</v>
      </c>
      <c r="S77">
        <f t="shared" si="23"/>
        <v>6305</v>
      </c>
      <c r="T77">
        <f t="shared" si="24"/>
        <v>4053.3500000000004</v>
      </c>
      <c r="U77">
        <f t="shared" si="25"/>
        <v>1029.9750000000001</v>
      </c>
      <c r="V77">
        <f t="shared" si="26"/>
        <v>501.15000000000003</v>
      </c>
      <c r="W77">
        <f t="shared" si="27"/>
        <v>326.70000000000005</v>
      </c>
      <c r="X77">
        <f t="shared" si="28"/>
        <v>383.40000000000003</v>
      </c>
      <c r="Y77">
        <f t="shared" si="29"/>
        <v>253.82500000000002</v>
      </c>
      <c r="Z77">
        <f t="shared" si="30"/>
        <v>167.64999999999998</v>
      </c>
      <c r="AA77">
        <f t="shared" si="31"/>
        <v>23.200000000000003</v>
      </c>
      <c r="AB77" s="4">
        <f t="shared" si="32"/>
        <v>0.31257937744123077</v>
      </c>
    </row>
    <row r="78" spans="1:28" x14ac:dyDescent="0.35">
      <c r="A78" s="13" t="s">
        <v>145</v>
      </c>
      <c r="B78" s="13">
        <v>87</v>
      </c>
      <c r="C78">
        <f>VLOOKUP(CONCATENATE("2022",'2022_60'!A78),aktivnepesseg!$C$2:$D$2226,2,FALSE)</f>
        <v>129276</v>
      </c>
      <c r="D78" s="13">
        <v>106661</v>
      </c>
      <c r="E78">
        <f t="shared" si="22"/>
        <v>22615</v>
      </c>
      <c r="F78" s="13">
        <v>12623</v>
      </c>
      <c r="G78" s="13">
        <v>3384</v>
      </c>
      <c r="H78" s="13">
        <v>2128</v>
      </c>
      <c r="I78" s="13">
        <v>1792</v>
      </c>
      <c r="J78" s="13">
        <v>2242</v>
      </c>
      <c r="K78" s="13">
        <v>2238</v>
      </c>
      <c r="L78" s="13">
        <v>2626</v>
      </c>
      <c r="M78" s="13">
        <v>1403</v>
      </c>
      <c r="N78" s="13">
        <v>5236</v>
      </c>
      <c r="O78" s="13">
        <v>4455</v>
      </c>
      <c r="P78" s="13">
        <v>15494</v>
      </c>
      <c r="Q78" s="13">
        <v>11349</v>
      </c>
      <c r="R78" s="13">
        <v>41674</v>
      </c>
      <c r="S78">
        <f t="shared" si="23"/>
        <v>22615</v>
      </c>
      <c r="T78">
        <f t="shared" si="24"/>
        <v>11676.275000000001</v>
      </c>
      <c r="U78">
        <f t="shared" si="25"/>
        <v>2622.6</v>
      </c>
      <c r="V78">
        <f t="shared" si="26"/>
        <v>1383.2</v>
      </c>
      <c r="W78">
        <f t="shared" si="27"/>
        <v>985.60000000000014</v>
      </c>
      <c r="X78">
        <f t="shared" si="28"/>
        <v>1008.9</v>
      </c>
      <c r="Y78">
        <f t="shared" si="29"/>
        <v>727.35</v>
      </c>
      <c r="Z78">
        <f t="shared" si="30"/>
        <v>459.54999999999995</v>
      </c>
      <c r="AA78">
        <f t="shared" si="31"/>
        <v>70.150000000000006</v>
      </c>
      <c r="AB78" s="4">
        <f t="shared" si="32"/>
        <v>0.3213947291067174</v>
      </c>
    </row>
    <row r="79" spans="1:28" x14ac:dyDescent="0.35">
      <c r="A79" s="13" t="s">
        <v>147</v>
      </c>
      <c r="B79" s="13">
        <v>48</v>
      </c>
      <c r="C79">
        <f>VLOOKUP(CONCATENATE("2022",'2022_60'!A79),aktivnepesseg!$C$2:$D$2226,2,FALSE)</f>
        <v>22834</v>
      </c>
      <c r="D79" s="13">
        <v>19818</v>
      </c>
      <c r="E79">
        <f t="shared" si="22"/>
        <v>3016</v>
      </c>
      <c r="F79" s="13">
        <v>2954</v>
      </c>
      <c r="G79" s="13">
        <v>784</v>
      </c>
      <c r="H79" s="13">
        <v>427</v>
      </c>
      <c r="I79" s="13">
        <v>341</v>
      </c>
      <c r="J79" s="13">
        <v>617</v>
      </c>
      <c r="K79" s="13">
        <v>529</v>
      </c>
      <c r="L79" s="13">
        <v>612</v>
      </c>
      <c r="M79" s="13">
        <v>277</v>
      </c>
      <c r="N79" s="13">
        <v>1004</v>
      </c>
      <c r="O79" s="13">
        <v>1076</v>
      </c>
      <c r="P79" s="13">
        <v>3547</v>
      </c>
      <c r="Q79" s="13">
        <v>2250</v>
      </c>
      <c r="R79" s="13">
        <v>5400</v>
      </c>
      <c r="S79">
        <f t="shared" si="23"/>
        <v>3016</v>
      </c>
      <c r="T79">
        <f t="shared" si="24"/>
        <v>2732.4500000000003</v>
      </c>
      <c r="U79">
        <f t="shared" si="25"/>
        <v>607.6</v>
      </c>
      <c r="V79">
        <f t="shared" si="26"/>
        <v>277.55</v>
      </c>
      <c r="W79">
        <f t="shared" si="27"/>
        <v>187.55</v>
      </c>
      <c r="X79">
        <f t="shared" si="28"/>
        <v>277.65000000000003</v>
      </c>
      <c r="Y79">
        <f t="shared" si="29"/>
        <v>171.92500000000001</v>
      </c>
      <c r="Z79">
        <f t="shared" si="30"/>
        <v>107.1</v>
      </c>
      <c r="AA79">
        <f t="shared" si="31"/>
        <v>13.850000000000001</v>
      </c>
      <c r="AB79" s="4">
        <f t="shared" si="32"/>
        <v>0.32371354121047569</v>
      </c>
    </row>
    <row r="80" spans="1:28" x14ac:dyDescent="0.35">
      <c r="A80" s="13" t="s">
        <v>149</v>
      </c>
      <c r="B80" s="13">
        <v>97</v>
      </c>
      <c r="C80">
        <f>VLOOKUP(CONCATENATE("2022",'2022_60'!A80),aktivnepesseg!$C$2:$D$2226,2,FALSE)</f>
        <v>24107</v>
      </c>
      <c r="D80" s="13">
        <v>21042</v>
      </c>
      <c r="E80">
        <f t="shared" si="22"/>
        <v>3065</v>
      </c>
      <c r="F80" s="13">
        <v>3912</v>
      </c>
      <c r="G80" s="13">
        <v>805</v>
      </c>
      <c r="H80" s="13">
        <v>425</v>
      </c>
      <c r="I80" s="13">
        <v>380</v>
      </c>
      <c r="J80" s="13">
        <v>757</v>
      </c>
      <c r="K80" s="13">
        <v>507</v>
      </c>
      <c r="L80" s="13">
        <v>660</v>
      </c>
      <c r="M80" s="13">
        <v>349</v>
      </c>
      <c r="N80" s="13">
        <v>1399</v>
      </c>
      <c r="O80" s="13">
        <v>1134</v>
      </c>
      <c r="P80" s="13">
        <v>4016</v>
      </c>
      <c r="Q80" s="13">
        <v>2241</v>
      </c>
      <c r="R80" s="13">
        <v>4457</v>
      </c>
      <c r="S80">
        <f t="shared" si="23"/>
        <v>3065</v>
      </c>
      <c r="T80">
        <f t="shared" si="24"/>
        <v>3618.6000000000004</v>
      </c>
      <c r="U80">
        <f t="shared" si="25"/>
        <v>623.875</v>
      </c>
      <c r="V80">
        <f t="shared" si="26"/>
        <v>276.25</v>
      </c>
      <c r="W80">
        <f t="shared" si="27"/>
        <v>209.00000000000003</v>
      </c>
      <c r="X80">
        <f t="shared" si="28"/>
        <v>340.65000000000003</v>
      </c>
      <c r="Y80">
        <f t="shared" si="29"/>
        <v>164.77500000000001</v>
      </c>
      <c r="Z80">
        <f t="shared" si="30"/>
        <v>115.49999999999999</v>
      </c>
      <c r="AA80">
        <f t="shared" si="31"/>
        <v>17.45</v>
      </c>
      <c r="AB80" s="4">
        <f t="shared" si="32"/>
        <v>0.34973659103165056</v>
      </c>
    </row>
    <row r="81" spans="1:28" x14ac:dyDescent="0.35">
      <c r="A81" s="13" t="s">
        <v>151</v>
      </c>
      <c r="B81" s="13">
        <v>98</v>
      </c>
      <c r="C81">
        <f>VLOOKUP(CONCATENATE("2022",'2022_60'!A81),aktivnepesseg!$C$2:$D$2226,2,FALSE)</f>
        <v>14667</v>
      </c>
      <c r="D81" s="13">
        <v>11351</v>
      </c>
      <c r="E81">
        <f t="shared" si="22"/>
        <v>3316</v>
      </c>
      <c r="F81" s="13">
        <v>1654</v>
      </c>
      <c r="G81" s="13">
        <v>562</v>
      </c>
      <c r="H81" s="13">
        <v>307</v>
      </c>
      <c r="I81" s="13">
        <v>282</v>
      </c>
      <c r="J81" s="13">
        <v>504</v>
      </c>
      <c r="K81" s="13">
        <v>346</v>
      </c>
      <c r="L81" s="13">
        <v>362</v>
      </c>
      <c r="M81" s="13">
        <v>185</v>
      </c>
      <c r="N81" s="13">
        <v>786</v>
      </c>
      <c r="O81" s="13">
        <v>581</v>
      </c>
      <c r="P81" s="13">
        <v>1951</v>
      </c>
      <c r="Q81" s="13">
        <v>1194</v>
      </c>
      <c r="R81" s="13">
        <v>2637</v>
      </c>
      <c r="S81">
        <f t="shared" si="23"/>
        <v>3316</v>
      </c>
      <c r="T81">
        <f t="shared" si="24"/>
        <v>1529.95</v>
      </c>
      <c r="U81">
        <f t="shared" si="25"/>
        <v>435.55</v>
      </c>
      <c r="V81">
        <f t="shared" si="26"/>
        <v>199.55</v>
      </c>
      <c r="W81">
        <f t="shared" si="27"/>
        <v>155.10000000000002</v>
      </c>
      <c r="X81">
        <f t="shared" si="28"/>
        <v>226.8</v>
      </c>
      <c r="Y81">
        <f t="shared" si="29"/>
        <v>112.45</v>
      </c>
      <c r="Z81">
        <f t="shared" si="30"/>
        <v>63.349999999999994</v>
      </c>
      <c r="AA81">
        <f t="shared" si="31"/>
        <v>9.25</v>
      </c>
      <c r="AB81" s="4">
        <f t="shared" si="32"/>
        <v>0.41235426467580288</v>
      </c>
    </row>
    <row r="82" spans="1:28" x14ac:dyDescent="0.35">
      <c r="A82" s="13" t="s">
        <v>153</v>
      </c>
      <c r="B82" s="13">
        <v>99</v>
      </c>
      <c r="C82">
        <f>VLOOKUP(CONCATENATE("2022",'2022_60'!A82),aktivnepesseg!$C$2:$D$2226,2,FALSE)</f>
        <v>17797</v>
      </c>
      <c r="D82" s="13">
        <v>15364</v>
      </c>
      <c r="E82">
        <f t="shared" si="22"/>
        <v>2433</v>
      </c>
      <c r="F82" s="13">
        <v>2470</v>
      </c>
      <c r="G82" s="13">
        <v>567</v>
      </c>
      <c r="H82" s="13">
        <v>325</v>
      </c>
      <c r="I82" s="13">
        <v>340</v>
      </c>
      <c r="J82" s="13">
        <v>594</v>
      </c>
      <c r="K82" s="13">
        <v>507</v>
      </c>
      <c r="L82" s="13">
        <v>445</v>
      </c>
      <c r="M82" s="13">
        <v>269</v>
      </c>
      <c r="N82" s="13">
        <v>978</v>
      </c>
      <c r="O82" s="13">
        <v>885</v>
      </c>
      <c r="P82" s="13">
        <v>2904</v>
      </c>
      <c r="Q82" s="13">
        <v>1693</v>
      </c>
      <c r="R82" s="13">
        <v>3385</v>
      </c>
      <c r="S82">
        <f t="shared" si="23"/>
        <v>2433</v>
      </c>
      <c r="T82">
        <f t="shared" si="24"/>
        <v>2284.75</v>
      </c>
      <c r="U82">
        <f t="shared" si="25"/>
        <v>439.42500000000001</v>
      </c>
      <c r="V82">
        <f t="shared" si="26"/>
        <v>211.25</v>
      </c>
      <c r="W82">
        <f t="shared" si="27"/>
        <v>187.00000000000003</v>
      </c>
      <c r="X82">
        <f t="shared" si="28"/>
        <v>267.3</v>
      </c>
      <c r="Y82">
        <f t="shared" si="29"/>
        <v>164.77500000000001</v>
      </c>
      <c r="Z82">
        <f t="shared" si="30"/>
        <v>77.875</v>
      </c>
      <c r="AA82">
        <f t="shared" si="31"/>
        <v>13.450000000000001</v>
      </c>
      <c r="AB82" s="4">
        <f t="shared" si="32"/>
        <v>0.34156458953756252</v>
      </c>
    </row>
    <row r="83" spans="1:28" x14ac:dyDescent="0.35">
      <c r="A83" s="13" t="s">
        <v>155</v>
      </c>
      <c r="B83" s="13">
        <v>100</v>
      </c>
      <c r="C83">
        <f>VLOOKUP(CONCATENATE("2022",'2022_60'!A83),aktivnepesseg!$C$2:$D$2226,2,FALSE)</f>
        <v>26145</v>
      </c>
      <c r="D83" s="13">
        <v>23005</v>
      </c>
      <c r="E83">
        <f t="shared" si="22"/>
        <v>3140</v>
      </c>
      <c r="F83" s="13">
        <v>3617</v>
      </c>
      <c r="G83" s="13">
        <v>964</v>
      </c>
      <c r="H83" s="13">
        <v>489</v>
      </c>
      <c r="I83" s="13">
        <v>443</v>
      </c>
      <c r="J83" s="13">
        <v>721</v>
      </c>
      <c r="K83" s="13">
        <v>608</v>
      </c>
      <c r="L83" s="13">
        <v>622</v>
      </c>
      <c r="M83" s="13">
        <v>314</v>
      </c>
      <c r="N83" s="13">
        <v>1311</v>
      </c>
      <c r="O83" s="13">
        <v>1206</v>
      </c>
      <c r="P83" s="13">
        <v>3990</v>
      </c>
      <c r="Q83" s="13">
        <v>2921</v>
      </c>
      <c r="R83" s="13">
        <v>5799</v>
      </c>
      <c r="S83">
        <f t="shared" si="23"/>
        <v>3140</v>
      </c>
      <c r="T83">
        <f t="shared" si="24"/>
        <v>3345.7250000000004</v>
      </c>
      <c r="U83">
        <f t="shared" si="25"/>
        <v>747.1</v>
      </c>
      <c r="V83">
        <f t="shared" si="26"/>
        <v>317.85000000000002</v>
      </c>
      <c r="W83">
        <f t="shared" si="27"/>
        <v>243.65</v>
      </c>
      <c r="X83">
        <f t="shared" si="28"/>
        <v>324.45</v>
      </c>
      <c r="Y83">
        <f t="shared" si="29"/>
        <v>197.6</v>
      </c>
      <c r="Z83">
        <f t="shared" si="30"/>
        <v>108.85</v>
      </c>
      <c r="AA83">
        <f t="shared" si="31"/>
        <v>15.700000000000001</v>
      </c>
      <c r="AB83" s="4">
        <f t="shared" si="32"/>
        <v>0.32285044941671454</v>
      </c>
    </row>
    <row r="84" spans="1:28" x14ac:dyDescent="0.35">
      <c r="A84" s="13" t="s">
        <v>157</v>
      </c>
      <c r="B84" s="13">
        <v>107</v>
      </c>
      <c r="C84">
        <f>VLOOKUP(CONCATENATE("2022",'2022_60'!A84),aktivnepesseg!$C$2:$D$2226,2,FALSE)</f>
        <v>32109</v>
      </c>
      <c r="D84" s="13">
        <v>28113</v>
      </c>
      <c r="E84">
        <f t="shared" si="22"/>
        <v>3996</v>
      </c>
      <c r="F84" s="13">
        <v>3133</v>
      </c>
      <c r="G84" s="13">
        <v>1002</v>
      </c>
      <c r="H84" s="13">
        <v>652</v>
      </c>
      <c r="I84" s="13">
        <v>549</v>
      </c>
      <c r="J84" s="13">
        <v>675</v>
      </c>
      <c r="K84" s="13">
        <v>685</v>
      </c>
      <c r="L84" s="13">
        <v>775</v>
      </c>
      <c r="M84" s="13">
        <v>396</v>
      </c>
      <c r="N84" s="13">
        <v>1582</v>
      </c>
      <c r="O84" s="13">
        <v>1250</v>
      </c>
      <c r="P84" s="13">
        <v>4047</v>
      </c>
      <c r="Q84" s="13">
        <v>3096</v>
      </c>
      <c r="R84" s="13">
        <v>10265</v>
      </c>
      <c r="S84">
        <f t="shared" si="23"/>
        <v>3996</v>
      </c>
      <c r="T84">
        <f t="shared" si="24"/>
        <v>2898.0250000000001</v>
      </c>
      <c r="U84">
        <f t="shared" si="25"/>
        <v>776.55000000000007</v>
      </c>
      <c r="V84">
        <f t="shared" si="26"/>
        <v>423.8</v>
      </c>
      <c r="W84">
        <f t="shared" si="27"/>
        <v>301.95000000000005</v>
      </c>
      <c r="X84">
        <f t="shared" si="28"/>
        <v>303.75</v>
      </c>
      <c r="Y84">
        <f t="shared" si="29"/>
        <v>222.625</v>
      </c>
      <c r="Z84">
        <f t="shared" si="30"/>
        <v>135.625</v>
      </c>
      <c r="AA84">
        <f t="shared" si="31"/>
        <v>19.8</v>
      </c>
      <c r="AB84" s="4">
        <f t="shared" si="32"/>
        <v>0.282728362764334</v>
      </c>
    </row>
    <row r="85" spans="1:28" x14ac:dyDescent="0.35">
      <c r="A85" s="13" t="s">
        <v>159</v>
      </c>
      <c r="B85" s="13">
        <v>25</v>
      </c>
      <c r="C85">
        <f>VLOOKUP(CONCATENATE("2022",'2022_60'!A85),aktivnepesseg!$C$2:$D$2226,2,FALSE)</f>
        <v>7019</v>
      </c>
      <c r="D85" s="13">
        <v>5422</v>
      </c>
      <c r="E85">
        <f t="shared" si="22"/>
        <v>1597</v>
      </c>
      <c r="F85" s="13">
        <v>813</v>
      </c>
      <c r="G85" s="13">
        <v>263</v>
      </c>
      <c r="H85" s="13">
        <v>153</v>
      </c>
      <c r="I85" s="13">
        <v>122</v>
      </c>
      <c r="J85" s="13">
        <v>260</v>
      </c>
      <c r="K85" s="13">
        <v>146</v>
      </c>
      <c r="L85" s="13">
        <v>149</v>
      </c>
      <c r="M85" s="13">
        <v>66</v>
      </c>
      <c r="N85" s="13">
        <v>329</v>
      </c>
      <c r="O85" s="13">
        <v>330</v>
      </c>
      <c r="P85" s="13">
        <v>1012</v>
      </c>
      <c r="Q85" s="13">
        <v>612</v>
      </c>
      <c r="R85" s="13">
        <v>1062</v>
      </c>
      <c r="S85">
        <f t="shared" si="23"/>
        <v>1597</v>
      </c>
      <c r="T85">
        <f t="shared" si="24"/>
        <v>752.02500000000009</v>
      </c>
      <c r="U85">
        <f t="shared" si="25"/>
        <v>203.82500000000002</v>
      </c>
      <c r="V85">
        <f t="shared" si="26"/>
        <v>99.45</v>
      </c>
      <c r="W85">
        <f t="shared" si="27"/>
        <v>67.100000000000009</v>
      </c>
      <c r="X85">
        <f t="shared" si="28"/>
        <v>117</v>
      </c>
      <c r="Y85">
        <f t="shared" si="29"/>
        <v>47.45</v>
      </c>
      <c r="Z85">
        <f t="shared" si="30"/>
        <v>26.074999999999999</v>
      </c>
      <c r="AA85">
        <f t="shared" si="31"/>
        <v>3.3000000000000003</v>
      </c>
      <c r="AB85" s="4">
        <f t="shared" si="32"/>
        <v>0.41504843994871055</v>
      </c>
    </row>
    <row r="86" spans="1:28" x14ac:dyDescent="0.35">
      <c r="A86" s="13" t="s">
        <v>161</v>
      </c>
      <c r="B86" s="13">
        <v>108</v>
      </c>
      <c r="C86">
        <f>VLOOKUP(CONCATENATE("2022",'2022_60'!A86),aktivnepesseg!$C$2:$D$2226,2,FALSE)</f>
        <v>20307</v>
      </c>
      <c r="D86" s="13">
        <v>16574</v>
      </c>
      <c r="E86">
        <f t="shared" si="22"/>
        <v>3733</v>
      </c>
      <c r="F86" s="13">
        <v>2722</v>
      </c>
      <c r="G86" s="13">
        <v>998</v>
      </c>
      <c r="H86" s="13">
        <v>596</v>
      </c>
      <c r="I86" s="13">
        <v>506</v>
      </c>
      <c r="J86" s="13">
        <v>1036</v>
      </c>
      <c r="K86" s="13">
        <v>569</v>
      </c>
      <c r="L86" s="13">
        <v>583</v>
      </c>
      <c r="M86" s="13">
        <v>267</v>
      </c>
      <c r="N86" s="13">
        <v>1091</v>
      </c>
      <c r="O86" s="13">
        <v>841</v>
      </c>
      <c r="P86" s="13">
        <v>2563</v>
      </c>
      <c r="Q86" s="13">
        <v>1624</v>
      </c>
      <c r="R86" s="13">
        <v>3163</v>
      </c>
      <c r="S86">
        <f t="shared" si="23"/>
        <v>3733</v>
      </c>
      <c r="T86">
        <f t="shared" si="24"/>
        <v>2517.85</v>
      </c>
      <c r="U86">
        <f t="shared" si="25"/>
        <v>773.45</v>
      </c>
      <c r="V86">
        <f t="shared" si="26"/>
        <v>387.40000000000003</v>
      </c>
      <c r="W86">
        <f t="shared" si="27"/>
        <v>278.3</v>
      </c>
      <c r="X86">
        <f t="shared" si="28"/>
        <v>466.2</v>
      </c>
      <c r="Y86">
        <f t="shared" si="29"/>
        <v>184.92500000000001</v>
      </c>
      <c r="Z86">
        <f t="shared" si="30"/>
        <v>102.02499999999999</v>
      </c>
      <c r="AA86">
        <f t="shared" si="31"/>
        <v>13.350000000000001</v>
      </c>
      <c r="AB86" s="4">
        <f t="shared" si="32"/>
        <v>0.41643275717732803</v>
      </c>
    </row>
    <row r="87" spans="1:28" x14ac:dyDescent="0.35">
      <c r="A87" s="13" t="s">
        <v>163</v>
      </c>
      <c r="B87" s="13">
        <v>71</v>
      </c>
      <c r="C87">
        <f>VLOOKUP(CONCATENATE("2022",'2022_60'!A87),aktivnepesseg!$C$2:$D$2226,2,FALSE)</f>
        <v>31648</v>
      </c>
      <c r="D87" s="13">
        <v>27208</v>
      </c>
      <c r="E87">
        <f t="shared" si="22"/>
        <v>4440</v>
      </c>
      <c r="F87" s="13">
        <v>3997</v>
      </c>
      <c r="G87" s="13">
        <v>969</v>
      </c>
      <c r="H87" s="13">
        <v>676</v>
      </c>
      <c r="I87" s="13">
        <v>458</v>
      </c>
      <c r="J87" s="13">
        <v>833</v>
      </c>
      <c r="K87" s="13">
        <v>744</v>
      </c>
      <c r="L87" s="13">
        <v>841</v>
      </c>
      <c r="M87" s="13">
        <v>472</v>
      </c>
      <c r="N87" s="13">
        <v>1747</v>
      </c>
      <c r="O87" s="13">
        <v>1487</v>
      </c>
      <c r="P87" s="13">
        <v>4746</v>
      </c>
      <c r="Q87" s="13">
        <v>3124</v>
      </c>
      <c r="R87" s="13">
        <v>7112</v>
      </c>
      <c r="S87">
        <f t="shared" si="23"/>
        <v>4440</v>
      </c>
      <c r="T87">
        <f t="shared" si="24"/>
        <v>3697.2250000000004</v>
      </c>
      <c r="U87">
        <f t="shared" si="25"/>
        <v>750.97500000000002</v>
      </c>
      <c r="V87">
        <f t="shared" si="26"/>
        <v>439.40000000000003</v>
      </c>
      <c r="W87">
        <f t="shared" si="27"/>
        <v>251.90000000000003</v>
      </c>
      <c r="X87">
        <f t="shared" si="28"/>
        <v>374.85</v>
      </c>
      <c r="Y87">
        <f t="shared" si="29"/>
        <v>241.8</v>
      </c>
      <c r="Z87">
        <f t="shared" si="30"/>
        <v>147.17499999999998</v>
      </c>
      <c r="AA87">
        <f t="shared" si="31"/>
        <v>23.6</v>
      </c>
      <c r="AB87" s="4">
        <f t="shared" si="32"/>
        <v>0.3275696726491405</v>
      </c>
    </row>
    <row r="88" spans="1:28" x14ac:dyDescent="0.35">
      <c r="A88" s="13" t="s">
        <v>165</v>
      </c>
      <c r="B88" s="13">
        <v>151</v>
      </c>
      <c r="C88">
        <f>VLOOKUP(CONCATENATE("2022",'2022_60'!A88),aktivnepesseg!$C$2:$D$2226,2,FALSE)</f>
        <v>14194</v>
      </c>
      <c r="D88" s="13">
        <v>11131</v>
      </c>
      <c r="E88">
        <f t="shared" si="22"/>
        <v>3063</v>
      </c>
      <c r="F88" s="13">
        <v>1773</v>
      </c>
      <c r="G88" s="13">
        <v>575</v>
      </c>
      <c r="H88" s="13">
        <v>301</v>
      </c>
      <c r="I88" s="13">
        <v>290</v>
      </c>
      <c r="J88" s="13">
        <v>787</v>
      </c>
      <c r="K88" s="13">
        <v>353</v>
      </c>
      <c r="L88" s="13">
        <v>362</v>
      </c>
      <c r="M88" s="13">
        <v>183</v>
      </c>
      <c r="N88" s="13">
        <v>780</v>
      </c>
      <c r="O88" s="13">
        <v>582</v>
      </c>
      <c r="P88" s="13">
        <v>2025</v>
      </c>
      <c r="Q88" s="13">
        <v>1192</v>
      </c>
      <c r="R88" s="13">
        <v>1923</v>
      </c>
      <c r="S88">
        <f t="shared" si="23"/>
        <v>3063</v>
      </c>
      <c r="T88">
        <f t="shared" si="24"/>
        <v>1640.0250000000001</v>
      </c>
      <c r="U88">
        <f t="shared" si="25"/>
        <v>445.625</v>
      </c>
      <c r="V88">
        <f t="shared" si="26"/>
        <v>195.65</v>
      </c>
      <c r="W88">
        <f t="shared" si="27"/>
        <v>159.5</v>
      </c>
      <c r="X88">
        <f t="shared" si="28"/>
        <v>354.15000000000003</v>
      </c>
      <c r="Y88">
        <f t="shared" si="29"/>
        <v>114.72500000000001</v>
      </c>
      <c r="Z88">
        <f t="shared" si="30"/>
        <v>63.349999999999994</v>
      </c>
      <c r="AA88">
        <f t="shared" si="31"/>
        <v>9.15</v>
      </c>
      <c r="AB88" s="4">
        <f t="shared" si="32"/>
        <v>0.42589650556573194</v>
      </c>
    </row>
    <row r="89" spans="1:28" x14ac:dyDescent="0.35">
      <c r="A89" s="13" t="s">
        <v>431</v>
      </c>
      <c r="B89" s="13">
        <v>36</v>
      </c>
      <c r="C89">
        <f>VLOOKUP(CONCATENATE("2022",'2022_60'!A89),aktivnepesseg!$C$2:$D$2226,2,FALSE)</f>
        <v>9596</v>
      </c>
      <c r="D89" s="13">
        <v>7951</v>
      </c>
      <c r="E89">
        <f t="shared" si="22"/>
        <v>1645</v>
      </c>
      <c r="F89" s="13">
        <v>1460</v>
      </c>
      <c r="G89" s="13">
        <v>349</v>
      </c>
      <c r="H89" s="13">
        <v>183</v>
      </c>
      <c r="I89" s="13">
        <v>193</v>
      </c>
      <c r="J89" s="13">
        <v>270</v>
      </c>
      <c r="K89" s="13">
        <v>270</v>
      </c>
      <c r="L89" s="13">
        <v>239</v>
      </c>
      <c r="M89" s="13">
        <v>140</v>
      </c>
      <c r="N89" s="13">
        <v>527</v>
      </c>
      <c r="O89" s="13">
        <v>476</v>
      </c>
      <c r="P89" s="13">
        <v>1448</v>
      </c>
      <c r="Q89" s="13">
        <v>868</v>
      </c>
      <c r="R89" s="13">
        <v>1525</v>
      </c>
      <c r="S89">
        <f t="shared" si="23"/>
        <v>1645</v>
      </c>
      <c r="T89">
        <f t="shared" si="24"/>
        <v>1350.5</v>
      </c>
      <c r="U89">
        <f t="shared" si="25"/>
        <v>270.47500000000002</v>
      </c>
      <c r="V89">
        <f t="shared" si="26"/>
        <v>118.95</v>
      </c>
      <c r="W89">
        <f t="shared" si="27"/>
        <v>106.15</v>
      </c>
      <c r="X89">
        <f t="shared" si="28"/>
        <v>121.5</v>
      </c>
      <c r="Y89">
        <f t="shared" si="29"/>
        <v>87.75</v>
      </c>
      <c r="Z89">
        <f t="shared" si="30"/>
        <v>41.824999999999996</v>
      </c>
      <c r="AA89">
        <f t="shared" si="31"/>
        <v>7</v>
      </c>
      <c r="AB89" s="4">
        <f t="shared" si="32"/>
        <v>0.39069924968736969</v>
      </c>
    </row>
    <row r="90" spans="1:28" x14ac:dyDescent="0.35">
      <c r="A90" s="13" t="s">
        <v>169</v>
      </c>
      <c r="B90" s="13">
        <v>161</v>
      </c>
      <c r="C90">
        <f>VLOOKUP(CONCATENATE("2022",'2022_60'!A90),aktivnepesseg!$C$2:$D$2226,2,FALSE)</f>
        <v>19297</v>
      </c>
      <c r="D90" s="13">
        <v>15938</v>
      </c>
      <c r="E90">
        <f t="shared" si="22"/>
        <v>3359</v>
      </c>
      <c r="F90" s="13">
        <v>2294</v>
      </c>
      <c r="G90" s="13">
        <v>815</v>
      </c>
      <c r="H90" s="13">
        <v>446</v>
      </c>
      <c r="I90" s="13">
        <v>407</v>
      </c>
      <c r="J90" s="13">
        <v>657</v>
      </c>
      <c r="K90" s="13">
        <v>494</v>
      </c>
      <c r="L90" s="13">
        <v>490</v>
      </c>
      <c r="M90" s="13">
        <v>314</v>
      </c>
      <c r="N90" s="13">
        <v>1125</v>
      </c>
      <c r="O90" s="13">
        <v>916</v>
      </c>
      <c r="P90" s="13">
        <v>2676</v>
      </c>
      <c r="Q90" s="13">
        <v>1816</v>
      </c>
      <c r="R90" s="13">
        <v>3483</v>
      </c>
      <c r="S90">
        <f t="shared" si="23"/>
        <v>3359</v>
      </c>
      <c r="T90">
        <f t="shared" si="24"/>
        <v>2121.9500000000003</v>
      </c>
      <c r="U90">
        <f t="shared" si="25"/>
        <v>631.625</v>
      </c>
      <c r="V90">
        <f t="shared" si="26"/>
        <v>289.90000000000003</v>
      </c>
      <c r="W90">
        <f t="shared" si="27"/>
        <v>223.85000000000002</v>
      </c>
      <c r="X90">
        <f t="shared" si="28"/>
        <v>295.65000000000003</v>
      </c>
      <c r="Y90">
        <f t="shared" si="29"/>
        <v>160.55000000000001</v>
      </c>
      <c r="Z90">
        <f t="shared" si="30"/>
        <v>85.75</v>
      </c>
      <c r="AA90">
        <f t="shared" si="31"/>
        <v>15.700000000000001</v>
      </c>
      <c r="AB90" s="4">
        <f t="shared" si="32"/>
        <v>0.372284552002902</v>
      </c>
    </row>
    <row r="91" spans="1:28" x14ac:dyDescent="0.35">
      <c r="A91" s="13" t="s">
        <v>171</v>
      </c>
      <c r="B91" s="13">
        <v>162</v>
      </c>
      <c r="C91">
        <f>VLOOKUP(CONCATENATE("2022",'2022_60'!A91),aktivnepesseg!$C$2:$D$2226,2,FALSE)</f>
        <v>31405</v>
      </c>
      <c r="D91" s="13">
        <v>29525</v>
      </c>
      <c r="E91">
        <f t="shared" si="22"/>
        <v>1880</v>
      </c>
      <c r="F91" s="13">
        <v>3766</v>
      </c>
      <c r="G91" s="13">
        <v>1327</v>
      </c>
      <c r="H91" s="13">
        <v>767</v>
      </c>
      <c r="I91" s="13">
        <v>615</v>
      </c>
      <c r="J91" s="13">
        <v>827</v>
      </c>
      <c r="K91" s="13">
        <v>828</v>
      </c>
      <c r="L91" s="13">
        <v>843</v>
      </c>
      <c r="M91" s="13">
        <v>482</v>
      </c>
      <c r="N91" s="13">
        <v>1802</v>
      </c>
      <c r="O91" s="13">
        <v>1582</v>
      </c>
      <c r="P91" s="13">
        <v>4679</v>
      </c>
      <c r="Q91" s="13">
        <v>3496</v>
      </c>
      <c r="R91" s="13">
        <v>8509</v>
      </c>
      <c r="S91">
        <f t="shared" si="23"/>
        <v>1880</v>
      </c>
      <c r="T91">
        <f t="shared" si="24"/>
        <v>3483.55</v>
      </c>
      <c r="U91">
        <f t="shared" si="25"/>
        <v>1028.425</v>
      </c>
      <c r="V91">
        <f t="shared" si="26"/>
        <v>498.55</v>
      </c>
      <c r="W91">
        <f t="shared" si="27"/>
        <v>338.25</v>
      </c>
      <c r="X91">
        <f t="shared" si="28"/>
        <v>372.15000000000003</v>
      </c>
      <c r="Y91">
        <f t="shared" si="29"/>
        <v>269.10000000000002</v>
      </c>
      <c r="Z91">
        <f t="shared" si="30"/>
        <v>147.52499999999998</v>
      </c>
      <c r="AA91">
        <f t="shared" si="31"/>
        <v>24.1</v>
      </c>
      <c r="AB91" s="4">
        <f t="shared" si="32"/>
        <v>0.25606272886483045</v>
      </c>
    </row>
    <row r="92" spans="1:28" x14ac:dyDescent="0.35">
      <c r="A92" s="13" t="s">
        <v>173</v>
      </c>
      <c r="B92" s="13">
        <v>37</v>
      </c>
      <c r="C92">
        <f>VLOOKUP(CONCATENATE("2022",'2022_60'!A92),aktivnepesseg!$C$2:$D$2226,2,FALSE)</f>
        <v>29788</v>
      </c>
      <c r="D92" s="13">
        <v>24581</v>
      </c>
      <c r="E92">
        <f t="shared" si="22"/>
        <v>5207</v>
      </c>
      <c r="F92" s="13">
        <v>4228</v>
      </c>
      <c r="G92" s="13">
        <v>940</v>
      </c>
      <c r="H92" s="13">
        <v>594</v>
      </c>
      <c r="I92" s="13">
        <v>466</v>
      </c>
      <c r="J92" s="13">
        <v>1006</v>
      </c>
      <c r="K92" s="13">
        <v>645</v>
      </c>
      <c r="L92" s="13">
        <v>772</v>
      </c>
      <c r="M92" s="13">
        <v>399</v>
      </c>
      <c r="N92" s="13">
        <v>1630</v>
      </c>
      <c r="O92" s="13">
        <v>1355</v>
      </c>
      <c r="P92" s="13">
        <v>4554</v>
      </c>
      <c r="Q92" s="13">
        <v>2320</v>
      </c>
      <c r="R92" s="13">
        <v>5647</v>
      </c>
      <c r="S92">
        <f t="shared" si="23"/>
        <v>5207</v>
      </c>
      <c r="T92">
        <f t="shared" si="24"/>
        <v>3910.9</v>
      </c>
      <c r="U92">
        <f t="shared" si="25"/>
        <v>728.5</v>
      </c>
      <c r="V92">
        <f t="shared" si="26"/>
        <v>386.1</v>
      </c>
      <c r="W92">
        <f t="shared" si="27"/>
        <v>256.3</v>
      </c>
      <c r="X92">
        <f t="shared" si="28"/>
        <v>452.7</v>
      </c>
      <c r="Y92">
        <f t="shared" si="29"/>
        <v>209.625</v>
      </c>
      <c r="Z92">
        <f t="shared" si="30"/>
        <v>135.1</v>
      </c>
      <c r="AA92">
        <f t="shared" si="31"/>
        <v>19.950000000000003</v>
      </c>
      <c r="AB92" s="4">
        <f t="shared" si="32"/>
        <v>0.37955468645091989</v>
      </c>
    </row>
    <row r="93" spans="1:28" x14ac:dyDescent="0.35">
      <c r="A93" s="13" t="s">
        <v>175</v>
      </c>
      <c r="B93" s="13">
        <v>143</v>
      </c>
      <c r="C93">
        <f>VLOOKUP(CONCATENATE("2022",'2022_60'!A93),aktivnepesseg!$C$2:$D$2226,2,FALSE)</f>
        <v>66965</v>
      </c>
      <c r="D93" s="13">
        <v>54877</v>
      </c>
      <c r="E93">
        <f t="shared" si="22"/>
        <v>12088</v>
      </c>
      <c r="F93" s="13">
        <v>8027</v>
      </c>
      <c r="G93" s="13">
        <v>2373</v>
      </c>
      <c r="H93" s="13">
        <v>1280</v>
      </c>
      <c r="I93" s="13">
        <v>1028</v>
      </c>
      <c r="J93" s="13">
        <v>1684</v>
      </c>
      <c r="K93" s="13">
        <v>1364</v>
      </c>
      <c r="L93" s="13">
        <v>1553</v>
      </c>
      <c r="M93" s="13">
        <v>819</v>
      </c>
      <c r="N93" s="13">
        <v>3252</v>
      </c>
      <c r="O93" s="13">
        <v>2637</v>
      </c>
      <c r="P93" s="13">
        <v>9598</v>
      </c>
      <c r="Q93" s="13">
        <v>6252</v>
      </c>
      <c r="R93" s="13">
        <v>14830</v>
      </c>
      <c r="S93">
        <f t="shared" si="23"/>
        <v>12088</v>
      </c>
      <c r="T93">
        <f t="shared" si="24"/>
        <v>7424.9750000000004</v>
      </c>
      <c r="U93">
        <f t="shared" si="25"/>
        <v>1839.075</v>
      </c>
      <c r="V93">
        <f t="shared" si="26"/>
        <v>832</v>
      </c>
      <c r="W93">
        <f t="shared" si="27"/>
        <v>565.40000000000009</v>
      </c>
      <c r="X93">
        <f t="shared" si="28"/>
        <v>757.80000000000007</v>
      </c>
      <c r="Y93">
        <f t="shared" si="29"/>
        <v>443.3</v>
      </c>
      <c r="Z93">
        <f t="shared" si="30"/>
        <v>271.77499999999998</v>
      </c>
      <c r="AA93">
        <f t="shared" si="31"/>
        <v>40.950000000000003</v>
      </c>
      <c r="AB93" s="4">
        <f t="shared" si="32"/>
        <v>0.36232770850444262</v>
      </c>
    </row>
    <row r="94" spans="1:28" x14ac:dyDescent="0.35">
      <c r="A94" s="13" t="s">
        <v>177</v>
      </c>
      <c r="B94" s="13">
        <v>88</v>
      </c>
      <c r="C94">
        <f>VLOOKUP(CONCATENATE("2022",'2022_60'!A94),aktivnepesseg!$C$2:$D$2226,2,FALSE)</f>
        <v>15228</v>
      </c>
      <c r="D94" s="13">
        <v>12228</v>
      </c>
      <c r="E94">
        <f t="shared" si="22"/>
        <v>3000</v>
      </c>
      <c r="F94" s="13">
        <v>1969</v>
      </c>
      <c r="G94" s="13">
        <v>438</v>
      </c>
      <c r="H94" s="13">
        <v>234</v>
      </c>
      <c r="I94" s="13">
        <v>189</v>
      </c>
      <c r="J94" s="13">
        <v>254</v>
      </c>
      <c r="K94" s="13">
        <v>294</v>
      </c>
      <c r="L94" s="13">
        <v>312</v>
      </c>
      <c r="M94" s="13">
        <v>160</v>
      </c>
      <c r="N94" s="13">
        <v>729</v>
      </c>
      <c r="O94" s="13">
        <v>610</v>
      </c>
      <c r="P94" s="13">
        <v>2214</v>
      </c>
      <c r="Q94" s="13">
        <v>1394</v>
      </c>
      <c r="R94" s="13">
        <v>3380</v>
      </c>
      <c r="S94">
        <f t="shared" si="23"/>
        <v>3000</v>
      </c>
      <c r="T94">
        <f t="shared" si="24"/>
        <v>1821.325</v>
      </c>
      <c r="U94">
        <f t="shared" si="25"/>
        <v>339.45</v>
      </c>
      <c r="V94">
        <f t="shared" si="26"/>
        <v>152.1</v>
      </c>
      <c r="W94">
        <f t="shared" si="27"/>
        <v>103.95</v>
      </c>
      <c r="X94">
        <f t="shared" si="28"/>
        <v>114.3</v>
      </c>
      <c r="Y94">
        <f t="shared" si="29"/>
        <v>95.55</v>
      </c>
      <c r="Z94">
        <f t="shared" si="30"/>
        <v>54.599999999999994</v>
      </c>
      <c r="AA94">
        <f t="shared" si="31"/>
        <v>8</v>
      </c>
      <c r="AB94" s="4">
        <f t="shared" si="32"/>
        <v>0.37360618597320727</v>
      </c>
    </row>
    <row r="95" spans="1:28" x14ac:dyDescent="0.35">
      <c r="A95" s="13" t="s">
        <v>179</v>
      </c>
      <c r="B95" s="13">
        <v>163</v>
      </c>
      <c r="C95">
        <f>VLOOKUP(CONCATENATE("2022",'2022_60'!A95),aktivnepesseg!$C$2:$D$2226,2,FALSE)</f>
        <v>24000</v>
      </c>
      <c r="D95" s="13">
        <v>20131</v>
      </c>
      <c r="E95">
        <f t="shared" si="22"/>
        <v>3869</v>
      </c>
      <c r="F95" s="13">
        <v>3036</v>
      </c>
      <c r="G95" s="13">
        <v>897</v>
      </c>
      <c r="H95" s="13">
        <v>507</v>
      </c>
      <c r="I95" s="13">
        <v>544</v>
      </c>
      <c r="J95" s="13">
        <v>760</v>
      </c>
      <c r="K95" s="13">
        <v>612</v>
      </c>
      <c r="L95" s="13">
        <v>667</v>
      </c>
      <c r="M95" s="13">
        <v>373</v>
      </c>
      <c r="N95" s="13">
        <v>1297</v>
      </c>
      <c r="O95" s="13">
        <v>1104</v>
      </c>
      <c r="P95" s="13">
        <v>3553</v>
      </c>
      <c r="Q95" s="13">
        <v>2264</v>
      </c>
      <c r="R95" s="13">
        <v>4515</v>
      </c>
      <c r="S95">
        <f t="shared" si="23"/>
        <v>3869</v>
      </c>
      <c r="T95">
        <f t="shared" si="24"/>
        <v>2808.3</v>
      </c>
      <c r="U95">
        <f t="shared" si="25"/>
        <v>695.17500000000007</v>
      </c>
      <c r="V95">
        <f t="shared" si="26"/>
        <v>329.55</v>
      </c>
      <c r="W95">
        <f t="shared" si="27"/>
        <v>299.20000000000005</v>
      </c>
      <c r="X95">
        <f t="shared" si="28"/>
        <v>342</v>
      </c>
      <c r="Y95">
        <f t="shared" si="29"/>
        <v>198.9</v>
      </c>
      <c r="Z95">
        <f t="shared" si="30"/>
        <v>116.72499999999999</v>
      </c>
      <c r="AA95">
        <f t="shared" si="31"/>
        <v>18.650000000000002</v>
      </c>
      <c r="AB95" s="4">
        <f t="shared" si="32"/>
        <v>0.36156250000000001</v>
      </c>
    </row>
    <row r="96" spans="1:28" x14ac:dyDescent="0.35">
      <c r="A96" s="13" t="s">
        <v>181</v>
      </c>
      <c r="B96" s="13">
        <v>58</v>
      </c>
      <c r="C96">
        <f>VLOOKUP(CONCATENATE("2022",'2022_60'!A96),aktivnepesseg!$C$2:$D$2226,2,FALSE)</f>
        <v>37432</v>
      </c>
      <c r="D96" s="13">
        <v>29756</v>
      </c>
      <c r="E96">
        <f t="shared" si="22"/>
        <v>7676</v>
      </c>
      <c r="F96" s="13">
        <v>3594</v>
      </c>
      <c r="G96" s="13">
        <v>1398</v>
      </c>
      <c r="H96" s="13">
        <v>764</v>
      </c>
      <c r="I96" s="13">
        <v>779</v>
      </c>
      <c r="J96" s="13">
        <v>1197</v>
      </c>
      <c r="K96" s="13">
        <v>817</v>
      </c>
      <c r="L96" s="13">
        <v>888</v>
      </c>
      <c r="M96" s="13">
        <v>440</v>
      </c>
      <c r="N96" s="13">
        <v>1634</v>
      </c>
      <c r="O96" s="13">
        <v>1537</v>
      </c>
      <c r="P96" s="13">
        <v>4564</v>
      </c>
      <c r="Q96" s="13">
        <v>3301</v>
      </c>
      <c r="R96" s="13">
        <v>8827</v>
      </c>
      <c r="S96">
        <f t="shared" si="23"/>
        <v>7676</v>
      </c>
      <c r="T96">
        <f t="shared" si="24"/>
        <v>3324.4500000000003</v>
      </c>
      <c r="U96">
        <f t="shared" si="25"/>
        <v>1083.45</v>
      </c>
      <c r="V96">
        <f t="shared" si="26"/>
        <v>496.6</v>
      </c>
      <c r="W96">
        <f t="shared" si="27"/>
        <v>428.45000000000005</v>
      </c>
      <c r="X96">
        <f t="shared" si="28"/>
        <v>538.65</v>
      </c>
      <c r="Y96">
        <f t="shared" si="29"/>
        <v>265.52500000000003</v>
      </c>
      <c r="Z96">
        <f t="shared" si="30"/>
        <v>155.39999999999998</v>
      </c>
      <c r="AA96">
        <f t="shared" si="31"/>
        <v>22</v>
      </c>
      <c r="AB96" s="4">
        <f t="shared" si="32"/>
        <v>0.37375841525967091</v>
      </c>
    </row>
    <row r="97" spans="1:28" x14ac:dyDescent="0.35">
      <c r="A97" s="13" t="s">
        <v>183</v>
      </c>
      <c r="B97" s="13">
        <v>38</v>
      </c>
      <c r="C97">
        <f>VLOOKUP(CONCATENATE("2022",'2022_60'!A97),aktivnepesseg!$C$2:$D$2226,2,FALSE)</f>
        <v>99234</v>
      </c>
      <c r="D97" s="13">
        <v>84012</v>
      </c>
      <c r="E97">
        <f t="shared" si="22"/>
        <v>15222</v>
      </c>
      <c r="F97" s="13">
        <v>11139</v>
      </c>
      <c r="G97" s="13">
        <v>2871</v>
      </c>
      <c r="H97" s="13">
        <v>1822</v>
      </c>
      <c r="I97" s="13">
        <v>1433</v>
      </c>
      <c r="J97" s="13">
        <v>1898</v>
      </c>
      <c r="K97" s="13">
        <v>1925</v>
      </c>
      <c r="L97" s="13">
        <v>2363</v>
      </c>
      <c r="M97" s="13">
        <v>1216</v>
      </c>
      <c r="N97" s="13">
        <v>4914</v>
      </c>
      <c r="O97" s="13">
        <v>3884</v>
      </c>
      <c r="P97" s="13">
        <v>13224</v>
      </c>
      <c r="Q97" s="13">
        <v>9296</v>
      </c>
      <c r="R97" s="13">
        <v>28017</v>
      </c>
      <c r="S97">
        <f t="shared" si="23"/>
        <v>15222</v>
      </c>
      <c r="T97">
        <f t="shared" si="24"/>
        <v>10303.575000000001</v>
      </c>
      <c r="U97">
        <f t="shared" si="25"/>
        <v>2225.0250000000001</v>
      </c>
      <c r="V97">
        <f t="shared" si="26"/>
        <v>1184.3</v>
      </c>
      <c r="W97">
        <f t="shared" si="27"/>
        <v>788.15000000000009</v>
      </c>
      <c r="X97">
        <f t="shared" si="28"/>
        <v>854.1</v>
      </c>
      <c r="Y97">
        <f t="shared" si="29"/>
        <v>625.625</v>
      </c>
      <c r="Z97">
        <f t="shared" si="30"/>
        <v>413.52499999999998</v>
      </c>
      <c r="AA97">
        <f t="shared" si="31"/>
        <v>60.800000000000004</v>
      </c>
      <c r="AB97" s="4">
        <f t="shared" si="32"/>
        <v>0.31921619606183366</v>
      </c>
    </row>
    <row r="98" spans="1:28" x14ac:dyDescent="0.35">
      <c r="A98" s="13" t="s">
        <v>185</v>
      </c>
      <c r="B98" s="13">
        <v>152</v>
      </c>
      <c r="C98">
        <f>VLOOKUP(CONCATENATE("2022",'2022_60'!A98),aktivnepesseg!$C$2:$D$2226,2,FALSE)</f>
        <v>13513</v>
      </c>
      <c r="D98" s="13">
        <v>10979</v>
      </c>
      <c r="E98">
        <f t="shared" si="22"/>
        <v>2534</v>
      </c>
      <c r="F98" s="13">
        <v>1586</v>
      </c>
      <c r="G98" s="13">
        <v>544</v>
      </c>
      <c r="H98" s="13">
        <v>295</v>
      </c>
      <c r="I98" s="13">
        <v>298</v>
      </c>
      <c r="J98" s="13">
        <v>774</v>
      </c>
      <c r="K98" s="13">
        <v>393</v>
      </c>
      <c r="L98" s="13">
        <v>408</v>
      </c>
      <c r="M98" s="13">
        <v>196</v>
      </c>
      <c r="N98" s="13">
        <v>745</v>
      </c>
      <c r="O98" s="13">
        <v>608</v>
      </c>
      <c r="P98" s="13">
        <v>1854</v>
      </c>
      <c r="Q98" s="13">
        <v>1209</v>
      </c>
      <c r="R98" s="13">
        <v>2063</v>
      </c>
      <c r="S98">
        <f t="shared" si="23"/>
        <v>2534</v>
      </c>
      <c r="T98">
        <f t="shared" si="24"/>
        <v>1467.0500000000002</v>
      </c>
      <c r="U98">
        <f t="shared" si="25"/>
        <v>421.6</v>
      </c>
      <c r="V98">
        <f t="shared" si="26"/>
        <v>191.75</v>
      </c>
      <c r="W98">
        <f t="shared" si="27"/>
        <v>163.9</v>
      </c>
      <c r="X98">
        <f t="shared" si="28"/>
        <v>348.3</v>
      </c>
      <c r="Y98">
        <f t="shared" si="29"/>
        <v>127.72500000000001</v>
      </c>
      <c r="Z98">
        <f t="shared" si="30"/>
        <v>71.399999999999991</v>
      </c>
      <c r="AA98">
        <f t="shared" si="31"/>
        <v>9.8000000000000007</v>
      </c>
      <c r="AB98" s="4">
        <f t="shared" si="32"/>
        <v>0.39484385406645456</v>
      </c>
    </row>
    <row r="99" spans="1:28" x14ac:dyDescent="0.35">
      <c r="A99" s="13" t="s">
        <v>187</v>
      </c>
      <c r="B99" s="13">
        <v>193</v>
      </c>
      <c r="C99">
        <f>VLOOKUP(CONCATENATE("2022",'2022_60'!A99),aktivnepesseg!$C$2:$D$2226,2,FALSE)</f>
        <v>29310</v>
      </c>
      <c r="D99" s="13">
        <v>24619</v>
      </c>
      <c r="E99">
        <f t="shared" si="22"/>
        <v>4691</v>
      </c>
      <c r="F99" s="13">
        <v>4590</v>
      </c>
      <c r="G99" s="13">
        <v>1134</v>
      </c>
      <c r="H99" s="13">
        <v>607</v>
      </c>
      <c r="I99" s="13">
        <v>465</v>
      </c>
      <c r="J99" s="13">
        <v>658</v>
      </c>
      <c r="K99" s="13">
        <v>619</v>
      </c>
      <c r="L99" s="13">
        <v>724</v>
      </c>
      <c r="M99" s="13">
        <v>406</v>
      </c>
      <c r="N99" s="13">
        <v>1476</v>
      </c>
      <c r="O99" s="13">
        <v>1187</v>
      </c>
      <c r="P99" s="13">
        <v>4546</v>
      </c>
      <c r="Q99" s="13">
        <v>2629</v>
      </c>
      <c r="R99" s="13">
        <v>5489</v>
      </c>
      <c r="S99">
        <f t="shared" si="23"/>
        <v>4691</v>
      </c>
      <c r="T99">
        <f t="shared" si="24"/>
        <v>4245.75</v>
      </c>
      <c r="U99">
        <f t="shared" si="25"/>
        <v>878.85</v>
      </c>
      <c r="V99">
        <f t="shared" si="26"/>
        <v>394.55</v>
      </c>
      <c r="W99">
        <f t="shared" si="27"/>
        <v>255.75000000000003</v>
      </c>
      <c r="X99">
        <f t="shared" si="28"/>
        <v>296.10000000000002</v>
      </c>
      <c r="Y99">
        <f t="shared" si="29"/>
        <v>201.17500000000001</v>
      </c>
      <c r="Z99">
        <f t="shared" si="30"/>
        <v>126.69999999999999</v>
      </c>
      <c r="AA99">
        <f t="shared" si="31"/>
        <v>20.3</v>
      </c>
      <c r="AB99" s="4">
        <f t="shared" si="32"/>
        <v>0.37905748891163421</v>
      </c>
    </row>
    <row r="100" spans="1:28" x14ac:dyDescent="0.35">
      <c r="A100" s="13" t="s">
        <v>189</v>
      </c>
      <c r="B100" s="13">
        <v>111</v>
      </c>
      <c r="C100">
        <f>VLOOKUP(CONCATENATE("2022",'2022_60'!A100),aktivnepesseg!$C$2:$D$2226,2,FALSE)</f>
        <v>12667</v>
      </c>
      <c r="D100" s="13">
        <v>11165</v>
      </c>
      <c r="E100">
        <f t="shared" si="22"/>
        <v>1502</v>
      </c>
      <c r="F100" s="13">
        <v>1193</v>
      </c>
      <c r="G100" s="13">
        <v>360</v>
      </c>
      <c r="H100" s="13">
        <v>189</v>
      </c>
      <c r="I100" s="13">
        <v>168</v>
      </c>
      <c r="J100" s="13">
        <v>269</v>
      </c>
      <c r="K100" s="13">
        <v>216</v>
      </c>
      <c r="L100" s="13">
        <v>256</v>
      </c>
      <c r="M100" s="13">
        <v>147</v>
      </c>
      <c r="N100" s="13">
        <v>584</v>
      </c>
      <c r="O100" s="13">
        <v>523</v>
      </c>
      <c r="P100" s="13">
        <v>1861</v>
      </c>
      <c r="Q100" s="13">
        <v>1486</v>
      </c>
      <c r="R100" s="13">
        <v>3885</v>
      </c>
      <c r="S100">
        <f t="shared" si="23"/>
        <v>1502</v>
      </c>
      <c r="T100">
        <f t="shared" si="24"/>
        <v>1103.5250000000001</v>
      </c>
      <c r="U100">
        <f t="shared" si="25"/>
        <v>279</v>
      </c>
      <c r="V100">
        <f t="shared" si="26"/>
        <v>122.85000000000001</v>
      </c>
      <c r="W100">
        <f t="shared" si="27"/>
        <v>92.4</v>
      </c>
      <c r="X100">
        <f t="shared" si="28"/>
        <v>121.05</v>
      </c>
      <c r="Y100">
        <f t="shared" si="29"/>
        <v>70.2</v>
      </c>
      <c r="Z100">
        <f t="shared" si="30"/>
        <v>44.8</v>
      </c>
      <c r="AA100">
        <f t="shared" si="31"/>
        <v>7.3500000000000005</v>
      </c>
      <c r="AB100" s="4">
        <f t="shared" si="32"/>
        <v>0.2639279229493961</v>
      </c>
    </row>
    <row r="101" spans="1:28" x14ac:dyDescent="0.35">
      <c r="A101" s="13" t="s">
        <v>191</v>
      </c>
      <c r="B101" s="13">
        <v>39</v>
      </c>
      <c r="C101">
        <f>VLOOKUP(CONCATENATE("2022",'2022_60'!A101),aktivnepesseg!$C$2:$D$2226,2,FALSE)</f>
        <v>32245</v>
      </c>
      <c r="D101" s="13">
        <v>27666</v>
      </c>
      <c r="E101">
        <f t="shared" si="22"/>
        <v>4579</v>
      </c>
      <c r="F101" s="13">
        <v>5870</v>
      </c>
      <c r="G101" s="13">
        <v>1024</v>
      </c>
      <c r="H101" s="13">
        <v>712</v>
      </c>
      <c r="I101" s="13">
        <v>513</v>
      </c>
      <c r="J101" s="13">
        <v>889</v>
      </c>
      <c r="K101" s="13">
        <v>704</v>
      </c>
      <c r="L101" s="13">
        <v>966</v>
      </c>
      <c r="M101" s="13">
        <v>381</v>
      </c>
      <c r="N101" s="13">
        <v>2111</v>
      </c>
      <c r="O101" s="13">
        <v>1472</v>
      </c>
      <c r="P101" s="13">
        <v>5155</v>
      </c>
      <c r="Q101" s="13">
        <v>2452</v>
      </c>
      <c r="R101" s="13">
        <v>5406</v>
      </c>
      <c r="S101">
        <f t="shared" si="23"/>
        <v>4579</v>
      </c>
      <c r="T101">
        <f t="shared" si="24"/>
        <v>5429.75</v>
      </c>
      <c r="U101">
        <f t="shared" si="25"/>
        <v>793.6</v>
      </c>
      <c r="V101">
        <f t="shared" si="26"/>
        <v>462.8</v>
      </c>
      <c r="W101">
        <f t="shared" si="27"/>
        <v>282.15000000000003</v>
      </c>
      <c r="X101">
        <f t="shared" si="28"/>
        <v>400.05</v>
      </c>
      <c r="Y101">
        <f t="shared" si="29"/>
        <v>228.8</v>
      </c>
      <c r="Z101">
        <f t="shared" si="30"/>
        <v>169.04999999999998</v>
      </c>
      <c r="AA101">
        <f t="shared" si="31"/>
        <v>19.05</v>
      </c>
      <c r="AB101" s="4">
        <f t="shared" si="32"/>
        <v>0.3834470460536516</v>
      </c>
    </row>
    <row r="102" spans="1:28" x14ac:dyDescent="0.35">
      <c r="A102" s="13" t="s">
        <v>193</v>
      </c>
      <c r="B102" s="13">
        <v>40</v>
      </c>
      <c r="C102">
        <f>VLOOKUP(CONCATENATE("2022",'2022_60'!A102),aktivnepesseg!$C$2:$D$2226,2,FALSE)</f>
        <v>22474</v>
      </c>
      <c r="D102" s="13">
        <v>18968</v>
      </c>
      <c r="E102">
        <f t="shared" si="22"/>
        <v>3506</v>
      </c>
      <c r="F102" s="13">
        <v>2775</v>
      </c>
      <c r="G102" s="13">
        <v>702</v>
      </c>
      <c r="H102" s="13">
        <v>460</v>
      </c>
      <c r="I102" s="13">
        <v>372</v>
      </c>
      <c r="J102" s="13">
        <v>435</v>
      </c>
      <c r="K102" s="13">
        <v>485</v>
      </c>
      <c r="L102" s="13">
        <v>518</v>
      </c>
      <c r="M102" s="13">
        <v>276</v>
      </c>
      <c r="N102" s="13">
        <v>1066</v>
      </c>
      <c r="O102" s="13">
        <v>960</v>
      </c>
      <c r="P102" s="13">
        <v>3468</v>
      </c>
      <c r="Q102" s="13">
        <v>2254</v>
      </c>
      <c r="R102" s="13">
        <v>5186</v>
      </c>
      <c r="S102">
        <f t="shared" si="23"/>
        <v>3506</v>
      </c>
      <c r="T102">
        <f t="shared" si="24"/>
        <v>2566.875</v>
      </c>
      <c r="U102">
        <f t="shared" si="25"/>
        <v>544.05000000000007</v>
      </c>
      <c r="V102">
        <f t="shared" si="26"/>
        <v>299</v>
      </c>
      <c r="W102">
        <f t="shared" si="27"/>
        <v>204.60000000000002</v>
      </c>
      <c r="X102">
        <f t="shared" si="28"/>
        <v>195.75</v>
      </c>
      <c r="Y102">
        <f t="shared" si="29"/>
        <v>157.625</v>
      </c>
      <c r="Z102">
        <f t="shared" si="30"/>
        <v>90.649999999999991</v>
      </c>
      <c r="AA102">
        <f t="shared" si="31"/>
        <v>13.8</v>
      </c>
      <c r="AB102" s="4">
        <f t="shared" si="32"/>
        <v>0.33720521491501293</v>
      </c>
    </row>
    <row r="103" spans="1:28" x14ac:dyDescent="0.35">
      <c r="A103" s="13" t="s">
        <v>195</v>
      </c>
      <c r="B103" s="13">
        <v>41</v>
      </c>
      <c r="C103">
        <f>VLOOKUP(CONCATENATE("2022",'2022_60'!A103),aktivnepesseg!$C$2:$D$2226,2,FALSE)</f>
        <v>26203</v>
      </c>
      <c r="D103" s="13">
        <v>20840</v>
      </c>
      <c r="E103">
        <f t="shared" si="22"/>
        <v>5363</v>
      </c>
      <c r="F103" s="13">
        <v>3095</v>
      </c>
      <c r="G103" s="13">
        <v>796</v>
      </c>
      <c r="H103" s="13">
        <v>456</v>
      </c>
      <c r="I103" s="13">
        <v>374</v>
      </c>
      <c r="J103" s="13">
        <v>649</v>
      </c>
      <c r="K103" s="13">
        <v>524</v>
      </c>
      <c r="L103" s="13">
        <v>692</v>
      </c>
      <c r="M103" s="13">
        <v>330</v>
      </c>
      <c r="N103" s="13">
        <v>1411</v>
      </c>
      <c r="O103" s="13">
        <v>1114</v>
      </c>
      <c r="P103" s="13">
        <v>3896</v>
      </c>
      <c r="Q103" s="13">
        <v>2227</v>
      </c>
      <c r="R103" s="13">
        <v>5274</v>
      </c>
      <c r="S103">
        <f t="shared" ref="S103:S134" si="33">E103*E$5</f>
        <v>5363</v>
      </c>
      <c r="T103">
        <f t="shared" ref="T103:T134" si="34">F103*F$5</f>
        <v>2862.875</v>
      </c>
      <c r="U103">
        <f t="shared" ref="U103:U134" si="35">G103*G$5</f>
        <v>616.9</v>
      </c>
      <c r="V103">
        <f t="shared" ref="V103:V134" si="36">H103*H$5</f>
        <v>296.40000000000003</v>
      </c>
      <c r="W103">
        <f t="shared" ref="W103:W134" si="37">I103*I$5</f>
        <v>205.70000000000002</v>
      </c>
      <c r="X103">
        <f t="shared" ref="X103:X134" si="38">J103*J$5</f>
        <v>292.05</v>
      </c>
      <c r="Y103">
        <f t="shared" ref="Y103:Y134" si="39">K103*K$5</f>
        <v>170.3</v>
      </c>
      <c r="Z103">
        <f t="shared" ref="Z103:Z134" si="40">L103*L$5</f>
        <v>121.1</v>
      </c>
      <c r="AA103">
        <f t="shared" ref="AA103:AA134" si="41">M103*M$5</f>
        <v>16.5</v>
      </c>
      <c r="AB103" s="4">
        <f t="shared" si="32"/>
        <v>0.37953001564706329</v>
      </c>
    </row>
    <row r="104" spans="1:28" x14ac:dyDescent="0.35">
      <c r="A104" s="13" t="s">
        <v>197</v>
      </c>
      <c r="B104" s="13">
        <v>42</v>
      </c>
      <c r="C104">
        <f>VLOOKUP(CONCATENATE("2022",'2022_60'!A104),aktivnepesseg!$C$2:$D$2226,2,FALSE)</f>
        <v>11318</v>
      </c>
      <c r="D104" s="13">
        <v>9503</v>
      </c>
      <c r="E104">
        <f t="shared" si="22"/>
        <v>1815</v>
      </c>
      <c r="F104" s="13">
        <v>2060</v>
      </c>
      <c r="G104" s="13">
        <v>376</v>
      </c>
      <c r="H104" s="13">
        <v>220</v>
      </c>
      <c r="I104" s="13">
        <v>180</v>
      </c>
      <c r="J104" s="13">
        <v>278</v>
      </c>
      <c r="K104" s="13">
        <v>194</v>
      </c>
      <c r="L104" s="13">
        <v>304</v>
      </c>
      <c r="M104" s="13">
        <v>168</v>
      </c>
      <c r="N104" s="13">
        <v>647</v>
      </c>
      <c r="O104" s="13">
        <v>556</v>
      </c>
      <c r="P104" s="13">
        <v>1712</v>
      </c>
      <c r="Q104" s="13">
        <v>856</v>
      </c>
      <c r="R104" s="13">
        <v>1946</v>
      </c>
      <c r="S104">
        <f t="shared" si="33"/>
        <v>1815</v>
      </c>
      <c r="T104">
        <f t="shared" si="34"/>
        <v>1905.5</v>
      </c>
      <c r="U104">
        <f t="shared" si="35"/>
        <v>291.40000000000003</v>
      </c>
      <c r="V104">
        <f t="shared" si="36"/>
        <v>143</v>
      </c>
      <c r="W104">
        <f t="shared" si="37"/>
        <v>99.000000000000014</v>
      </c>
      <c r="X104">
        <f t="shared" si="38"/>
        <v>125.10000000000001</v>
      </c>
      <c r="Y104">
        <f t="shared" si="39"/>
        <v>63.050000000000004</v>
      </c>
      <c r="Z104">
        <f t="shared" si="40"/>
        <v>53.199999999999996</v>
      </c>
      <c r="AA104">
        <f t="shared" si="41"/>
        <v>8.4</v>
      </c>
      <c r="AB104" s="4">
        <f t="shared" si="32"/>
        <v>0.39791924368262943</v>
      </c>
    </row>
    <row r="105" spans="1:28" x14ac:dyDescent="0.35">
      <c r="A105" s="13" t="s">
        <v>199</v>
      </c>
      <c r="B105" s="13">
        <v>72</v>
      </c>
      <c r="C105">
        <f>VLOOKUP(CONCATENATE("2022",'2022_60'!A105),aktivnepesseg!$C$2:$D$2226,2,FALSE)</f>
        <v>10724</v>
      </c>
      <c r="D105" s="13">
        <v>8690</v>
      </c>
      <c r="E105">
        <f t="shared" si="22"/>
        <v>2034</v>
      </c>
      <c r="F105" s="13">
        <v>1787</v>
      </c>
      <c r="G105" s="13">
        <v>334</v>
      </c>
      <c r="H105" s="13">
        <v>202</v>
      </c>
      <c r="I105" s="13">
        <v>184</v>
      </c>
      <c r="J105" s="13">
        <v>331</v>
      </c>
      <c r="K105" s="13">
        <v>231</v>
      </c>
      <c r="L105" s="13">
        <v>248</v>
      </c>
      <c r="M105" s="13">
        <v>147</v>
      </c>
      <c r="N105" s="13">
        <v>637</v>
      </c>
      <c r="O105" s="13">
        <v>525</v>
      </c>
      <c r="P105" s="13">
        <v>1571</v>
      </c>
      <c r="Q105" s="13">
        <v>859</v>
      </c>
      <c r="R105" s="13">
        <v>1630</v>
      </c>
      <c r="S105">
        <f t="shared" si="33"/>
        <v>2034</v>
      </c>
      <c r="T105">
        <f t="shared" si="34"/>
        <v>1652.9750000000001</v>
      </c>
      <c r="U105">
        <f t="shared" si="35"/>
        <v>258.85000000000002</v>
      </c>
      <c r="V105">
        <f t="shared" si="36"/>
        <v>131.30000000000001</v>
      </c>
      <c r="W105">
        <f t="shared" si="37"/>
        <v>101.2</v>
      </c>
      <c r="X105">
        <f t="shared" si="38"/>
        <v>148.95000000000002</v>
      </c>
      <c r="Y105">
        <f t="shared" si="39"/>
        <v>75.075000000000003</v>
      </c>
      <c r="Z105">
        <f t="shared" si="40"/>
        <v>43.4</v>
      </c>
      <c r="AA105">
        <f t="shared" si="41"/>
        <v>7.3500000000000005</v>
      </c>
      <c r="AB105" s="4">
        <f t="shared" si="32"/>
        <v>0.41524617679970166</v>
      </c>
    </row>
    <row r="106" spans="1:28" x14ac:dyDescent="0.35">
      <c r="A106" s="13" t="s">
        <v>201</v>
      </c>
      <c r="B106" s="13">
        <v>153</v>
      </c>
      <c r="C106">
        <f>VLOOKUP(CONCATENATE("2022",'2022_60'!A106),aktivnepesseg!$C$2:$D$2226,2,FALSE)</f>
        <v>33664</v>
      </c>
      <c r="D106" s="13">
        <v>28333</v>
      </c>
      <c r="E106">
        <f t="shared" si="22"/>
        <v>5331</v>
      </c>
      <c r="F106" s="13">
        <v>3833</v>
      </c>
      <c r="G106" s="13">
        <v>1253</v>
      </c>
      <c r="H106" s="13">
        <v>683</v>
      </c>
      <c r="I106" s="13">
        <v>691</v>
      </c>
      <c r="J106" s="13">
        <v>1491</v>
      </c>
      <c r="K106" s="13">
        <v>942</v>
      </c>
      <c r="L106" s="13">
        <v>899</v>
      </c>
      <c r="M106" s="13">
        <v>428</v>
      </c>
      <c r="N106" s="13">
        <v>1772</v>
      </c>
      <c r="O106" s="13">
        <v>1458</v>
      </c>
      <c r="P106" s="13">
        <v>4945</v>
      </c>
      <c r="Q106" s="13">
        <v>3087</v>
      </c>
      <c r="R106" s="13">
        <v>6835</v>
      </c>
      <c r="S106">
        <f t="shared" si="33"/>
        <v>5331</v>
      </c>
      <c r="T106">
        <f t="shared" si="34"/>
        <v>3545.5250000000001</v>
      </c>
      <c r="U106">
        <f t="shared" si="35"/>
        <v>971.07500000000005</v>
      </c>
      <c r="V106">
        <f t="shared" si="36"/>
        <v>443.95</v>
      </c>
      <c r="W106">
        <f t="shared" si="37"/>
        <v>380.05</v>
      </c>
      <c r="X106">
        <f t="shared" si="38"/>
        <v>670.95</v>
      </c>
      <c r="Y106">
        <f t="shared" si="39"/>
        <v>306.15000000000003</v>
      </c>
      <c r="Z106">
        <f t="shared" si="40"/>
        <v>157.32499999999999</v>
      </c>
      <c r="AA106">
        <f t="shared" si="41"/>
        <v>21.400000000000002</v>
      </c>
      <c r="AB106" s="4">
        <f t="shared" si="32"/>
        <v>0.3513374821768061</v>
      </c>
    </row>
    <row r="107" spans="1:28" x14ac:dyDescent="0.35">
      <c r="A107" s="13" t="s">
        <v>203</v>
      </c>
      <c r="B107" s="13">
        <v>112</v>
      </c>
      <c r="C107">
        <f>VLOOKUP(CONCATENATE("2022",'2022_60'!A107),aktivnepesseg!$C$2:$D$2226,2,FALSE)</f>
        <v>24723</v>
      </c>
      <c r="D107" s="13">
        <v>22302</v>
      </c>
      <c r="E107">
        <f t="shared" si="22"/>
        <v>2421</v>
      </c>
      <c r="F107" s="13">
        <v>2410</v>
      </c>
      <c r="G107" s="13">
        <v>694</v>
      </c>
      <c r="H107" s="13">
        <v>419</v>
      </c>
      <c r="I107" s="13">
        <v>306</v>
      </c>
      <c r="J107" s="13">
        <v>439</v>
      </c>
      <c r="K107" s="13">
        <v>447</v>
      </c>
      <c r="L107" s="13">
        <v>518</v>
      </c>
      <c r="M107" s="13">
        <v>270</v>
      </c>
      <c r="N107" s="13">
        <v>1008</v>
      </c>
      <c r="O107" s="13">
        <v>949</v>
      </c>
      <c r="P107" s="13">
        <v>3096</v>
      </c>
      <c r="Q107" s="13">
        <v>2569</v>
      </c>
      <c r="R107" s="13">
        <v>9170</v>
      </c>
      <c r="S107">
        <f t="shared" si="33"/>
        <v>2421</v>
      </c>
      <c r="T107">
        <f t="shared" si="34"/>
        <v>2229.25</v>
      </c>
      <c r="U107">
        <f t="shared" si="35"/>
        <v>537.85</v>
      </c>
      <c r="V107">
        <f t="shared" si="36"/>
        <v>272.35000000000002</v>
      </c>
      <c r="W107">
        <f t="shared" si="37"/>
        <v>168.3</v>
      </c>
      <c r="X107">
        <f t="shared" si="38"/>
        <v>197.55</v>
      </c>
      <c r="Y107">
        <f t="shared" si="39"/>
        <v>145.27500000000001</v>
      </c>
      <c r="Z107">
        <f t="shared" si="40"/>
        <v>90.649999999999991</v>
      </c>
      <c r="AA107">
        <f t="shared" si="41"/>
        <v>13.5</v>
      </c>
      <c r="AB107" s="4">
        <f t="shared" si="32"/>
        <v>0.24575193139991103</v>
      </c>
    </row>
    <row r="108" spans="1:28" x14ac:dyDescent="0.35">
      <c r="A108" s="13" t="s">
        <v>205</v>
      </c>
      <c r="B108" s="13">
        <v>26</v>
      </c>
      <c r="C108">
        <f>VLOOKUP(CONCATENATE("2022",'2022_60'!A108),aktivnepesseg!$C$2:$D$2226,2,FALSE)</f>
        <v>19861</v>
      </c>
      <c r="D108" s="13">
        <v>15831</v>
      </c>
      <c r="E108">
        <f t="shared" si="22"/>
        <v>4030</v>
      </c>
      <c r="F108" s="13">
        <v>2101</v>
      </c>
      <c r="G108" s="13">
        <v>703</v>
      </c>
      <c r="H108" s="13">
        <v>406</v>
      </c>
      <c r="I108" s="13">
        <v>335</v>
      </c>
      <c r="J108" s="13">
        <v>604</v>
      </c>
      <c r="K108" s="13">
        <v>441</v>
      </c>
      <c r="L108" s="13">
        <v>509</v>
      </c>
      <c r="M108" s="13">
        <v>262</v>
      </c>
      <c r="N108" s="13">
        <v>1089</v>
      </c>
      <c r="O108" s="13">
        <v>930</v>
      </c>
      <c r="P108" s="13">
        <v>3085</v>
      </c>
      <c r="Q108" s="13">
        <v>1913</v>
      </c>
      <c r="R108" s="13">
        <v>3390</v>
      </c>
      <c r="S108">
        <f t="shared" si="33"/>
        <v>4030</v>
      </c>
      <c r="T108">
        <f t="shared" si="34"/>
        <v>1943.4250000000002</v>
      </c>
      <c r="U108">
        <f t="shared" si="35"/>
        <v>544.82500000000005</v>
      </c>
      <c r="V108">
        <f t="shared" si="36"/>
        <v>263.90000000000003</v>
      </c>
      <c r="W108">
        <f t="shared" si="37"/>
        <v>184.25000000000003</v>
      </c>
      <c r="X108">
        <f t="shared" si="38"/>
        <v>271.8</v>
      </c>
      <c r="Y108">
        <f t="shared" si="39"/>
        <v>143.32500000000002</v>
      </c>
      <c r="Z108">
        <f t="shared" si="40"/>
        <v>89.074999999999989</v>
      </c>
      <c r="AA108">
        <f t="shared" si="41"/>
        <v>13.100000000000001</v>
      </c>
      <c r="AB108" s="4">
        <f t="shared" si="32"/>
        <v>0.37680378631488848</v>
      </c>
    </row>
    <row r="109" spans="1:28" x14ac:dyDescent="0.35">
      <c r="A109" s="13" t="s">
        <v>207</v>
      </c>
      <c r="B109" s="13">
        <v>177</v>
      </c>
      <c r="C109">
        <f>VLOOKUP(CONCATENATE("2022",'2022_60'!A109),aktivnepesseg!$C$2:$D$2226,2,FALSE)</f>
        <v>16170</v>
      </c>
      <c r="D109" s="13">
        <v>13653</v>
      </c>
      <c r="E109">
        <f t="shared" si="22"/>
        <v>2517</v>
      </c>
      <c r="F109" s="13">
        <v>2004</v>
      </c>
      <c r="G109" s="13">
        <v>499</v>
      </c>
      <c r="H109" s="13">
        <v>238</v>
      </c>
      <c r="I109" s="13">
        <v>186</v>
      </c>
      <c r="J109" s="13">
        <v>382</v>
      </c>
      <c r="K109" s="13">
        <v>269</v>
      </c>
      <c r="L109" s="13">
        <v>286</v>
      </c>
      <c r="M109" s="13">
        <v>153</v>
      </c>
      <c r="N109" s="13">
        <v>722</v>
      </c>
      <c r="O109" s="13">
        <v>597</v>
      </c>
      <c r="P109" s="13">
        <v>2225</v>
      </c>
      <c r="Q109" s="13">
        <v>1743</v>
      </c>
      <c r="R109" s="13">
        <v>4137</v>
      </c>
      <c r="S109">
        <f t="shared" si="33"/>
        <v>2517</v>
      </c>
      <c r="T109">
        <f t="shared" si="34"/>
        <v>1853.7</v>
      </c>
      <c r="U109">
        <f t="shared" si="35"/>
        <v>386.72500000000002</v>
      </c>
      <c r="V109">
        <f t="shared" si="36"/>
        <v>154.70000000000002</v>
      </c>
      <c r="W109">
        <f t="shared" si="37"/>
        <v>102.30000000000001</v>
      </c>
      <c r="X109">
        <f t="shared" si="38"/>
        <v>171.9</v>
      </c>
      <c r="Y109">
        <f t="shared" si="39"/>
        <v>87.424999999999997</v>
      </c>
      <c r="Z109">
        <f t="shared" si="40"/>
        <v>50.05</v>
      </c>
      <c r="AA109">
        <f t="shared" si="41"/>
        <v>7.65</v>
      </c>
      <c r="AB109" s="4">
        <f t="shared" si="32"/>
        <v>0.32971243042671611</v>
      </c>
    </row>
    <row r="110" spans="1:28" x14ac:dyDescent="0.35">
      <c r="A110" s="13" t="s">
        <v>209</v>
      </c>
      <c r="B110" s="13">
        <v>178</v>
      </c>
      <c r="C110">
        <f>VLOOKUP(CONCATENATE("2022",'2022_60'!A110),aktivnepesseg!$C$2:$D$2226,2,FALSE)</f>
        <v>16143</v>
      </c>
      <c r="D110" s="13">
        <v>12084</v>
      </c>
      <c r="E110">
        <f t="shared" si="22"/>
        <v>4059</v>
      </c>
      <c r="F110" s="13">
        <v>2009</v>
      </c>
      <c r="G110" s="13">
        <v>558</v>
      </c>
      <c r="H110" s="13">
        <v>235</v>
      </c>
      <c r="I110" s="13">
        <v>186</v>
      </c>
      <c r="J110" s="13">
        <v>296</v>
      </c>
      <c r="K110" s="13">
        <v>246</v>
      </c>
      <c r="L110" s="13">
        <v>314</v>
      </c>
      <c r="M110" s="13">
        <v>170</v>
      </c>
      <c r="N110" s="13">
        <v>638</v>
      </c>
      <c r="O110" s="13">
        <v>604</v>
      </c>
      <c r="P110" s="13">
        <v>1923</v>
      </c>
      <c r="Q110" s="13">
        <v>1264</v>
      </c>
      <c r="R110" s="13">
        <v>3574</v>
      </c>
      <c r="S110">
        <f t="shared" si="33"/>
        <v>4059</v>
      </c>
      <c r="T110">
        <f t="shared" si="34"/>
        <v>1858.325</v>
      </c>
      <c r="U110">
        <f t="shared" si="35"/>
        <v>432.45</v>
      </c>
      <c r="V110">
        <f t="shared" si="36"/>
        <v>152.75</v>
      </c>
      <c r="W110">
        <f t="shared" si="37"/>
        <v>102.30000000000001</v>
      </c>
      <c r="X110">
        <f t="shared" si="38"/>
        <v>133.20000000000002</v>
      </c>
      <c r="Y110">
        <f t="shared" si="39"/>
        <v>79.95</v>
      </c>
      <c r="Z110">
        <f t="shared" si="40"/>
        <v>54.949999999999996</v>
      </c>
      <c r="AA110">
        <f t="shared" si="41"/>
        <v>8.5</v>
      </c>
      <c r="AB110" s="4">
        <f t="shared" si="32"/>
        <v>0.42627919221953786</v>
      </c>
    </row>
    <row r="111" spans="1:28" x14ac:dyDescent="0.35">
      <c r="A111" s="13" t="s">
        <v>211</v>
      </c>
      <c r="B111" s="13">
        <v>164</v>
      </c>
      <c r="C111">
        <f>VLOOKUP(CONCATENATE("2022",'2022_60'!A111),aktivnepesseg!$C$2:$D$2226,2,FALSE)</f>
        <v>11938</v>
      </c>
      <c r="D111" s="13">
        <v>9394</v>
      </c>
      <c r="E111">
        <f t="shared" si="22"/>
        <v>2544</v>
      </c>
      <c r="F111" s="13">
        <v>1640</v>
      </c>
      <c r="G111" s="13">
        <v>629</v>
      </c>
      <c r="H111" s="13">
        <v>311</v>
      </c>
      <c r="I111" s="13">
        <v>366</v>
      </c>
      <c r="J111" s="13">
        <v>725</v>
      </c>
      <c r="K111" s="13">
        <v>358</v>
      </c>
      <c r="L111" s="13">
        <v>354</v>
      </c>
      <c r="M111" s="13">
        <v>159</v>
      </c>
      <c r="N111" s="13">
        <v>630</v>
      </c>
      <c r="O111" s="13">
        <v>490</v>
      </c>
      <c r="P111" s="13">
        <v>1517</v>
      </c>
      <c r="Q111" s="13">
        <v>891</v>
      </c>
      <c r="R111" s="13">
        <v>1320</v>
      </c>
      <c r="S111">
        <f t="shared" si="33"/>
        <v>2544</v>
      </c>
      <c r="T111">
        <f t="shared" si="34"/>
        <v>1517</v>
      </c>
      <c r="U111">
        <f t="shared" si="35"/>
        <v>487.47500000000002</v>
      </c>
      <c r="V111">
        <f t="shared" si="36"/>
        <v>202.15</v>
      </c>
      <c r="W111">
        <f t="shared" si="37"/>
        <v>201.3</v>
      </c>
      <c r="X111">
        <f t="shared" si="38"/>
        <v>326.25</v>
      </c>
      <c r="Y111">
        <f t="shared" si="39"/>
        <v>116.35000000000001</v>
      </c>
      <c r="Z111">
        <f t="shared" si="40"/>
        <v>61.949999999999996</v>
      </c>
      <c r="AA111">
        <f t="shared" si="41"/>
        <v>7.95</v>
      </c>
      <c r="AB111" s="4">
        <f t="shared" si="32"/>
        <v>0.45773370748869158</v>
      </c>
    </row>
    <row r="112" spans="1:28" x14ac:dyDescent="0.35">
      <c r="A112" s="13" t="s">
        <v>213</v>
      </c>
      <c r="B112" s="13">
        <v>165</v>
      </c>
      <c r="C112">
        <f>VLOOKUP(CONCATENATE("2022",'2022_60'!A112),aktivnepesseg!$C$2:$D$2226,2,FALSE)</f>
        <v>19635</v>
      </c>
      <c r="D112" s="13">
        <v>16659</v>
      </c>
      <c r="E112">
        <f t="shared" si="22"/>
        <v>2976</v>
      </c>
      <c r="F112" s="13">
        <v>2465</v>
      </c>
      <c r="G112" s="13">
        <v>689</v>
      </c>
      <c r="H112" s="13">
        <v>369</v>
      </c>
      <c r="I112" s="13">
        <v>387</v>
      </c>
      <c r="J112" s="13">
        <v>598</v>
      </c>
      <c r="K112" s="13">
        <v>507</v>
      </c>
      <c r="L112" s="13">
        <v>521</v>
      </c>
      <c r="M112" s="13">
        <v>326</v>
      </c>
      <c r="N112" s="13">
        <v>1094</v>
      </c>
      <c r="O112" s="13">
        <v>951</v>
      </c>
      <c r="P112" s="13">
        <v>3108</v>
      </c>
      <c r="Q112" s="13">
        <v>1853</v>
      </c>
      <c r="R112" s="13">
        <v>3786</v>
      </c>
      <c r="S112">
        <f t="shared" si="33"/>
        <v>2976</v>
      </c>
      <c r="T112">
        <f t="shared" si="34"/>
        <v>2280.125</v>
      </c>
      <c r="U112">
        <f t="shared" si="35"/>
        <v>533.97500000000002</v>
      </c>
      <c r="V112">
        <f t="shared" si="36"/>
        <v>239.85</v>
      </c>
      <c r="W112">
        <f t="shared" si="37"/>
        <v>212.85000000000002</v>
      </c>
      <c r="X112">
        <f t="shared" si="38"/>
        <v>269.10000000000002</v>
      </c>
      <c r="Y112">
        <f t="shared" si="39"/>
        <v>164.77500000000001</v>
      </c>
      <c r="Z112">
        <f t="shared" si="40"/>
        <v>91.174999999999997</v>
      </c>
      <c r="AA112">
        <f t="shared" si="41"/>
        <v>16.3</v>
      </c>
      <c r="AB112" s="4">
        <f t="shared" si="32"/>
        <v>0.34551311433664383</v>
      </c>
    </row>
    <row r="113" spans="1:28" x14ac:dyDescent="0.35">
      <c r="A113" s="13" t="s">
        <v>215</v>
      </c>
      <c r="B113" s="13">
        <v>43</v>
      </c>
      <c r="C113">
        <f>VLOOKUP(CONCATENATE("2022",'2022_60'!A113),aktivnepesseg!$C$2:$D$2226,2,FALSE)</f>
        <v>18364</v>
      </c>
      <c r="D113" s="13">
        <v>15943</v>
      </c>
      <c r="E113">
        <f t="shared" si="22"/>
        <v>2421</v>
      </c>
      <c r="F113" s="13">
        <v>2589</v>
      </c>
      <c r="G113" s="13">
        <v>504</v>
      </c>
      <c r="H113" s="13">
        <v>323</v>
      </c>
      <c r="I113" s="13">
        <v>318</v>
      </c>
      <c r="J113" s="13">
        <v>521</v>
      </c>
      <c r="K113" s="13">
        <v>401</v>
      </c>
      <c r="L113" s="13">
        <v>458</v>
      </c>
      <c r="M113" s="13">
        <v>250</v>
      </c>
      <c r="N113" s="13">
        <v>1114</v>
      </c>
      <c r="O113" s="13">
        <v>849</v>
      </c>
      <c r="P113" s="13">
        <v>2757</v>
      </c>
      <c r="Q113" s="13">
        <v>1618</v>
      </c>
      <c r="R113" s="13">
        <v>4240</v>
      </c>
      <c r="S113">
        <f t="shared" si="33"/>
        <v>2421</v>
      </c>
      <c r="T113">
        <f t="shared" si="34"/>
        <v>2394.8250000000003</v>
      </c>
      <c r="U113">
        <f t="shared" si="35"/>
        <v>390.6</v>
      </c>
      <c r="V113">
        <f t="shared" si="36"/>
        <v>209.95000000000002</v>
      </c>
      <c r="W113">
        <f t="shared" si="37"/>
        <v>174.9</v>
      </c>
      <c r="X113">
        <f t="shared" si="38"/>
        <v>234.45000000000002</v>
      </c>
      <c r="Y113">
        <f t="shared" si="39"/>
        <v>130.32500000000002</v>
      </c>
      <c r="Z113">
        <f t="shared" si="40"/>
        <v>80.149999999999991</v>
      </c>
      <c r="AA113">
        <f t="shared" si="41"/>
        <v>12.5</v>
      </c>
      <c r="AB113" s="4">
        <f t="shared" si="32"/>
        <v>0.3293781311261163</v>
      </c>
    </row>
    <row r="114" spans="1:28" x14ac:dyDescent="0.35">
      <c r="A114" s="13" t="s">
        <v>217</v>
      </c>
      <c r="B114" s="13">
        <v>194</v>
      </c>
      <c r="C114">
        <f>VLOOKUP(CONCATENATE("2022",'2022_60'!A114),aktivnepesseg!$C$2:$D$2226,2,FALSE)</f>
        <v>11143</v>
      </c>
      <c r="D114" s="13">
        <v>9479</v>
      </c>
      <c r="E114">
        <f t="shared" si="22"/>
        <v>1664</v>
      </c>
      <c r="F114" s="13">
        <v>1512</v>
      </c>
      <c r="G114" s="13">
        <v>359</v>
      </c>
      <c r="H114" s="13">
        <v>185</v>
      </c>
      <c r="I114" s="13">
        <v>141</v>
      </c>
      <c r="J114" s="13">
        <v>310</v>
      </c>
      <c r="K114" s="13">
        <v>223</v>
      </c>
      <c r="L114" s="13">
        <v>224</v>
      </c>
      <c r="M114" s="13">
        <v>115</v>
      </c>
      <c r="N114" s="13">
        <v>564</v>
      </c>
      <c r="O114" s="13">
        <v>448</v>
      </c>
      <c r="P114" s="13">
        <v>1659</v>
      </c>
      <c r="Q114" s="13">
        <v>1306</v>
      </c>
      <c r="R114" s="13">
        <v>2189</v>
      </c>
      <c r="S114">
        <f t="shared" si="33"/>
        <v>1664</v>
      </c>
      <c r="T114">
        <f t="shared" si="34"/>
        <v>1398.6000000000001</v>
      </c>
      <c r="U114">
        <f t="shared" si="35"/>
        <v>278.22500000000002</v>
      </c>
      <c r="V114">
        <f t="shared" si="36"/>
        <v>120.25</v>
      </c>
      <c r="W114">
        <f t="shared" si="37"/>
        <v>77.550000000000011</v>
      </c>
      <c r="X114">
        <f t="shared" si="38"/>
        <v>139.5</v>
      </c>
      <c r="Y114">
        <f t="shared" si="39"/>
        <v>72.475000000000009</v>
      </c>
      <c r="Z114">
        <f t="shared" si="40"/>
        <v>39.199999999999996</v>
      </c>
      <c r="AA114">
        <f t="shared" si="41"/>
        <v>5.75</v>
      </c>
      <c r="AB114" s="4">
        <f t="shared" si="32"/>
        <v>0.34062191510365253</v>
      </c>
    </row>
    <row r="115" spans="1:28" x14ac:dyDescent="0.35">
      <c r="A115" s="13" t="s">
        <v>219</v>
      </c>
      <c r="B115" s="13">
        <v>195</v>
      </c>
      <c r="C115">
        <f>VLOOKUP(CONCATENATE("2022",'2022_60'!A115),aktivnepesseg!$C$2:$D$2226,2,FALSE)</f>
        <v>9129</v>
      </c>
      <c r="D115" s="13">
        <v>7575</v>
      </c>
      <c r="E115">
        <f t="shared" si="22"/>
        <v>1554</v>
      </c>
      <c r="F115" s="13">
        <v>1140</v>
      </c>
      <c r="G115" s="13">
        <v>354</v>
      </c>
      <c r="H115" s="13">
        <v>153</v>
      </c>
      <c r="I115" s="13">
        <v>130</v>
      </c>
      <c r="J115" s="13">
        <v>317</v>
      </c>
      <c r="K115" s="13">
        <v>196</v>
      </c>
      <c r="L115" s="13">
        <v>181</v>
      </c>
      <c r="M115" s="13">
        <v>105</v>
      </c>
      <c r="N115" s="13">
        <v>428</v>
      </c>
      <c r="O115" s="13">
        <v>412</v>
      </c>
      <c r="P115" s="13">
        <v>1545</v>
      </c>
      <c r="Q115" s="13">
        <v>862</v>
      </c>
      <c r="R115" s="13">
        <v>1662</v>
      </c>
      <c r="S115">
        <f t="shared" si="33"/>
        <v>1554</v>
      </c>
      <c r="T115">
        <f t="shared" si="34"/>
        <v>1054.5</v>
      </c>
      <c r="U115">
        <f t="shared" si="35"/>
        <v>274.35000000000002</v>
      </c>
      <c r="V115">
        <f t="shared" si="36"/>
        <v>99.45</v>
      </c>
      <c r="W115">
        <f t="shared" si="37"/>
        <v>71.5</v>
      </c>
      <c r="X115">
        <f t="shared" si="38"/>
        <v>142.65</v>
      </c>
      <c r="Y115">
        <f t="shared" si="39"/>
        <v>63.7</v>
      </c>
      <c r="Z115">
        <f t="shared" si="40"/>
        <v>31.674999999999997</v>
      </c>
      <c r="AA115">
        <f t="shared" si="41"/>
        <v>5.25</v>
      </c>
      <c r="AB115" s="4">
        <f t="shared" si="32"/>
        <v>0.36116496878080839</v>
      </c>
    </row>
    <row r="116" spans="1:28" x14ac:dyDescent="0.35">
      <c r="A116" s="13" t="s">
        <v>221</v>
      </c>
      <c r="B116" s="13">
        <v>73</v>
      </c>
      <c r="C116">
        <f>VLOOKUP(CONCATENATE("2022",'2022_60'!A116),aktivnepesseg!$C$2:$D$2226,2,FALSE)</f>
        <v>25911</v>
      </c>
      <c r="D116" s="13">
        <v>21977</v>
      </c>
      <c r="E116">
        <f t="shared" si="22"/>
        <v>3934</v>
      </c>
      <c r="F116" s="13">
        <v>3534</v>
      </c>
      <c r="G116" s="13">
        <v>916</v>
      </c>
      <c r="H116" s="13">
        <v>528</v>
      </c>
      <c r="I116" s="13">
        <v>464</v>
      </c>
      <c r="J116" s="13">
        <v>837</v>
      </c>
      <c r="K116" s="13">
        <v>637</v>
      </c>
      <c r="L116" s="13">
        <v>695</v>
      </c>
      <c r="M116" s="13">
        <v>344</v>
      </c>
      <c r="N116" s="13">
        <v>1287</v>
      </c>
      <c r="O116" s="13">
        <v>1200</v>
      </c>
      <c r="P116" s="13">
        <v>3687</v>
      </c>
      <c r="Q116" s="13">
        <v>2292</v>
      </c>
      <c r="R116" s="13">
        <v>5537</v>
      </c>
      <c r="S116">
        <f t="shared" si="33"/>
        <v>3934</v>
      </c>
      <c r="T116">
        <f t="shared" si="34"/>
        <v>3268.9500000000003</v>
      </c>
      <c r="U116">
        <f t="shared" si="35"/>
        <v>709.9</v>
      </c>
      <c r="V116">
        <f t="shared" si="36"/>
        <v>343.2</v>
      </c>
      <c r="W116">
        <f t="shared" si="37"/>
        <v>255.20000000000002</v>
      </c>
      <c r="X116">
        <f t="shared" si="38"/>
        <v>376.65000000000003</v>
      </c>
      <c r="Y116">
        <f t="shared" si="39"/>
        <v>207.02500000000001</v>
      </c>
      <c r="Z116">
        <f t="shared" si="40"/>
        <v>121.62499999999999</v>
      </c>
      <c r="AA116">
        <f t="shared" si="41"/>
        <v>17.2</v>
      </c>
      <c r="AB116" s="4">
        <f t="shared" si="32"/>
        <v>0.35636409247037942</v>
      </c>
    </row>
    <row r="117" spans="1:28" x14ac:dyDescent="0.35">
      <c r="A117" s="13" t="s">
        <v>223</v>
      </c>
      <c r="B117" s="13">
        <v>144</v>
      </c>
      <c r="C117">
        <f>VLOOKUP(CONCATENATE("2022",'2022_60'!A117),aktivnepesseg!$C$2:$D$2226,2,FALSE)</f>
        <v>20063</v>
      </c>
      <c r="D117" s="13">
        <v>15455</v>
      </c>
      <c r="E117">
        <f t="shared" si="22"/>
        <v>4608</v>
      </c>
      <c r="F117" s="13">
        <v>2658</v>
      </c>
      <c r="G117" s="13">
        <v>766</v>
      </c>
      <c r="H117" s="13">
        <v>362</v>
      </c>
      <c r="I117" s="13">
        <v>363</v>
      </c>
      <c r="J117" s="13">
        <v>589</v>
      </c>
      <c r="K117" s="13">
        <v>395</v>
      </c>
      <c r="L117" s="13">
        <v>450</v>
      </c>
      <c r="M117" s="13">
        <v>224</v>
      </c>
      <c r="N117" s="13">
        <v>983</v>
      </c>
      <c r="O117" s="13">
        <v>888</v>
      </c>
      <c r="P117" s="13">
        <v>2677</v>
      </c>
      <c r="Q117" s="13">
        <v>1748</v>
      </c>
      <c r="R117" s="13">
        <v>3228</v>
      </c>
      <c r="S117">
        <f t="shared" si="33"/>
        <v>4608</v>
      </c>
      <c r="T117">
        <f t="shared" si="34"/>
        <v>2458.65</v>
      </c>
      <c r="U117">
        <f t="shared" si="35"/>
        <v>593.65</v>
      </c>
      <c r="V117">
        <f t="shared" si="36"/>
        <v>235.3</v>
      </c>
      <c r="W117">
        <f t="shared" si="37"/>
        <v>199.65</v>
      </c>
      <c r="X117">
        <f t="shared" si="38"/>
        <v>265.05</v>
      </c>
      <c r="Y117">
        <f t="shared" si="39"/>
        <v>128.375</v>
      </c>
      <c r="Z117">
        <f t="shared" si="40"/>
        <v>78.75</v>
      </c>
      <c r="AA117">
        <f t="shared" si="41"/>
        <v>11.200000000000001</v>
      </c>
      <c r="AB117" s="4">
        <f t="shared" si="32"/>
        <v>0.42758435926830485</v>
      </c>
    </row>
    <row r="118" spans="1:28" x14ac:dyDescent="0.35">
      <c r="A118" s="13" t="s">
        <v>225</v>
      </c>
      <c r="B118" s="13">
        <v>81</v>
      </c>
      <c r="C118">
        <f>VLOOKUP(CONCATENATE("2022",'2022_60'!A118),aktivnepesseg!$C$2:$D$2226,2,FALSE)</f>
        <v>19315</v>
      </c>
      <c r="D118" s="13">
        <v>15254</v>
      </c>
      <c r="E118">
        <f t="shared" si="22"/>
        <v>4061</v>
      </c>
      <c r="F118" s="13">
        <v>1742</v>
      </c>
      <c r="G118" s="13">
        <v>496</v>
      </c>
      <c r="H118" s="13">
        <v>330</v>
      </c>
      <c r="I118" s="13">
        <v>268</v>
      </c>
      <c r="J118" s="13">
        <v>419</v>
      </c>
      <c r="K118" s="13">
        <v>385</v>
      </c>
      <c r="L118" s="13">
        <v>403</v>
      </c>
      <c r="M118" s="13">
        <v>246</v>
      </c>
      <c r="N118" s="13">
        <v>967</v>
      </c>
      <c r="O118" s="13">
        <v>803</v>
      </c>
      <c r="P118" s="13">
        <v>2322</v>
      </c>
      <c r="Q118" s="13">
        <v>1708</v>
      </c>
      <c r="R118" s="13">
        <v>5163</v>
      </c>
      <c r="S118">
        <f t="shared" si="33"/>
        <v>4061</v>
      </c>
      <c r="T118">
        <f t="shared" si="34"/>
        <v>1611.3500000000001</v>
      </c>
      <c r="U118">
        <f t="shared" si="35"/>
        <v>384.40000000000003</v>
      </c>
      <c r="V118">
        <f t="shared" si="36"/>
        <v>214.5</v>
      </c>
      <c r="W118">
        <f t="shared" si="37"/>
        <v>147.4</v>
      </c>
      <c r="X118">
        <f t="shared" si="38"/>
        <v>188.55</v>
      </c>
      <c r="Y118">
        <f t="shared" si="39"/>
        <v>125.125</v>
      </c>
      <c r="Z118">
        <f t="shared" si="40"/>
        <v>70.524999999999991</v>
      </c>
      <c r="AA118">
        <f t="shared" si="41"/>
        <v>12.3</v>
      </c>
      <c r="AB118" s="4">
        <f t="shared" si="32"/>
        <v>0.35284235050478902</v>
      </c>
    </row>
    <row r="119" spans="1:28" x14ac:dyDescent="0.35">
      <c r="A119" s="13" t="s">
        <v>227</v>
      </c>
      <c r="B119" s="13">
        <v>154</v>
      </c>
      <c r="C119">
        <f>VLOOKUP(CONCATENATE("2022",'2022_60'!A119),aktivnepesseg!$C$2:$D$2226,2,FALSE)</f>
        <v>38515</v>
      </c>
      <c r="D119" s="13">
        <v>30988</v>
      </c>
      <c r="E119">
        <f t="shared" si="22"/>
        <v>7527</v>
      </c>
      <c r="F119" s="13">
        <v>4674</v>
      </c>
      <c r="G119" s="13">
        <v>1554</v>
      </c>
      <c r="H119" s="13">
        <v>936</v>
      </c>
      <c r="I119" s="13">
        <v>924</v>
      </c>
      <c r="J119" s="13">
        <v>1904</v>
      </c>
      <c r="K119" s="13">
        <v>880</v>
      </c>
      <c r="L119" s="13">
        <v>965</v>
      </c>
      <c r="M119" s="13">
        <v>448</v>
      </c>
      <c r="N119" s="13">
        <v>1865</v>
      </c>
      <c r="O119" s="13">
        <v>1488</v>
      </c>
      <c r="P119" s="13">
        <v>5199</v>
      </c>
      <c r="Q119" s="13">
        <v>3703</v>
      </c>
      <c r="R119" s="13">
        <v>6420</v>
      </c>
      <c r="S119">
        <f t="shared" si="33"/>
        <v>7527</v>
      </c>
      <c r="T119">
        <f t="shared" si="34"/>
        <v>4323.45</v>
      </c>
      <c r="U119">
        <f t="shared" si="35"/>
        <v>1204.3500000000001</v>
      </c>
      <c r="V119">
        <f t="shared" si="36"/>
        <v>608.4</v>
      </c>
      <c r="W119">
        <f t="shared" si="37"/>
        <v>508.20000000000005</v>
      </c>
      <c r="X119">
        <f t="shared" si="38"/>
        <v>856.80000000000007</v>
      </c>
      <c r="Y119">
        <f t="shared" si="39"/>
        <v>286</v>
      </c>
      <c r="Z119">
        <f t="shared" si="40"/>
        <v>168.875</v>
      </c>
      <c r="AA119">
        <f t="shared" si="41"/>
        <v>22.400000000000002</v>
      </c>
      <c r="AB119" s="4">
        <f t="shared" si="32"/>
        <v>0.40258275996365056</v>
      </c>
    </row>
    <row r="120" spans="1:28" x14ac:dyDescent="0.35">
      <c r="A120" s="13" t="s">
        <v>229</v>
      </c>
      <c r="B120" s="13">
        <v>59</v>
      </c>
      <c r="C120">
        <f>VLOOKUP(CONCATENATE("2022",'2022_60'!A120),aktivnepesseg!$C$2:$D$2226,2,FALSE)</f>
        <v>8691</v>
      </c>
      <c r="D120" s="13">
        <v>7038</v>
      </c>
      <c r="E120">
        <f t="shared" si="22"/>
        <v>1653</v>
      </c>
      <c r="F120" s="13">
        <v>1038</v>
      </c>
      <c r="G120" s="13">
        <v>386</v>
      </c>
      <c r="H120" s="13">
        <v>254</v>
      </c>
      <c r="I120" s="13">
        <v>217</v>
      </c>
      <c r="J120" s="13">
        <v>453</v>
      </c>
      <c r="K120" s="13">
        <v>241</v>
      </c>
      <c r="L120" s="13">
        <v>226</v>
      </c>
      <c r="M120" s="13">
        <v>132</v>
      </c>
      <c r="N120" s="13">
        <v>464</v>
      </c>
      <c r="O120" s="13">
        <v>416</v>
      </c>
      <c r="P120" s="13">
        <v>1147</v>
      </c>
      <c r="Q120" s="13">
        <v>689</v>
      </c>
      <c r="R120" s="13">
        <v>1367</v>
      </c>
      <c r="S120">
        <f t="shared" si="33"/>
        <v>1653</v>
      </c>
      <c r="T120">
        <f t="shared" si="34"/>
        <v>960.15000000000009</v>
      </c>
      <c r="U120">
        <f t="shared" si="35"/>
        <v>299.15000000000003</v>
      </c>
      <c r="V120">
        <f t="shared" si="36"/>
        <v>165.1</v>
      </c>
      <c r="W120">
        <f t="shared" si="37"/>
        <v>119.35000000000001</v>
      </c>
      <c r="X120">
        <f t="shared" si="38"/>
        <v>203.85</v>
      </c>
      <c r="Y120">
        <f t="shared" si="39"/>
        <v>78.325000000000003</v>
      </c>
      <c r="Z120">
        <f t="shared" si="40"/>
        <v>39.549999999999997</v>
      </c>
      <c r="AA120">
        <f t="shared" si="41"/>
        <v>6.6000000000000005</v>
      </c>
      <c r="AB120" s="4">
        <f t="shared" si="32"/>
        <v>0.40560062133241281</v>
      </c>
    </row>
    <row r="121" spans="1:28" x14ac:dyDescent="0.35">
      <c r="A121" s="13" t="s">
        <v>231</v>
      </c>
      <c r="B121" s="13">
        <v>49</v>
      </c>
      <c r="C121">
        <f>VLOOKUP(CONCATENATE("2022",'2022_60'!A121),aktivnepesseg!$C$2:$D$2226,2,FALSE)</f>
        <v>20538</v>
      </c>
      <c r="D121" s="13">
        <v>17620</v>
      </c>
      <c r="E121">
        <f t="shared" si="22"/>
        <v>2918</v>
      </c>
      <c r="F121" s="13">
        <v>3516</v>
      </c>
      <c r="G121" s="13">
        <v>836</v>
      </c>
      <c r="H121" s="13">
        <v>420</v>
      </c>
      <c r="I121" s="13">
        <v>391</v>
      </c>
      <c r="J121" s="13">
        <v>937</v>
      </c>
      <c r="K121" s="13">
        <v>569</v>
      </c>
      <c r="L121" s="13">
        <v>588</v>
      </c>
      <c r="M121" s="13">
        <v>314</v>
      </c>
      <c r="N121" s="13">
        <v>1024</v>
      </c>
      <c r="O121" s="13">
        <v>882</v>
      </c>
      <c r="P121" s="13">
        <v>2966</v>
      </c>
      <c r="Q121" s="13">
        <v>1836</v>
      </c>
      <c r="R121" s="13">
        <v>3332</v>
      </c>
      <c r="S121">
        <f t="shared" si="33"/>
        <v>2918</v>
      </c>
      <c r="T121">
        <f t="shared" si="34"/>
        <v>3252.3</v>
      </c>
      <c r="U121">
        <f t="shared" si="35"/>
        <v>647.9</v>
      </c>
      <c r="V121">
        <f t="shared" si="36"/>
        <v>273</v>
      </c>
      <c r="W121">
        <f t="shared" si="37"/>
        <v>215.05</v>
      </c>
      <c r="X121">
        <f t="shared" si="38"/>
        <v>421.65000000000003</v>
      </c>
      <c r="Y121">
        <f t="shared" si="39"/>
        <v>184.92500000000001</v>
      </c>
      <c r="Z121">
        <f t="shared" si="40"/>
        <v>102.89999999999999</v>
      </c>
      <c r="AA121">
        <f t="shared" si="41"/>
        <v>15.700000000000001</v>
      </c>
      <c r="AB121" s="4">
        <f t="shared" si="32"/>
        <v>0.3910519524783328</v>
      </c>
    </row>
    <row r="122" spans="1:28" x14ac:dyDescent="0.35">
      <c r="A122" s="13" t="s">
        <v>233</v>
      </c>
      <c r="B122" s="13">
        <v>60</v>
      </c>
      <c r="C122">
        <f>VLOOKUP(CONCATENATE("2022",'2022_60'!A122),aktivnepesseg!$C$2:$D$2226,2,FALSE)</f>
        <v>24207</v>
      </c>
      <c r="D122" s="13">
        <v>20406</v>
      </c>
      <c r="E122">
        <f t="shared" si="22"/>
        <v>3801</v>
      </c>
      <c r="F122" s="13">
        <v>2802</v>
      </c>
      <c r="G122" s="13">
        <v>797</v>
      </c>
      <c r="H122" s="13">
        <v>445</v>
      </c>
      <c r="I122" s="13">
        <v>374</v>
      </c>
      <c r="J122" s="13">
        <v>678</v>
      </c>
      <c r="K122" s="13">
        <v>544</v>
      </c>
      <c r="L122" s="13">
        <v>653</v>
      </c>
      <c r="M122" s="13">
        <v>320</v>
      </c>
      <c r="N122" s="13">
        <v>1214</v>
      </c>
      <c r="O122" s="13">
        <v>967</v>
      </c>
      <c r="P122" s="13">
        <v>3319</v>
      </c>
      <c r="Q122" s="13">
        <v>2363</v>
      </c>
      <c r="R122" s="13">
        <v>5901</v>
      </c>
      <c r="S122">
        <f t="shared" si="33"/>
        <v>3801</v>
      </c>
      <c r="T122">
        <f t="shared" si="34"/>
        <v>2591.85</v>
      </c>
      <c r="U122">
        <f t="shared" si="35"/>
        <v>617.67500000000007</v>
      </c>
      <c r="V122">
        <f t="shared" si="36"/>
        <v>289.25</v>
      </c>
      <c r="W122">
        <f t="shared" si="37"/>
        <v>205.70000000000002</v>
      </c>
      <c r="X122">
        <f t="shared" si="38"/>
        <v>305.10000000000002</v>
      </c>
      <c r="Y122">
        <f t="shared" si="39"/>
        <v>176.8</v>
      </c>
      <c r="Z122">
        <f t="shared" si="40"/>
        <v>114.27499999999999</v>
      </c>
      <c r="AA122">
        <f t="shared" si="41"/>
        <v>16</v>
      </c>
      <c r="AB122" s="4">
        <f t="shared" si="32"/>
        <v>0.33534308257941919</v>
      </c>
    </row>
    <row r="123" spans="1:28" x14ac:dyDescent="0.35">
      <c r="A123" s="13" t="s">
        <v>235</v>
      </c>
      <c r="B123" s="13">
        <v>166</v>
      </c>
      <c r="C123">
        <f>VLOOKUP(CONCATENATE("2022",'2022_60'!A123),aktivnepesseg!$C$2:$D$2226,2,FALSE)</f>
        <v>15416</v>
      </c>
      <c r="D123" s="13">
        <v>13589</v>
      </c>
      <c r="E123">
        <f t="shared" si="22"/>
        <v>1827</v>
      </c>
      <c r="F123" s="13">
        <v>2020</v>
      </c>
      <c r="G123" s="13">
        <v>500</v>
      </c>
      <c r="H123" s="13">
        <v>320</v>
      </c>
      <c r="I123" s="13">
        <v>286</v>
      </c>
      <c r="J123" s="13">
        <v>483</v>
      </c>
      <c r="K123" s="13">
        <v>335</v>
      </c>
      <c r="L123" s="13">
        <v>418</v>
      </c>
      <c r="M123" s="13">
        <v>233</v>
      </c>
      <c r="N123" s="13">
        <v>965</v>
      </c>
      <c r="O123" s="13">
        <v>814</v>
      </c>
      <c r="P123" s="13">
        <v>2797</v>
      </c>
      <c r="Q123" s="13">
        <v>1567</v>
      </c>
      <c r="R123" s="13">
        <v>2845</v>
      </c>
      <c r="S123">
        <f t="shared" si="33"/>
        <v>1827</v>
      </c>
      <c r="T123">
        <f t="shared" si="34"/>
        <v>1868.5</v>
      </c>
      <c r="U123">
        <f t="shared" si="35"/>
        <v>387.5</v>
      </c>
      <c r="V123">
        <f t="shared" si="36"/>
        <v>208</v>
      </c>
      <c r="W123">
        <f t="shared" si="37"/>
        <v>157.30000000000001</v>
      </c>
      <c r="X123">
        <f t="shared" si="38"/>
        <v>217.35</v>
      </c>
      <c r="Y123">
        <f t="shared" si="39"/>
        <v>108.875</v>
      </c>
      <c r="Z123">
        <f t="shared" si="40"/>
        <v>73.149999999999991</v>
      </c>
      <c r="AA123">
        <f t="shared" si="41"/>
        <v>11.65</v>
      </c>
      <c r="AB123" s="4">
        <f t="shared" si="32"/>
        <v>0.31521309029579658</v>
      </c>
    </row>
    <row r="124" spans="1:28" x14ac:dyDescent="0.35">
      <c r="A124" s="13" t="s">
        <v>237</v>
      </c>
      <c r="B124" s="13">
        <v>61</v>
      </c>
      <c r="C124">
        <f>VLOOKUP(CONCATENATE("2022",'2022_60'!A124),aktivnepesseg!$C$2:$D$2226,2,FALSE)</f>
        <v>144111</v>
      </c>
      <c r="D124" s="13">
        <v>115443</v>
      </c>
      <c r="E124">
        <f t="shared" si="22"/>
        <v>28668</v>
      </c>
      <c r="F124" s="13">
        <v>13794</v>
      </c>
      <c r="G124" s="13">
        <v>4734</v>
      </c>
      <c r="H124" s="13">
        <v>2705</v>
      </c>
      <c r="I124" s="13">
        <v>2258</v>
      </c>
      <c r="J124" s="13">
        <v>2987</v>
      </c>
      <c r="K124" s="13">
        <v>2901</v>
      </c>
      <c r="L124" s="13">
        <v>3195</v>
      </c>
      <c r="M124" s="13">
        <v>1572</v>
      </c>
      <c r="N124" s="13">
        <v>6013</v>
      </c>
      <c r="O124" s="13">
        <v>5544</v>
      </c>
      <c r="P124" s="13">
        <v>18859</v>
      </c>
      <c r="Q124" s="13">
        <v>14037</v>
      </c>
      <c r="R124" s="13">
        <v>36820</v>
      </c>
      <c r="S124">
        <f t="shared" si="33"/>
        <v>28668</v>
      </c>
      <c r="T124">
        <f t="shared" si="34"/>
        <v>12759.45</v>
      </c>
      <c r="U124">
        <f t="shared" si="35"/>
        <v>3668.85</v>
      </c>
      <c r="V124">
        <f t="shared" si="36"/>
        <v>1758.25</v>
      </c>
      <c r="W124">
        <f t="shared" si="37"/>
        <v>1241.9000000000001</v>
      </c>
      <c r="X124">
        <f t="shared" si="38"/>
        <v>1344.15</v>
      </c>
      <c r="Y124">
        <f t="shared" si="39"/>
        <v>942.82500000000005</v>
      </c>
      <c r="Z124">
        <f t="shared" si="40"/>
        <v>559.125</v>
      </c>
      <c r="AA124">
        <f t="shared" si="41"/>
        <v>78.600000000000009</v>
      </c>
      <c r="AB124" s="4">
        <f t="shared" si="32"/>
        <v>0.35404063534358926</v>
      </c>
    </row>
    <row r="125" spans="1:28" x14ac:dyDescent="0.35">
      <c r="A125" s="13" t="s">
        <v>239</v>
      </c>
      <c r="B125" s="13">
        <v>27</v>
      </c>
      <c r="C125">
        <f>VLOOKUP(CONCATENATE("2022",'2022_60'!A125),aktivnepesseg!$C$2:$D$2226,2,FALSE)</f>
        <v>20048</v>
      </c>
      <c r="D125" s="13">
        <v>16131</v>
      </c>
      <c r="E125">
        <f t="shared" si="22"/>
        <v>3917</v>
      </c>
      <c r="F125" s="13">
        <v>2500</v>
      </c>
      <c r="G125" s="13">
        <v>650</v>
      </c>
      <c r="H125" s="13">
        <v>304</v>
      </c>
      <c r="I125" s="13">
        <v>320</v>
      </c>
      <c r="J125" s="13">
        <v>613</v>
      </c>
      <c r="K125" s="13">
        <v>349</v>
      </c>
      <c r="L125" s="13">
        <v>444</v>
      </c>
      <c r="M125" s="13">
        <v>266</v>
      </c>
      <c r="N125" s="13">
        <v>940</v>
      </c>
      <c r="O125" s="13">
        <v>893</v>
      </c>
      <c r="P125" s="13">
        <v>2881</v>
      </c>
      <c r="Q125" s="13">
        <v>1882</v>
      </c>
      <c r="R125" s="13">
        <v>4011</v>
      </c>
      <c r="S125">
        <f t="shared" si="33"/>
        <v>3917</v>
      </c>
      <c r="T125">
        <f t="shared" si="34"/>
        <v>2312.5</v>
      </c>
      <c r="U125">
        <f t="shared" si="35"/>
        <v>503.75</v>
      </c>
      <c r="V125">
        <f t="shared" si="36"/>
        <v>197.6</v>
      </c>
      <c r="W125">
        <f t="shared" si="37"/>
        <v>176</v>
      </c>
      <c r="X125">
        <f t="shared" si="38"/>
        <v>275.85000000000002</v>
      </c>
      <c r="Y125">
        <f t="shared" si="39"/>
        <v>113.425</v>
      </c>
      <c r="Z125">
        <f t="shared" si="40"/>
        <v>77.699999999999989</v>
      </c>
      <c r="AA125">
        <f t="shared" si="41"/>
        <v>13.3</v>
      </c>
      <c r="AB125" s="4">
        <f t="shared" si="32"/>
        <v>0.37844797486033527</v>
      </c>
    </row>
    <row r="126" spans="1:28" x14ac:dyDescent="0.35">
      <c r="A126" s="13" t="s">
        <v>241</v>
      </c>
      <c r="B126" s="13">
        <v>130</v>
      </c>
      <c r="C126">
        <f>VLOOKUP(CONCATENATE("2022",'2022_60'!A126),aktivnepesseg!$C$2:$D$2226,2,FALSE)</f>
        <v>47774</v>
      </c>
      <c r="D126" s="13">
        <v>40352</v>
      </c>
      <c r="E126">
        <f t="shared" si="22"/>
        <v>7422</v>
      </c>
      <c r="F126" s="13">
        <v>4181</v>
      </c>
      <c r="G126" s="13">
        <v>1377</v>
      </c>
      <c r="H126" s="13">
        <v>945</v>
      </c>
      <c r="I126" s="13">
        <v>677</v>
      </c>
      <c r="J126" s="13">
        <v>1136</v>
      </c>
      <c r="K126" s="13">
        <v>999</v>
      </c>
      <c r="L126" s="13">
        <v>1247</v>
      </c>
      <c r="M126" s="13">
        <v>601</v>
      </c>
      <c r="N126" s="13">
        <v>2568</v>
      </c>
      <c r="O126" s="13">
        <v>1881</v>
      </c>
      <c r="P126" s="13">
        <v>5976</v>
      </c>
      <c r="Q126" s="13">
        <v>4239</v>
      </c>
      <c r="R126" s="13">
        <v>14518</v>
      </c>
      <c r="S126">
        <f t="shared" si="33"/>
        <v>7422</v>
      </c>
      <c r="T126">
        <f t="shared" si="34"/>
        <v>3867.4250000000002</v>
      </c>
      <c r="U126">
        <f t="shared" si="35"/>
        <v>1067.175</v>
      </c>
      <c r="V126">
        <f t="shared" si="36"/>
        <v>614.25</v>
      </c>
      <c r="W126">
        <f t="shared" si="37"/>
        <v>372.35</v>
      </c>
      <c r="X126">
        <f t="shared" si="38"/>
        <v>511.2</v>
      </c>
      <c r="Y126">
        <f t="shared" si="39"/>
        <v>324.67500000000001</v>
      </c>
      <c r="Z126">
        <f t="shared" si="40"/>
        <v>218.22499999999999</v>
      </c>
      <c r="AA126">
        <f t="shared" si="41"/>
        <v>30.05</v>
      </c>
      <c r="AB126" s="4">
        <f t="shared" si="32"/>
        <v>0.30199166910872022</v>
      </c>
    </row>
    <row r="127" spans="1:28" x14ac:dyDescent="0.35">
      <c r="A127" s="13" t="s">
        <v>243</v>
      </c>
      <c r="B127" s="13">
        <v>74</v>
      </c>
      <c r="C127">
        <f>VLOOKUP(CONCATENATE("2022",'2022_60'!A127),aktivnepesseg!$C$2:$D$2226,2,FALSE)</f>
        <v>17525</v>
      </c>
      <c r="D127" s="13">
        <v>15395</v>
      </c>
      <c r="E127">
        <f t="shared" si="22"/>
        <v>2130</v>
      </c>
      <c r="F127" s="13">
        <v>3614</v>
      </c>
      <c r="G127" s="13">
        <v>504</v>
      </c>
      <c r="H127" s="13">
        <v>319</v>
      </c>
      <c r="I127" s="13">
        <v>247</v>
      </c>
      <c r="J127" s="13">
        <v>400</v>
      </c>
      <c r="K127" s="13">
        <v>356</v>
      </c>
      <c r="L127" s="13">
        <v>443</v>
      </c>
      <c r="M127" s="13">
        <v>219</v>
      </c>
      <c r="N127" s="13">
        <v>978</v>
      </c>
      <c r="O127" s="13">
        <v>835</v>
      </c>
      <c r="P127" s="13">
        <v>2872</v>
      </c>
      <c r="Q127" s="13">
        <v>1551</v>
      </c>
      <c r="R127" s="13">
        <v>3054</v>
      </c>
      <c r="S127">
        <f t="shared" si="33"/>
        <v>2130</v>
      </c>
      <c r="T127">
        <f t="shared" si="34"/>
        <v>3342.9500000000003</v>
      </c>
      <c r="U127">
        <f t="shared" si="35"/>
        <v>390.6</v>
      </c>
      <c r="V127">
        <f t="shared" si="36"/>
        <v>207.35</v>
      </c>
      <c r="W127">
        <f t="shared" si="37"/>
        <v>135.85000000000002</v>
      </c>
      <c r="X127">
        <f t="shared" si="38"/>
        <v>180</v>
      </c>
      <c r="Y127">
        <f t="shared" si="39"/>
        <v>115.7</v>
      </c>
      <c r="Z127">
        <f t="shared" si="40"/>
        <v>77.524999999999991</v>
      </c>
      <c r="AA127">
        <f t="shared" si="41"/>
        <v>10.950000000000001</v>
      </c>
      <c r="AB127" s="4">
        <f t="shared" si="32"/>
        <v>0.37608701854493587</v>
      </c>
    </row>
    <row r="128" spans="1:28" x14ac:dyDescent="0.35">
      <c r="A128" s="13" t="s">
        <v>245</v>
      </c>
      <c r="B128" s="13">
        <v>82</v>
      </c>
      <c r="C128">
        <f>VLOOKUP(CONCATENATE("2022",'2022_60'!A128),aktivnepesseg!$C$2:$D$2226,2,FALSE)</f>
        <v>21599</v>
      </c>
      <c r="D128" s="13">
        <v>18700</v>
      </c>
      <c r="E128">
        <f t="shared" si="22"/>
        <v>2899</v>
      </c>
      <c r="F128" s="13">
        <v>2027</v>
      </c>
      <c r="G128" s="13">
        <v>587</v>
      </c>
      <c r="H128" s="13">
        <v>333</v>
      </c>
      <c r="I128" s="13">
        <v>245</v>
      </c>
      <c r="J128" s="13">
        <v>359</v>
      </c>
      <c r="K128" s="13">
        <v>384</v>
      </c>
      <c r="L128" s="13">
        <v>480</v>
      </c>
      <c r="M128" s="13">
        <v>262</v>
      </c>
      <c r="N128" s="13">
        <v>884</v>
      </c>
      <c r="O128" s="13">
        <v>907</v>
      </c>
      <c r="P128" s="13">
        <v>2883</v>
      </c>
      <c r="Q128" s="13">
        <v>2447</v>
      </c>
      <c r="R128" s="13">
        <v>6897</v>
      </c>
      <c r="S128">
        <f t="shared" si="33"/>
        <v>2899</v>
      </c>
      <c r="T128">
        <f t="shared" si="34"/>
        <v>1874.9750000000001</v>
      </c>
      <c r="U128">
        <f t="shared" si="35"/>
        <v>454.92500000000001</v>
      </c>
      <c r="V128">
        <f t="shared" si="36"/>
        <v>216.45000000000002</v>
      </c>
      <c r="W128">
        <f t="shared" si="37"/>
        <v>134.75</v>
      </c>
      <c r="X128">
        <f t="shared" si="38"/>
        <v>161.55000000000001</v>
      </c>
      <c r="Y128">
        <f t="shared" si="39"/>
        <v>124.80000000000001</v>
      </c>
      <c r="Z128">
        <f t="shared" si="40"/>
        <v>84</v>
      </c>
      <c r="AA128">
        <f t="shared" si="41"/>
        <v>13.100000000000001</v>
      </c>
      <c r="AB128" s="4">
        <f t="shared" si="32"/>
        <v>0.27610306032686704</v>
      </c>
    </row>
    <row r="129" spans="1:28" x14ac:dyDescent="0.35">
      <c r="A129" s="13" t="s">
        <v>247</v>
      </c>
      <c r="B129" s="13">
        <v>89</v>
      </c>
      <c r="C129">
        <f>VLOOKUP(CONCATENATE("2022",'2022_60'!A129),aktivnepesseg!$C$2:$D$2226,2,FALSE)</f>
        <v>52631</v>
      </c>
      <c r="D129" s="13">
        <v>36202</v>
      </c>
      <c r="E129">
        <f t="shared" si="22"/>
        <v>16429</v>
      </c>
      <c r="F129" s="13">
        <v>5285</v>
      </c>
      <c r="G129" s="13">
        <v>1641</v>
      </c>
      <c r="H129" s="13">
        <v>894</v>
      </c>
      <c r="I129" s="13">
        <v>655</v>
      </c>
      <c r="J129" s="13">
        <v>871</v>
      </c>
      <c r="K129" s="13">
        <v>894</v>
      </c>
      <c r="L129" s="13">
        <v>1041</v>
      </c>
      <c r="M129" s="13">
        <v>574</v>
      </c>
      <c r="N129" s="13">
        <v>2027</v>
      </c>
      <c r="O129" s="13">
        <v>1773</v>
      </c>
      <c r="P129" s="13">
        <v>5546</v>
      </c>
      <c r="Q129" s="13">
        <v>3847</v>
      </c>
      <c r="R129" s="13">
        <v>11134</v>
      </c>
      <c r="S129">
        <f t="shared" si="33"/>
        <v>16429</v>
      </c>
      <c r="T129">
        <f t="shared" si="34"/>
        <v>4888.625</v>
      </c>
      <c r="U129">
        <f t="shared" si="35"/>
        <v>1271.7750000000001</v>
      </c>
      <c r="V129">
        <f t="shared" si="36"/>
        <v>581.1</v>
      </c>
      <c r="W129">
        <f t="shared" si="37"/>
        <v>360.25000000000006</v>
      </c>
      <c r="X129">
        <f t="shared" si="38"/>
        <v>391.95</v>
      </c>
      <c r="Y129">
        <f t="shared" si="39"/>
        <v>290.55</v>
      </c>
      <c r="Z129">
        <f t="shared" si="40"/>
        <v>182.17499999999998</v>
      </c>
      <c r="AA129">
        <f t="shared" si="41"/>
        <v>28.700000000000003</v>
      </c>
      <c r="AB129" s="4">
        <f t="shared" si="32"/>
        <v>0.46406347969827666</v>
      </c>
    </row>
    <row r="130" spans="1:28" x14ac:dyDescent="0.35">
      <c r="A130" s="13" t="s">
        <v>249</v>
      </c>
      <c r="B130" s="13">
        <v>145</v>
      </c>
      <c r="C130">
        <f>VLOOKUP(CONCATENATE("2022",'2022_60'!A130),aktivnepesseg!$C$2:$D$2226,2,FALSE)</f>
        <v>14537</v>
      </c>
      <c r="D130" s="13">
        <v>11522</v>
      </c>
      <c r="E130">
        <f t="shared" si="22"/>
        <v>3015</v>
      </c>
      <c r="F130" s="13">
        <v>1762</v>
      </c>
      <c r="G130" s="13">
        <v>570</v>
      </c>
      <c r="H130" s="13">
        <v>299</v>
      </c>
      <c r="I130" s="13">
        <v>282</v>
      </c>
      <c r="J130" s="13">
        <v>457</v>
      </c>
      <c r="K130" s="13">
        <v>317</v>
      </c>
      <c r="L130" s="13">
        <v>331</v>
      </c>
      <c r="M130" s="13">
        <v>180</v>
      </c>
      <c r="N130" s="13">
        <v>758</v>
      </c>
      <c r="O130" s="13">
        <v>701</v>
      </c>
      <c r="P130" s="13">
        <v>2039</v>
      </c>
      <c r="Q130" s="13">
        <v>1304</v>
      </c>
      <c r="R130" s="13">
        <v>2486</v>
      </c>
      <c r="S130">
        <f t="shared" si="33"/>
        <v>3015</v>
      </c>
      <c r="T130">
        <f t="shared" si="34"/>
        <v>1629.8500000000001</v>
      </c>
      <c r="U130">
        <f t="shared" si="35"/>
        <v>441.75</v>
      </c>
      <c r="V130">
        <f t="shared" si="36"/>
        <v>194.35</v>
      </c>
      <c r="W130">
        <f t="shared" si="37"/>
        <v>155.10000000000002</v>
      </c>
      <c r="X130">
        <f t="shared" si="38"/>
        <v>205.65</v>
      </c>
      <c r="Y130">
        <f t="shared" si="39"/>
        <v>103.02500000000001</v>
      </c>
      <c r="Z130">
        <f t="shared" si="40"/>
        <v>57.924999999999997</v>
      </c>
      <c r="AA130">
        <f t="shared" si="41"/>
        <v>9</v>
      </c>
      <c r="AB130" s="4">
        <f t="shared" si="32"/>
        <v>0.39978331154983837</v>
      </c>
    </row>
    <row r="131" spans="1:28" x14ac:dyDescent="0.35">
      <c r="A131" s="13" t="s">
        <v>251</v>
      </c>
      <c r="B131" s="13">
        <v>155</v>
      </c>
      <c r="C131">
        <f>VLOOKUP(CONCATENATE("2022",'2022_60'!A131),aktivnepesseg!$C$2:$D$2226,2,FALSE)</f>
        <v>18679</v>
      </c>
      <c r="D131" s="13">
        <v>15072</v>
      </c>
      <c r="E131">
        <f t="shared" si="22"/>
        <v>3607</v>
      </c>
      <c r="F131" s="13">
        <v>2190</v>
      </c>
      <c r="G131" s="13">
        <v>643</v>
      </c>
      <c r="H131" s="13">
        <v>385</v>
      </c>
      <c r="I131" s="13">
        <v>356</v>
      </c>
      <c r="J131" s="13">
        <v>981</v>
      </c>
      <c r="K131" s="13">
        <v>474</v>
      </c>
      <c r="L131" s="13">
        <v>519</v>
      </c>
      <c r="M131" s="13">
        <v>259</v>
      </c>
      <c r="N131" s="13">
        <v>1228</v>
      </c>
      <c r="O131" s="13">
        <v>891</v>
      </c>
      <c r="P131" s="13">
        <v>2737</v>
      </c>
      <c r="Q131" s="13">
        <v>1633</v>
      </c>
      <c r="R131" s="13">
        <v>2770</v>
      </c>
      <c r="S131">
        <f t="shared" si="33"/>
        <v>3607</v>
      </c>
      <c r="T131">
        <f t="shared" si="34"/>
        <v>2025.75</v>
      </c>
      <c r="U131">
        <f t="shared" si="35"/>
        <v>498.32499999999999</v>
      </c>
      <c r="V131">
        <f t="shared" si="36"/>
        <v>250.25</v>
      </c>
      <c r="W131">
        <f t="shared" si="37"/>
        <v>195.8</v>
      </c>
      <c r="X131">
        <f t="shared" si="38"/>
        <v>441.45</v>
      </c>
      <c r="Y131">
        <f t="shared" si="39"/>
        <v>154.05000000000001</v>
      </c>
      <c r="Z131">
        <f t="shared" si="40"/>
        <v>90.824999999999989</v>
      </c>
      <c r="AA131">
        <f t="shared" si="41"/>
        <v>12.950000000000001</v>
      </c>
      <c r="AB131" s="4">
        <f t="shared" si="32"/>
        <v>0.38954976176454842</v>
      </c>
    </row>
    <row r="132" spans="1:28" x14ac:dyDescent="0.35">
      <c r="A132" s="13" t="s">
        <v>253</v>
      </c>
      <c r="B132" s="13">
        <v>196</v>
      </c>
      <c r="C132">
        <f>VLOOKUP(CONCATENATE("2022",'2022_60'!A132),aktivnepesseg!$C$2:$D$2226,2,FALSE)</f>
        <v>44049</v>
      </c>
      <c r="D132" s="13">
        <v>36223</v>
      </c>
      <c r="E132">
        <f t="shared" si="22"/>
        <v>7826</v>
      </c>
      <c r="F132" s="13">
        <v>5389</v>
      </c>
      <c r="G132" s="13">
        <v>1400</v>
      </c>
      <c r="H132" s="13">
        <v>859</v>
      </c>
      <c r="I132" s="13">
        <v>656</v>
      </c>
      <c r="J132" s="13">
        <v>992</v>
      </c>
      <c r="K132" s="13">
        <v>809</v>
      </c>
      <c r="L132" s="13">
        <v>1031</v>
      </c>
      <c r="M132" s="13">
        <v>523</v>
      </c>
      <c r="N132" s="13">
        <v>2132</v>
      </c>
      <c r="O132" s="13">
        <v>1928</v>
      </c>
      <c r="P132" s="13">
        <v>7002</v>
      </c>
      <c r="Q132" s="13">
        <v>4252</v>
      </c>
      <c r="R132" s="13">
        <v>9109</v>
      </c>
      <c r="S132">
        <f t="shared" si="33"/>
        <v>7826</v>
      </c>
      <c r="T132">
        <f t="shared" si="34"/>
        <v>4984.8249999999998</v>
      </c>
      <c r="U132">
        <f t="shared" si="35"/>
        <v>1085</v>
      </c>
      <c r="V132">
        <f t="shared" si="36"/>
        <v>558.35</v>
      </c>
      <c r="W132">
        <f t="shared" si="37"/>
        <v>360.8</v>
      </c>
      <c r="X132">
        <f t="shared" si="38"/>
        <v>446.40000000000003</v>
      </c>
      <c r="Y132">
        <f t="shared" si="39"/>
        <v>262.92500000000001</v>
      </c>
      <c r="Z132">
        <f t="shared" si="40"/>
        <v>180.42499999999998</v>
      </c>
      <c r="AA132">
        <f t="shared" si="41"/>
        <v>26.150000000000002</v>
      </c>
      <c r="AB132" s="4">
        <f t="shared" si="32"/>
        <v>0.3571221821153715</v>
      </c>
    </row>
    <row r="133" spans="1:28" x14ac:dyDescent="0.35">
      <c r="A133" s="13" t="s">
        <v>255</v>
      </c>
      <c r="B133" s="13">
        <v>131</v>
      </c>
      <c r="C133">
        <f>VLOOKUP(CONCATENATE("2022",'2022_60'!A133),aktivnepesseg!$C$2:$D$2226,2,FALSE)</f>
        <v>47376</v>
      </c>
      <c r="D133" s="13">
        <v>39445</v>
      </c>
      <c r="E133">
        <f t="shared" si="22"/>
        <v>7931</v>
      </c>
      <c r="F133" s="13">
        <v>4264</v>
      </c>
      <c r="G133" s="13">
        <v>1581</v>
      </c>
      <c r="H133" s="13">
        <v>938</v>
      </c>
      <c r="I133" s="13">
        <v>800</v>
      </c>
      <c r="J133" s="13">
        <v>1372</v>
      </c>
      <c r="K133" s="13">
        <v>1083</v>
      </c>
      <c r="L133" s="13">
        <v>1243</v>
      </c>
      <c r="M133" s="13">
        <v>650</v>
      </c>
      <c r="N133" s="13">
        <v>2854</v>
      </c>
      <c r="O133" s="13">
        <v>2122</v>
      </c>
      <c r="P133" s="13">
        <v>6506</v>
      </c>
      <c r="Q133" s="13">
        <v>4597</v>
      </c>
      <c r="R133" s="13">
        <v>11431</v>
      </c>
      <c r="S133">
        <f t="shared" si="33"/>
        <v>7931</v>
      </c>
      <c r="T133">
        <f t="shared" si="34"/>
        <v>3944.2000000000003</v>
      </c>
      <c r="U133">
        <f t="shared" si="35"/>
        <v>1225.2750000000001</v>
      </c>
      <c r="V133">
        <f t="shared" si="36"/>
        <v>609.70000000000005</v>
      </c>
      <c r="W133">
        <f t="shared" si="37"/>
        <v>440.00000000000006</v>
      </c>
      <c r="X133">
        <f t="shared" si="38"/>
        <v>617.4</v>
      </c>
      <c r="Y133">
        <f t="shared" si="39"/>
        <v>351.97500000000002</v>
      </c>
      <c r="Z133">
        <f t="shared" si="40"/>
        <v>217.52499999999998</v>
      </c>
      <c r="AA133">
        <f t="shared" si="41"/>
        <v>32.5</v>
      </c>
      <c r="AB133" s="4">
        <f t="shared" si="32"/>
        <v>0.3244168988517393</v>
      </c>
    </row>
    <row r="134" spans="1:28" x14ac:dyDescent="0.35">
      <c r="A134" s="13" t="s">
        <v>257</v>
      </c>
      <c r="B134" s="13">
        <v>132</v>
      </c>
      <c r="C134">
        <f>VLOOKUP(CONCATENATE("2022",'2022_60'!A134),aktivnepesseg!$C$2:$D$2226,2,FALSE)</f>
        <v>17016</v>
      </c>
      <c r="D134" s="13">
        <v>14034</v>
      </c>
      <c r="E134">
        <f t="shared" si="22"/>
        <v>2982</v>
      </c>
      <c r="F134" s="13">
        <v>1893</v>
      </c>
      <c r="G134" s="13">
        <v>583</v>
      </c>
      <c r="H134" s="13">
        <v>348</v>
      </c>
      <c r="I134" s="13">
        <v>274</v>
      </c>
      <c r="J134" s="13">
        <v>407</v>
      </c>
      <c r="K134" s="13">
        <v>311</v>
      </c>
      <c r="L134" s="13">
        <v>411</v>
      </c>
      <c r="M134" s="13">
        <v>210</v>
      </c>
      <c r="N134" s="13">
        <v>834</v>
      </c>
      <c r="O134" s="13">
        <v>725</v>
      </c>
      <c r="P134" s="13">
        <v>2289</v>
      </c>
      <c r="Q134" s="13">
        <v>1644</v>
      </c>
      <c r="R134" s="13">
        <v>4102</v>
      </c>
      <c r="S134">
        <f t="shared" si="33"/>
        <v>2982</v>
      </c>
      <c r="T134">
        <f t="shared" si="34"/>
        <v>1751.0250000000001</v>
      </c>
      <c r="U134">
        <f t="shared" si="35"/>
        <v>451.82499999999999</v>
      </c>
      <c r="V134">
        <f t="shared" si="36"/>
        <v>226.20000000000002</v>
      </c>
      <c r="W134">
        <f t="shared" si="37"/>
        <v>150.70000000000002</v>
      </c>
      <c r="X134">
        <f t="shared" si="38"/>
        <v>183.15</v>
      </c>
      <c r="Y134">
        <f t="shared" si="39"/>
        <v>101.075</v>
      </c>
      <c r="Z134">
        <f t="shared" si="40"/>
        <v>71.924999999999997</v>
      </c>
      <c r="AA134">
        <f t="shared" si="41"/>
        <v>10.5</v>
      </c>
      <c r="AB134" s="4">
        <f t="shared" si="32"/>
        <v>0.34840150446638452</v>
      </c>
    </row>
    <row r="135" spans="1:28" x14ac:dyDescent="0.35">
      <c r="A135" s="13" t="s">
        <v>259</v>
      </c>
      <c r="B135" s="13">
        <v>101</v>
      </c>
      <c r="C135">
        <f>VLOOKUP(CONCATENATE("2022",'2022_60'!A135),aktivnepesseg!$C$2:$D$2226,2,FALSE)</f>
        <v>18257</v>
      </c>
      <c r="D135" s="13">
        <v>14086</v>
      </c>
      <c r="E135">
        <f t="shared" ref="E135:E198" si="42">C135-D135</f>
        <v>4171</v>
      </c>
      <c r="F135" s="13">
        <v>2232</v>
      </c>
      <c r="G135" s="13">
        <v>710</v>
      </c>
      <c r="H135" s="13">
        <v>413</v>
      </c>
      <c r="I135" s="13">
        <v>406</v>
      </c>
      <c r="J135" s="13">
        <v>737</v>
      </c>
      <c r="K135" s="13">
        <v>427</v>
      </c>
      <c r="L135" s="13">
        <v>487</v>
      </c>
      <c r="M135" s="13">
        <v>242</v>
      </c>
      <c r="N135" s="13">
        <v>1013</v>
      </c>
      <c r="O135" s="13">
        <v>835</v>
      </c>
      <c r="P135" s="13">
        <v>2518</v>
      </c>
      <c r="Q135" s="13">
        <v>1365</v>
      </c>
      <c r="R135" s="13">
        <v>2695</v>
      </c>
      <c r="S135">
        <f t="shared" ref="S135:S166" si="43">E135*E$5</f>
        <v>4171</v>
      </c>
      <c r="T135">
        <f t="shared" ref="T135:T166" si="44">F135*F$5</f>
        <v>2064.6</v>
      </c>
      <c r="U135">
        <f t="shared" ref="U135:U166" si="45">G135*G$5</f>
        <v>550.25</v>
      </c>
      <c r="V135">
        <f t="shared" ref="V135:V166" si="46">H135*H$5</f>
        <v>268.45</v>
      </c>
      <c r="W135">
        <f t="shared" ref="W135:W166" si="47">I135*I$5</f>
        <v>223.3</v>
      </c>
      <c r="X135">
        <f t="shared" ref="X135:X166" si="48">J135*J$5</f>
        <v>331.65000000000003</v>
      </c>
      <c r="Y135">
        <f t="shared" ref="Y135:Y166" si="49">K135*K$5</f>
        <v>138.77500000000001</v>
      </c>
      <c r="Z135">
        <f t="shared" ref="Z135:Z166" si="50">L135*L$5</f>
        <v>85.224999999999994</v>
      </c>
      <c r="AA135">
        <f t="shared" ref="AA135:AA166" si="51">M135*M$5</f>
        <v>12.100000000000001</v>
      </c>
      <c r="AB135" s="4">
        <f t="shared" ref="AB135:AB198" si="52">SUM(S135:AA135)/$C135</f>
        <v>0.42971736868050614</v>
      </c>
    </row>
    <row r="136" spans="1:28" x14ac:dyDescent="0.35">
      <c r="A136" s="13" t="s">
        <v>261</v>
      </c>
      <c r="B136" s="13">
        <v>156</v>
      </c>
      <c r="C136">
        <f>VLOOKUP(CONCATENATE("2022",'2022_60'!A136),aktivnepesseg!$C$2:$D$2226,2,FALSE)</f>
        <v>26043</v>
      </c>
      <c r="D136" s="13">
        <v>20156</v>
      </c>
      <c r="E136">
        <f t="shared" si="42"/>
        <v>5887</v>
      </c>
      <c r="F136" s="13">
        <v>2940</v>
      </c>
      <c r="G136" s="13">
        <v>1062</v>
      </c>
      <c r="H136" s="13">
        <v>551</v>
      </c>
      <c r="I136" s="13">
        <v>571</v>
      </c>
      <c r="J136" s="13">
        <v>1288</v>
      </c>
      <c r="K136" s="13">
        <v>655</v>
      </c>
      <c r="L136" s="13">
        <v>639</v>
      </c>
      <c r="M136" s="13">
        <v>346</v>
      </c>
      <c r="N136" s="13">
        <v>1277</v>
      </c>
      <c r="O136" s="13">
        <v>927</v>
      </c>
      <c r="P136" s="13">
        <v>3432</v>
      </c>
      <c r="Q136" s="13">
        <v>2331</v>
      </c>
      <c r="R136" s="13">
        <v>4119</v>
      </c>
      <c r="S136">
        <f t="shared" si="43"/>
        <v>5887</v>
      </c>
      <c r="T136">
        <f t="shared" si="44"/>
        <v>2719.5</v>
      </c>
      <c r="U136">
        <f t="shared" si="45"/>
        <v>823.05000000000007</v>
      </c>
      <c r="V136">
        <f t="shared" si="46"/>
        <v>358.15000000000003</v>
      </c>
      <c r="W136">
        <f t="shared" si="47"/>
        <v>314.05</v>
      </c>
      <c r="X136">
        <f t="shared" si="48"/>
        <v>579.6</v>
      </c>
      <c r="Y136">
        <f t="shared" si="49"/>
        <v>212.875</v>
      </c>
      <c r="Z136">
        <f t="shared" si="50"/>
        <v>111.82499999999999</v>
      </c>
      <c r="AA136">
        <f t="shared" si="51"/>
        <v>17.3</v>
      </c>
      <c r="AB136" s="4">
        <f t="shared" si="52"/>
        <v>0.42327496832162187</v>
      </c>
    </row>
    <row r="137" spans="1:28" x14ac:dyDescent="0.35">
      <c r="A137" s="13" t="s">
        <v>263</v>
      </c>
      <c r="B137" s="13">
        <v>157</v>
      </c>
      <c r="C137">
        <f>VLOOKUP(CONCATENATE("2022",'2022_60'!A137),aktivnepesseg!$C$2:$D$2226,2,FALSE)</f>
        <v>105496</v>
      </c>
      <c r="D137" s="13">
        <v>87598</v>
      </c>
      <c r="E137">
        <f t="shared" si="42"/>
        <v>17898</v>
      </c>
      <c r="F137" s="13">
        <v>12254</v>
      </c>
      <c r="G137" s="13">
        <v>3188</v>
      </c>
      <c r="H137" s="13">
        <v>1932</v>
      </c>
      <c r="I137" s="13">
        <v>1560</v>
      </c>
      <c r="J137" s="13">
        <v>2726</v>
      </c>
      <c r="K137" s="13">
        <v>2136</v>
      </c>
      <c r="L137" s="13">
        <v>2522</v>
      </c>
      <c r="M137" s="13">
        <v>1288</v>
      </c>
      <c r="N137" s="13">
        <v>4951</v>
      </c>
      <c r="O137" s="13">
        <v>4327</v>
      </c>
      <c r="P137" s="13">
        <v>15608</v>
      </c>
      <c r="Q137" s="13">
        <v>9918</v>
      </c>
      <c r="R137" s="13">
        <v>25183</v>
      </c>
      <c r="S137">
        <f t="shared" si="43"/>
        <v>17898</v>
      </c>
      <c r="T137">
        <f t="shared" si="44"/>
        <v>11334.95</v>
      </c>
      <c r="U137">
        <f t="shared" si="45"/>
        <v>2470.7000000000003</v>
      </c>
      <c r="V137">
        <f t="shared" si="46"/>
        <v>1255.8</v>
      </c>
      <c r="W137">
        <f t="shared" si="47"/>
        <v>858.00000000000011</v>
      </c>
      <c r="X137">
        <f t="shared" si="48"/>
        <v>1226.7</v>
      </c>
      <c r="Y137">
        <f t="shared" si="49"/>
        <v>694.2</v>
      </c>
      <c r="Z137">
        <f t="shared" si="50"/>
        <v>441.34999999999997</v>
      </c>
      <c r="AA137">
        <f t="shared" si="51"/>
        <v>64.400000000000006</v>
      </c>
      <c r="AB137" s="4">
        <f t="shared" si="52"/>
        <v>0.34355899749753543</v>
      </c>
    </row>
    <row r="138" spans="1:28" x14ac:dyDescent="0.35">
      <c r="A138" s="13" t="s">
        <v>265</v>
      </c>
      <c r="B138" s="13">
        <v>50</v>
      </c>
      <c r="C138">
        <f>VLOOKUP(CONCATENATE("2022",'2022_60'!A138),aktivnepesseg!$C$2:$D$2226,2,FALSE)</f>
        <v>28047</v>
      </c>
      <c r="D138" s="13">
        <v>24970</v>
      </c>
      <c r="E138">
        <f t="shared" si="42"/>
        <v>3077</v>
      </c>
      <c r="F138" s="13">
        <v>4196</v>
      </c>
      <c r="G138" s="13">
        <v>947</v>
      </c>
      <c r="H138" s="13">
        <v>544</v>
      </c>
      <c r="I138" s="13">
        <v>402</v>
      </c>
      <c r="J138" s="13">
        <v>742</v>
      </c>
      <c r="K138" s="13">
        <v>643</v>
      </c>
      <c r="L138" s="13">
        <v>738</v>
      </c>
      <c r="M138" s="13">
        <v>435</v>
      </c>
      <c r="N138" s="13">
        <v>1560</v>
      </c>
      <c r="O138" s="13">
        <v>1484</v>
      </c>
      <c r="P138" s="13">
        <v>4409</v>
      </c>
      <c r="Q138" s="13">
        <v>2625</v>
      </c>
      <c r="R138" s="13">
        <v>6241</v>
      </c>
      <c r="S138">
        <f t="shared" si="43"/>
        <v>3077</v>
      </c>
      <c r="T138">
        <f t="shared" si="44"/>
        <v>3881.3</v>
      </c>
      <c r="U138">
        <f t="shared" si="45"/>
        <v>733.92500000000007</v>
      </c>
      <c r="V138">
        <f t="shared" si="46"/>
        <v>353.6</v>
      </c>
      <c r="W138">
        <f t="shared" si="47"/>
        <v>221.10000000000002</v>
      </c>
      <c r="X138">
        <f t="shared" si="48"/>
        <v>333.90000000000003</v>
      </c>
      <c r="Y138">
        <f t="shared" si="49"/>
        <v>208.97499999999999</v>
      </c>
      <c r="Z138">
        <f t="shared" si="50"/>
        <v>129.15</v>
      </c>
      <c r="AA138">
        <f t="shared" si="51"/>
        <v>21.75</v>
      </c>
      <c r="AB138" s="4">
        <f t="shared" si="52"/>
        <v>0.3194887153706279</v>
      </c>
    </row>
    <row r="139" spans="1:28" x14ac:dyDescent="0.35">
      <c r="A139" s="13" t="s">
        <v>267</v>
      </c>
      <c r="B139" s="13">
        <v>113</v>
      </c>
      <c r="C139">
        <f>VLOOKUP(CONCATENATE("2022",'2022_60'!A139),aktivnepesseg!$C$2:$D$2226,2,FALSE)</f>
        <v>16955</v>
      </c>
      <c r="D139" s="13">
        <v>14313</v>
      </c>
      <c r="E139">
        <f t="shared" si="42"/>
        <v>2642</v>
      </c>
      <c r="F139" s="13">
        <v>1454</v>
      </c>
      <c r="G139" s="13">
        <v>488</v>
      </c>
      <c r="H139" s="13">
        <v>270</v>
      </c>
      <c r="I139" s="13">
        <v>213</v>
      </c>
      <c r="J139" s="13">
        <v>296</v>
      </c>
      <c r="K139" s="13">
        <v>354</v>
      </c>
      <c r="L139" s="13">
        <v>354</v>
      </c>
      <c r="M139" s="13">
        <v>215</v>
      </c>
      <c r="N139" s="13">
        <v>764</v>
      </c>
      <c r="O139" s="13">
        <v>678</v>
      </c>
      <c r="P139" s="13">
        <v>1961</v>
      </c>
      <c r="Q139" s="13">
        <v>1667</v>
      </c>
      <c r="R139" s="13">
        <v>5596</v>
      </c>
      <c r="S139">
        <f t="shared" si="43"/>
        <v>2642</v>
      </c>
      <c r="T139">
        <f t="shared" si="44"/>
        <v>1344.95</v>
      </c>
      <c r="U139">
        <f t="shared" si="45"/>
        <v>378.2</v>
      </c>
      <c r="V139">
        <f t="shared" si="46"/>
        <v>175.5</v>
      </c>
      <c r="W139">
        <f t="shared" si="47"/>
        <v>117.15</v>
      </c>
      <c r="X139">
        <f t="shared" si="48"/>
        <v>133.20000000000002</v>
      </c>
      <c r="Y139">
        <f t="shared" si="49"/>
        <v>115.05</v>
      </c>
      <c r="Z139">
        <f t="shared" si="50"/>
        <v>61.949999999999996</v>
      </c>
      <c r="AA139">
        <f t="shared" si="51"/>
        <v>10.75</v>
      </c>
      <c r="AB139" s="4">
        <f t="shared" si="52"/>
        <v>0.29364494249483925</v>
      </c>
    </row>
    <row r="140" spans="1:28" x14ac:dyDescent="0.35">
      <c r="A140" s="13" t="s">
        <v>269</v>
      </c>
      <c r="B140" s="13">
        <v>62</v>
      </c>
      <c r="C140">
        <f>VLOOKUP(CONCATENATE("2022",'2022_60'!A140),aktivnepesseg!$C$2:$D$2226,2,FALSE)</f>
        <v>30222</v>
      </c>
      <c r="D140" s="13">
        <v>22356</v>
      </c>
      <c r="E140">
        <f t="shared" si="42"/>
        <v>7866</v>
      </c>
      <c r="F140" s="13">
        <v>3376</v>
      </c>
      <c r="G140" s="13">
        <v>1394</v>
      </c>
      <c r="H140" s="13">
        <v>779</v>
      </c>
      <c r="I140" s="13">
        <v>724</v>
      </c>
      <c r="J140" s="13">
        <v>1283</v>
      </c>
      <c r="K140" s="13">
        <v>800</v>
      </c>
      <c r="L140" s="13">
        <v>790</v>
      </c>
      <c r="M140" s="13">
        <v>396</v>
      </c>
      <c r="N140" s="13">
        <v>1411</v>
      </c>
      <c r="O140" s="13">
        <v>1184</v>
      </c>
      <c r="P140" s="13">
        <v>3307</v>
      </c>
      <c r="Q140" s="13">
        <v>2329</v>
      </c>
      <c r="R140" s="13">
        <v>4557</v>
      </c>
      <c r="S140">
        <f t="shared" si="43"/>
        <v>7866</v>
      </c>
      <c r="T140">
        <f t="shared" si="44"/>
        <v>3122.8</v>
      </c>
      <c r="U140">
        <f t="shared" si="45"/>
        <v>1080.3500000000001</v>
      </c>
      <c r="V140">
        <f t="shared" si="46"/>
        <v>506.35</v>
      </c>
      <c r="W140">
        <f t="shared" si="47"/>
        <v>398.20000000000005</v>
      </c>
      <c r="X140">
        <f t="shared" si="48"/>
        <v>577.35</v>
      </c>
      <c r="Y140">
        <f t="shared" si="49"/>
        <v>260</v>
      </c>
      <c r="Z140">
        <f t="shared" si="50"/>
        <v>138.25</v>
      </c>
      <c r="AA140">
        <f t="shared" si="51"/>
        <v>19.8</v>
      </c>
      <c r="AB140" s="4">
        <f t="shared" si="52"/>
        <v>0.46221626629607571</v>
      </c>
    </row>
    <row r="141" spans="1:28" x14ac:dyDescent="0.35">
      <c r="A141" s="13" t="s">
        <v>271</v>
      </c>
      <c r="B141" s="13">
        <v>172</v>
      </c>
      <c r="C141">
        <f>VLOOKUP(CONCATENATE("2022",'2022_60'!A141),aktivnepesseg!$C$2:$D$2226,2,FALSE)</f>
        <v>28726</v>
      </c>
      <c r="D141" s="13">
        <v>24745</v>
      </c>
      <c r="E141">
        <f t="shared" si="42"/>
        <v>3981</v>
      </c>
      <c r="F141" s="13">
        <v>3378</v>
      </c>
      <c r="G141" s="13">
        <v>846</v>
      </c>
      <c r="H141" s="13">
        <v>497</v>
      </c>
      <c r="I141" s="13">
        <v>423</v>
      </c>
      <c r="J141" s="13">
        <v>652</v>
      </c>
      <c r="K141" s="13">
        <v>500</v>
      </c>
      <c r="L141" s="13">
        <v>681</v>
      </c>
      <c r="M141" s="13">
        <v>317</v>
      </c>
      <c r="N141" s="13">
        <v>1319</v>
      </c>
      <c r="O141" s="13">
        <v>1213</v>
      </c>
      <c r="P141" s="13">
        <v>3884</v>
      </c>
      <c r="Q141" s="13">
        <v>2385</v>
      </c>
      <c r="R141" s="13">
        <v>8648</v>
      </c>
      <c r="S141">
        <f t="shared" si="43"/>
        <v>3981</v>
      </c>
      <c r="T141">
        <f t="shared" si="44"/>
        <v>3124.65</v>
      </c>
      <c r="U141">
        <f t="shared" si="45"/>
        <v>655.65</v>
      </c>
      <c r="V141">
        <f t="shared" si="46"/>
        <v>323.05</v>
      </c>
      <c r="W141">
        <f t="shared" si="47"/>
        <v>232.65</v>
      </c>
      <c r="X141">
        <f t="shared" si="48"/>
        <v>293.40000000000003</v>
      </c>
      <c r="Y141">
        <f t="shared" si="49"/>
        <v>162.5</v>
      </c>
      <c r="Z141">
        <f t="shared" si="50"/>
        <v>119.175</v>
      </c>
      <c r="AA141">
        <f t="shared" si="51"/>
        <v>15.850000000000001</v>
      </c>
      <c r="AB141" s="4">
        <f t="shared" si="52"/>
        <v>0.31009973543131653</v>
      </c>
    </row>
    <row r="142" spans="1:28" x14ac:dyDescent="0.35">
      <c r="A142" s="13" t="s">
        <v>273</v>
      </c>
      <c r="B142" s="13">
        <v>90</v>
      </c>
      <c r="C142">
        <f>VLOOKUP(CONCATENATE("2022",'2022_60'!A142),aktivnepesseg!$C$2:$D$2226,2,FALSE)</f>
        <v>9853</v>
      </c>
      <c r="D142" s="13">
        <v>8903</v>
      </c>
      <c r="E142">
        <f t="shared" si="42"/>
        <v>950</v>
      </c>
      <c r="F142" s="13">
        <v>1070</v>
      </c>
      <c r="G142" s="13">
        <v>267</v>
      </c>
      <c r="H142" s="13">
        <v>161</v>
      </c>
      <c r="I142" s="13">
        <v>146</v>
      </c>
      <c r="J142" s="13">
        <v>210</v>
      </c>
      <c r="K142" s="13">
        <v>182</v>
      </c>
      <c r="L142" s="13">
        <v>211</v>
      </c>
      <c r="M142" s="13">
        <v>106</v>
      </c>
      <c r="N142" s="13">
        <v>513</v>
      </c>
      <c r="O142" s="13">
        <v>437</v>
      </c>
      <c r="P142" s="13">
        <v>1454</v>
      </c>
      <c r="Q142" s="13">
        <v>1085</v>
      </c>
      <c r="R142" s="13">
        <v>3024</v>
      </c>
      <c r="S142">
        <f t="shared" si="43"/>
        <v>950</v>
      </c>
      <c r="T142">
        <f t="shared" si="44"/>
        <v>989.75</v>
      </c>
      <c r="U142">
        <f t="shared" si="45"/>
        <v>206.92500000000001</v>
      </c>
      <c r="V142">
        <f t="shared" si="46"/>
        <v>104.65</v>
      </c>
      <c r="W142">
        <f t="shared" si="47"/>
        <v>80.300000000000011</v>
      </c>
      <c r="X142">
        <f t="shared" si="48"/>
        <v>94.5</v>
      </c>
      <c r="Y142">
        <f t="shared" si="49"/>
        <v>59.15</v>
      </c>
      <c r="Z142">
        <f t="shared" si="50"/>
        <v>36.924999999999997</v>
      </c>
      <c r="AA142">
        <f t="shared" si="51"/>
        <v>5.3000000000000007</v>
      </c>
      <c r="AB142" s="4">
        <f t="shared" si="52"/>
        <v>0.25652085659190105</v>
      </c>
    </row>
    <row r="143" spans="1:28" x14ac:dyDescent="0.35">
      <c r="A143" s="13" t="s">
        <v>275</v>
      </c>
      <c r="B143" s="13">
        <v>187</v>
      </c>
      <c r="C143">
        <f>VLOOKUP(CONCATENATE("2022",'2022_60'!A143),aktivnepesseg!$C$2:$D$2226,2,FALSE)</f>
        <v>35017</v>
      </c>
      <c r="D143" s="13">
        <v>29673</v>
      </c>
      <c r="E143">
        <f t="shared" si="42"/>
        <v>5344</v>
      </c>
      <c r="F143" s="13">
        <v>3769</v>
      </c>
      <c r="G143" s="13">
        <v>1092</v>
      </c>
      <c r="H143" s="13">
        <v>558</v>
      </c>
      <c r="I143" s="13">
        <v>508</v>
      </c>
      <c r="J143" s="13">
        <v>802</v>
      </c>
      <c r="K143" s="13">
        <v>825</v>
      </c>
      <c r="L143" s="13">
        <v>743</v>
      </c>
      <c r="M143" s="13">
        <v>431</v>
      </c>
      <c r="N143" s="13">
        <v>1607</v>
      </c>
      <c r="O143" s="13">
        <v>1453</v>
      </c>
      <c r="P143" s="13">
        <v>4894</v>
      </c>
      <c r="Q143" s="13">
        <v>3987</v>
      </c>
      <c r="R143" s="13">
        <v>8892</v>
      </c>
      <c r="S143">
        <f t="shared" si="43"/>
        <v>5344</v>
      </c>
      <c r="T143">
        <f t="shared" si="44"/>
        <v>3486.3250000000003</v>
      </c>
      <c r="U143">
        <f t="shared" si="45"/>
        <v>846.30000000000007</v>
      </c>
      <c r="V143">
        <f t="shared" si="46"/>
        <v>362.7</v>
      </c>
      <c r="W143">
        <f t="shared" si="47"/>
        <v>279.40000000000003</v>
      </c>
      <c r="X143">
        <f t="shared" si="48"/>
        <v>360.90000000000003</v>
      </c>
      <c r="Y143">
        <f t="shared" si="49"/>
        <v>268.125</v>
      </c>
      <c r="Z143">
        <f t="shared" si="50"/>
        <v>130.02500000000001</v>
      </c>
      <c r="AA143">
        <f t="shared" si="51"/>
        <v>21.55</v>
      </c>
      <c r="AB143" s="4">
        <f t="shared" si="52"/>
        <v>0.31696961475854579</v>
      </c>
    </row>
    <row r="144" spans="1:28" x14ac:dyDescent="0.35">
      <c r="A144" s="13" t="s">
        <v>277</v>
      </c>
      <c r="B144" s="13">
        <v>118</v>
      </c>
      <c r="C144">
        <f>VLOOKUP(CONCATENATE("2022",'2022_60'!A144),aktivnepesseg!$C$2:$D$2226,2,FALSE)</f>
        <v>18311</v>
      </c>
      <c r="D144" s="13">
        <v>15251</v>
      </c>
      <c r="E144">
        <f t="shared" si="42"/>
        <v>3060</v>
      </c>
      <c r="F144" s="13">
        <v>2026</v>
      </c>
      <c r="G144" s="13">
        <v>728</v>
      </c>
      <c r="H144" s="13">
        <v>384</v>
      </c>
      <c r="I144" s="13">
        <v>339</v>
      </c>
      <c r="J144" s="13">
        <v>550</v>
      </c>
      <c r="K144" s="13">
        <v>438</v>
      </c>
      <c r="L144" s="13">
        <v>498</v>
      </c>
      <c r="M144" s="13">
        <v>267</v>
      </c>
      <c r="N144" s="13">
        <v>997</v>
      </c>
      <c r="O144" s="13">
        <v>856</v>
      </c>
      <c r="P144" s="13">
        <v>2483</v>
      </c>
      <c r="Q144" s="13">
        <v>1492</v>
      </c>
      <c r="R144" s="13">
        <v>4133</v>
      </c>
      <c r="S144">
        <f t="shared" si="43"/>
        <v>3060</v>
      </c>
      <c r="T144">
        <f t="shared" si="44"/>
        <v>1874.0500000000002</v>
      </c>
      <c r="U144">
        <f t="shared" si="45"/>
        <v>564.20000000000005</v>
      </c>
      <c r="V144">
        <f t="shared" si="46"/>
        <v>249.60000000000002</v>
      </c>
      <c r="W144">
        <f t="shared" si="47"/>
        <v>186.45000000000002</v>
      </c>
      <c r="X144">
        <f t="shared" si="48"/>
        <v>247.5</v>
      </c>
      <c r="Y144">
        <f t="shared" si="49"/>
        <v>142.35</v>
      </c>
      <c r="Z144">
        <f t="shared" si="50"/>
        <v>87.149999999999991</v>
      </c>
      <c r="AA144">
        <f t="shared" si="51"/>
        <v>13.350000000000001</v>
      </c>
      <c r="AB144" s="4">
        <f t="shared" si="52"/>
        <v>0.35086286931352739</v>
      </c>
    </row>
    <row r="145" spans="1:28" x14ac:dyDescent="0.35">
      <c r="A145" s="13" t="s">
        <v>279</v>
      </c>
      <c r="B145" s="13">
        <v>28</v>
      </c>
      <c r="C145">
        <f>VLOOKUP(CONCATENATE("2022",'2022_60'!A145),aktivnepesseg!$C$2:$D$2226,2,FALSE)</f>
        <v>110622</v>
      </c>
      <c r="D145" s="13">
        <v>86895</v>
      </c>
      <c r="E145">
        <f t="shared" si="42"/>
        <v>23727</v>
      </c>
      <c r="F145" s="13">
        <v>11682</v>
      </c>
      <c r="G145" s="13">
        <v>3258</v>
      </c>
      <c r="H145" s="13">
        <v>2033</v>
      </c>
      <c r="I145" s="13">
        <v>1659</v>
      </c>
      <c r="J145" s="13">
        <v>2339</v>
      </c>
      <c r="K145" s="13">
        <v>2114</v>
      </c>
      <c r="L145" s="13">
        <v>2500</v>
      </c>
      <c r="M145" s="13">
        <v>1224</v>
      </c>
      <c r="N145" s="13">
        <v>4353</v>
      </c>
      <c r="O145" s="13">
        <v>3916</v>
      </c>
      <c r="P145" s="13">
        <v>14055</v>
      </c>
      <c r="Q145" s="13">
        <v>9856</v>
      </c>
      <c r="R145" s="13">
        <v>27799</v>
      </c>
      <c r="S145">
        <f t="shared" si="43"/>
        <v>23727</v>
      </c>
      <c r="T145">
        <f t="shared" si="44"/>
        <v>10805.85</v>
      </c>
      <c r="U145">
        <f t="shared" si="45"/>
        <v>2524.9500000000003</v>
      </c>
      <c r="V145">
        <f t="shared" si="46"/>
        <v>1321.45</v>
      </c>
      <c r="W145">
        <f t="shared" si="47"/>
        <v>912.45</v>
      </c>
      <c r="X145">
        <f t="shared" si="48"/>
        <v>1052.55</v>
      </c>
      <c r="Y145">
        <f t="shared" si="49"/>
        <v>687.05000000000007</v>
      </c>
      <c r="Z145">
        <f t="shared" si="50"/>
        <v>437.5</v>
      </c>
      <c r="AA145">
        <f t="shared" si="51"/>
        <v>61.2</v>
      </c>
      <c r="AB145" s="4">
        <f t="shared" si="52"/>
        <v>0.37542261033067559</v>
      </c>
    </row>
    <row r="146" spans="1:28" x14ac:dyDescent="0.35">
      <c r="A146" s="13" t="s">
        <v>281</v>
      </c>
      <c r="B146" s="13">
        <v>29</v>
      </c>
      <c r="C146">
        <f>VLOOKUP(CONCATENATE("2022",'2022_60'!A146),aktivnepesseg!$C$2:$D$2226,2,FALSE)</f>
        <v>6706</v>
      </c>
      <c r="D146" s="13">
        <v>5471</v>
      </c>
      <c r="E146">
        <f t="shared" si="42"/>
        <v>1235</v>
      </c>
      <c r="F146" s="13">
        <v>823</v>
      </c>
      <c r="G146" s="13">
        <v>199</v>
      </c>
      <c r="H146" s="13">
        <v>108</v>
      </c>
      <c r="I146" s="13">
        <v>107</v>
      </c>
      <c r="J146" s="13">
        <v>174</v>
      </c>
      <c r="K146" s="13">
        <v>152</v>
      </c>
      <c r="L146" s="13">
        <v>155</v>
      </c>
      <c r="M146" s="13">
        <v>82</v>
      </c>
      <c r="N146" s="13">
        <v>376</v>
      </c>
      <c r="O146" s="13">
        <v>306</v>
      </c>
      <c r="P146" s="13">
        <v>1006</v>
      </c>
      <c r="Q146" s="13">
        <v>666</v>
      </c>
      <c r="R146" s="13">
        <v>1255</v>
      </c>
      <c r="S146">
        <f t="shared" si="43"/>
        <v>1235</v>
      </c>
      <c r="T146">
        <f t="shared" si="44"/>
        <v>761.27500000000009</v>
      </c>
      <c r="U146">
        <f t="shared" si="45"/>
        <v>154.22499999999999</v>
      </c>
      <c r="V146">
        <f t="shared" si="46"/>
        <v>70.2</v>
      </c>
      <c r="W146">
        <f t="shared" si="47"/>
        <v>58.85</v>
      </c>
      <c r="X146">
        <f t="shared" si="48"/>
        <v>78.3</v>
      </c>
      <c r="Y146">
        <f t="shared" si="49"/>
        <v>49.4</v>
      </c>
      <c r="Z146">
        <f t="shared" si="50"/>
        <v>27.125</v>
      </c>
      <c r="AA146">
        <f t="shared" si="51"/>
        <v>4.1000000000000005</v>
      </c>
      <c r="AB146" s="4">
        <f t="shared" si="52"/>
        <v>0.36362585744109749</v>
      </c>
    </row>
    <row r="147" spans="1:28" x14ac:dyDescent="0.35">
      <c r="A147" s="13" t="s">
        <v>283</v>
      </c>
      <c r="B147" s="13">
        <v>109</v>
      </c>
      <c r="C147">
        <f>VLOOKUP(CONCATENATE("2022",'2022_60'!A147),aktivnepesseg!$C$2:$D$2226,2,FALSE)</f>
        <v>11108</v>
      </c>
      <c r="D147" s="13">
        <v>9347</v>
      </c>
      <c r="E147">
        <f t="shared" si="42"/>
        <v>1761</v>
      </c>
      <c r="F147" s="13">
        <v>1366</v>
      </c>
      <c r="G147" s="13">
        <v>502</v>
      </c>
      <c r="H147" s="13">
        <v>232</v>
      </c>
      <c r="I147" s="13">
        <v>219</v>
      </c>
      <c r="J147" s="13">
        <v>404</v>
      </c>
      <c r="K147" s="13">
        <v>312</v>
      </c>
      <c r="L147" s="13">
        <v>290</v>
      </c>
      <c r="M147" s="13">
        <v>138</v>
      </c>
      <c r="N147" s="13">
        <v>573</v>
      </c>
      <c r="O147" s="13">
        <v>521</v>
      </c>
      <c r="P147" s="13">
        <v>1557</v>
      </c>
      <c r="Q147" s="13">
        <v>1013</v>
      </c>
      <c r="R147" s="13">
        <v>2185</v>
      </c>
      <c r="S147">
        <f t="shared" si="43"/>
        <v>1761</v>
      </c>
      <c r="T147">
        <f t="shared" si="44"/>
        <v>1263.55</v>
      </c>
      <c r="U147">
        <f t="shared" si="45"/>
        <v>389.05</v>
      </c>
      <c r="V147">
        <f t="shared" si="46"/>
        <v>150.80000000000001</v>
      </c>
      <c r="W147">
        <f t="shared" si="47"/>
        <v>120.45</v>
      </c>
      <c r="X147">
        <f t="shared" si="48"/>
        <v>181.8</v>
      </c>
      <c r="Y147">
        <f t="shared" si="49"/>
        <v>101.4</v>
      </c>
      <c r="Z147">
        <f t="shared" si="50"/>
        <v>50.75</v>
      </c>
      <c r="AA147">
        <f t="shared" si="51"/>
        <v>6.9</v>
      </c>
      <c r="AB147" s="4">
        <f t="shared" si="52"/>
        <v>0.36241447605329496</v>
      </c>
    </row>
    <row r="148" spans="1:28" x14ac:dyDescent="0.35">
      <c r="A148" s="13" t="s">
        <v>285</v>
      </c>
      <c r="B148" s="13">
        <v>133</v>
      </c>
      <c r="C148">
        <f>VLOOKUP(CONCATENATE("2022",'2022_60'!A148),aktivnepesseg!$C$2:$D$2226,2,FALSE)</f>
        <v>36696</v>
      </c>
      <c r="D148" s="13">
        <v>30840</v>
      </c>
      <c r="E148">
        <f t="shared" si="42"/>
        <v>5856</v>
      </c>
      <c r="F148" s="13">
        <v>3635</v>
      </c>
      <c r="G148" s="13">
        <v>1059</v>
      </c>
      <c r="H148" s="13">
        <v>796</v>
      </c>
      <c r="I148" s="13">
        <v>490</v>
      </c>
      <c r="J148" s="13">
        <v>857</v>
      </c>
      <c r="K148" s="13">
        <v>737</v>
      </c>
      <c r="L148" s="13">
        <v>932</v>
      </c>
      <c r="M148" s="13">
        <v>421</v>
      </c>
      <c r="N148" s="13">
        <v>1890</v>
      </c>
      <c r="O148" s="13">
        <v>1408</v>
      </c>
      <c r="P148" s="13">
        <v>4591</v>
      </c>
      <c r="Q148" s="13">
        <v>2773</v>
      </c>
      <c r="R148" s="13">
        <v>11251</v>
      </c>
      <c r="S148">
        <f t="shared" si="43"/>
        <v>5856</v>
      </c>
      <c r="T148">
        <f t="shared" si="44"/>
        <v>3362.375</v>
      </c>
      <c r="U148">
        <f t="shared" si="45"/>
        <v>820.72500000000002</v>
      </c>
      <c r="V148">
        <f t="shared" si="46"/>
        <v>517.4</v>
      </c>
      <c r="W148">
        <f t="shared" si="47"/>
        <v>269.5</v>
      </c>
      <c r="X148">
        <f t="shared" si="48"/>
        <v>385.65000000000003</v>
      </c>
      <c r="Y148">
        <f t="shared" si="49"/>
        <v>239.52500000000001</v>
      </c>
      <c r="Z148">
        <f t="shared" si="50"/>
        <v>163.1</v>
      </c>
      <c r="AA148">
        <f t="shared" si="51"/>
        <v>21.05</v>
      </c>
      <c r="AB148" s="4">
        <f t="shared" si="52"/>
        <v>0.31707338674514929</v>
      </c>
    </row>
    <row r="149" spans="1:28" x14ac:dyDescent="0.35">
      <c r="A149" s="13" t="s">
        <v>287</v>
      </c>
      <c r="B149" s="13">
        <v>63</v>
      </c>
      <c r="C149">
        <f>VLOOKUP(CONCATENATE("2022",'2022_60'!A149),aktivnepesseg!$C$2:$D$2226,2,FALSE)</f>
        <v>11045</v>
      </c>
      <c r="D149" s="13">
        <v>8740</v>
      </c>
      <c r="E149">
        <f t="shared" si="42"/>
        <v>2305</v>
      </c>
      <c r="F149" s="13">
        <v>1138</v>
      </c>
      <c r="G149" s="13">
        <v>518</v>
      </c>
      <c r="H149" s="13">
        <v>258</v>
      </c>
      <c r="I149" s="13">
        <v>305</v>
      </c>
      <c r="J149" s="13">
        <v>627</v>
      </c>
      <c r="K149" s="13">
        <v>341</v>
      </c>
      <c r="L149" s="13">
        <v>334</v>
      </c>
      <c r="M149" s="13">
        <v>147</v>
      </c>
      <c r="N149" s="13">
        <v>508</v>
      </c>
      <c r="O149" s="13">
        <v>444</v>
      </c>
      <c r="P149" s="13">
        <v>1262</v>
      </c>
      <c r="Q149" s="13">
        <v>843</v>
      </c>
      <c r="R149" s="13">
        <v>1957</v>
      </c>
      <c r="S149">
        <f t="shared" si="43"/>
        <v>2305</v>
      </c>
      <c r="T149">
        <f t="shared" si="44"/>
        <v>1052.6500000000001</v>
      </c>
      <c r="U149">
        <f t="shared" si="45"/>
        <v>401.45</v>
      </c>
      <c r="V149">
        <f t="shared" si="46"/>
        <v>167.70000000000002</v>
      </c>
      <c r="W149">
        <f t="shared" si="47"/>
        <v>167.75</v>
      </c>
      <c r="X149">
        <f t="shared" si="48"/>
        <v>282.15000000000003</v>
      </c>
      <c r="Y149">
        <f t="shared" si="49"/>
        <v>110.825</v>
      </c>
      <c r="Z149">
        <f t="shared" si="50"/>
        <v>58.449999999999996</v>
      </c>
      <c r="AA149">
        <f t="shared" si="51"/>
        <v>7.3500000000000005</v>
      </c>
      <c r="AB149" s="4">
        <f t="shared" si="52"/>
        <v>0.41225215029425077</v>
      </c>
    </row>
    <row r="150" spans="1:28" x14ac:dyDescent="0.35">
      <c r="A150" s="13" t="s">
        <v>289</v>
      </c>
      <c r="B150" s="13">
        <v>102</v>
      </c>
      <c r="C150">
        <f>VLOOKUP(CONCATENATE("2022",'2022_60'!A150),aktivnepesseg!$C$2:$D$2226,2,FALSE)</f>
        <v>23005</v>
      </c>
      <c r="D150" s="13">
        <v>19750</v>
      </c>
      <c r="E150">
        <f t="shared" si="42"/>
        <v>3255</v>
      </c>
      <c r="F150" s="13">
        <v>3032</v>
      </c>
      <c r="G150" s="13">
        <v>751</v>
      </c>
      <c r="H150" s="13">
        <v>428</v>
      </c>
      <c r="I150" s="13">
        <v>401</v>
      </c>
      <c r="J150" s="13">
        <v>1123</v>
      </c>
      <c r="K150" s="13">
        <v>578</v>
      </c>
      <c r="L150" s="13">
        <v>604</v>
      </c>
      <c r="M150" s="13">
        <v>275</v>
      </c>
      <c r="N150" s="13">
        <v>1346</v>
      </c>
      <c r="O150" s="13">
        <v>1113</v>
      </c>
      <c r="P150" s="13">
        <v>3763</v>
      </c>
      <c r="Q150" s="13">
        <v>2218</v>
      </c>
      <c r="R150" s="13">
        <v>4110</v>
      </c>
      <c r="S150">
        <f t="shared" si="43"/>
        <v>3255</v>
      </c>
      <c r="T150">
        <f t="shared" si="44"/>
        <v>2804.6</v>
      </c>
      <c r="U150">
        <f t="shared" si="45"/>
        <v>582.02499999999998</v>
      </c>
      <c r="V150">
        <f t="shared" si="46"/>
        <v>278.2</v>
      </c>
      <c r="W150">
        <f t="shared" si="47"/>
        <v>220.55</v>
      </c>
      <c r="X150">
        <f t="shared" si="48"/>
        <v>505.35</v>
      </c>
      <c r="Y150">
        <f t="shared" si="49"/>
        <v>187.85</v>
      </c>
      <c r="Z150">
        <f t="shared" si="50"/>
        <v>105.69999999999999</v>
      </c>
      <c r="AA150">
        <f t="shared" si="51"/>
        <v>13.75</v>
      </c>
      <c r="AB150" s="4">
        <f t="shared" si="52"/>
        <v>0.3457085416213867</v>
      </c>
    </row>
    <row r="151" spans="1:28" x14ac:dyDescent="0.35">
      <c r="A151" s="13" t="s">
        <v>291</v>
      </c>
      <c r="B151" s="13">
        <v>134</v>
      </c>
      <c r="C151">
        <f>VLOOKUP(CONCATENATE("2022",'2022_60'!A151),aktivnepesseg!$C$2:$D$2226,2,FALSE)</f>
        <v>24382</v>
      </c>
      <c r="D151" s="13">
        <v>20396</v>
      </c>
      <c r="E151">
        <f t="shared" si="42"/>
        <v>3986</v>
      </c>
      <c r="F151" s="13">
        <v>2587</v>
      </c>
      <c r="G151" s="13">
        <v>741</v>
      </c>
      <c r="H151" s="13">
        <v>509</v>
      </c>
      <c r="I151" s="13">
        <v>383</v>
      </c>
      <c r="J151" s="13">
        <v>648</v>
      </c>
      <c r="K151" s="13">
        <v>537</v>
      </c>
      <c r="L151" s="13">
        <v>696</v>
      </c>
      <c r="M151" s="13">
        <v>346</v>
      </c>
      <c r="N151" s="13">
        <v>1455</v>
      </c>
      <c r="O151" s="13">
        <v>1100</v>
      </c>
      <c r="P151" s="13">
        <v>3365</v>
      </c>
      <c r="Q151" s="13">
        <v>2070</v>
      </c>
      <c r="R151" s="13">
        <v>5948</v>
      </c>
      <c r="S151">
        <f t="shared" si="43"/>
        <v>3986</v>
      </c>
      <c r="T151">
        <f t="shared" si="44"/>
        <v>2392.9749999999999</v>
      </c>
      <c r="U151">
        <f t="shared" si="45"/>
        <v>574.27499999999998</v>
      </c>
      <c r="V151">
        <f t="shared" si="46"/>
        <v>330.85</v>
      </c>
      <c r="W151">
        <f t="shared" si="47"/>
        <v>210.65</v>
      </c>
      <c r="X151">
        <f t="shared" si="48"/>
        <v>291.60000000000002</v>
      </c>
      <c r="Y151">
        <f t="shared" si="49"/>
        <v>174.52500000000001</v>
      </c>
      <c r="Z151">
        <f t="shared" si="50"/>
        <v>121.8</v>
      </c>
      <c r="AA151">
        <f t="shared" si="51"/>
        <v>17.3</v>
      </c>
      <c r="AB151" s="4">
        <f t="shared" si="52"/>
        <v>0.33221126240669346</v>
      </c>
    </row>
    <row r="152" spans="1:28" x14ac:dyDescent="0.35">
      <c r="A152" s="13" t="s">
        <v>293</v>
      </c>
      <c r="B152" s="13">
        <v>119</v>
      </c>
      <c r="C152">
        <f>VLOOKUP(CONCATENATE("2022",'2022_60'!A152),aktivnepesseg!$C$2:$D$2226,2,FALSE)</f>
        <v>15429</v>
      </c>
      <c r="D152" s="13">
        <v>13195</v>
      </c>
      <c r="E152">
        <f t="shared" si="42"/>
        <v>2234</v>
      </c>
      <c r="F152" s="13">
        <v>1569</v>
      </c>
      <c r="G152" s="13">
        <v>488</v>
      </c>
      <c r="H152" s="13">
        <v>300</v>
      </c>
      <c r="I152" s="13">
        <v>228</v>
      </c>
      <c r="J152" s="13">
        <v>394</v>
      </c>
      <c r="K152" s="13">
        <v>347</v>
      </c>
      <c r="L152" s="13">
        <v>387</v>
      </c>
      <c r="M152" s="13">
        <v>209</v>
      </c>
      <c r="N152" s="13">
        <v>848</v>
      </c>
      <c r="O152" s="13">
        <v>702</v>
      </c>
      <c r="P152" s="13">
        <v>2083</v>
      </c>
      <c r="Q152" s="13">
        <v>1445</v>
      </c>
      <c r="R152" s="13">
        <v>4160</v>
      </c>
      <c r="S152">
        <f t="shared" si="43"/>
        <v>2234</v>
      </c>
      <c r="T152">
        <f t="shared" si="44"/>
        <v>1451.325</v>
      </c>
      <c r="U152">
        <f t="shared" si="45"/>
        <v>378.2</v>
      </c>
      <c r="V152">
        <f t="shared" si="46"/>
        <v>195</v>
      </c>
      <c r="W152">
        <f t="shared" si="47"/>
        <v>125.4</v>
      </c>
      <c r="X152">
        <f t="shared" si="48"/>
        <v>177.3</v>
      </c>
      <c r="Y152">
        <f t="shared" si="49"/>
        <v>112.77500000000001</v>
      </c>
      <c r="Z152">
        <f t="shared" si="50"/>
        <v>67.724999999999994</v>
      </c>
      <c r="AA152">
        <f t="shared" si="51"/>
        <v>10.450000000000001</v>
      </c>
      <c r="AB152" s="4">
        <f t="shared" si="52"/>
        <v>0.30800278695962147</v>
      </c>
    </row>
    <row r="153" spans="1:28" x14ac:dyDescent="0.35">
      <c r="A153" s="13" t="s">
        <v>295</v>
      </c>
      <c r="B153" s="13">
        <v>120</v>
      </c>
      <c r="C153">
        <f>VLOOKUP(CONCATENATE("2022",'2022_60'!A153),aktivnepesseg!$C$2:$D$2226,2,FALSE)</f>
        <v>34544</v>
      </c>
      <c r="D153" s="13">
        <v>28491</v>
      </c>
      <c r="E153">
        <f t="shared" si="42"/>
        <v>6053</v>
      </c>
      <c r="F153" s="13">
        <v>3756</v>
      </c>
      <c r="G153" s="13">
        <v>1380</v>
      </c>
      <c r="H153" s="13">
        <v>800</v>
      </c>
      <c r="I153" s="13">
        <v>732</v>
      </c>
      <c r="J153" s="13">
        <v>1255</v>
      </c>
      <c r="K153" s="13">
        <v>998</v>
      </c>
      <c r="L153" s="13">
        <v>1000</v>
      </c>
      <c r="M153" s="13">
        <v>495</v>
      </c>
      <c r="N153" s="13">
        <v>1845</v>
      </c>
      <c r="O153" s="13">
        <v>1471</v>
      </c>
      <c r="P153" s="13">
        <v>4732</v>
      </c>
      <c r="Q153" s="13">
        <v>2969</v>
      </c>
      <c r="R153" s="13">
        <v>7024</v>
      </c>
      <c r="S153">
        <f t="shared" si="43"/>
        <v>6053</v>
      </c>
      <c r="T153">
        <f t="shared" si="44"/>
        <v>3474.3</v>
      </c>
      <c r="U153">
        <f t="shared" si="45"/>
        <v>1069.5</v>
      </c>
      <c r="V153">
        <f t="shared" si="46"/>
        <v>520</v>
      </c>
      <c r="W153">
        <f t="shared" si="47"/>
        <v>402.6</v>
      </c>
      <c r="X153">
        <f t="shared" si="48"/>
        <v>564.75</v>
      </c>
      <c r="Y153">
        <f t="shared" si="49"/>
        <v>324.35000000000002</v>
      </c>
      <c r="Z153">
        <f t="shared" si="50"/>
        <v>175</v>
      </c>
      <c r="AA153">
        <f t="shared" si="51"/>
        <v>24.75</v>
      </c>
      <c r="AB153" s="4">
        <f t="shared" si="52"/>
        <v>0.36499102593793425</v>
      </c>
    </row>
    <row r="154" spans="1:28" x14ac:dyDescent="0.35">
      <c r="A154" s="13" t="s">
        <v>297</v>
      </c>
      <c r="B154" s="13">
        <v>84</v>
      </c>
      <c r="C154">
        <f>VLOOKUP(CONCATENATE("2022",'2022_60'!A154),aktivnepesseg!$C$2:$D$2226,2,FALSE)</f>
        <v>16837</v>
      </c>
      <c r="D154" s="13">
        <v>14572</v>
      </c>
      <c r="E154">
        <f t="shared" si="42"/>
        <v>2265</v>
      </c>
      <c r="F154" s="13">
        <v>2222</v>
      </c>
      <c r="G154" s="13">
        <v>500</v>
      </c>
      <c r="H154" s="13">
        <v>289</v>
      </c>
      <c r="I154" s="13">
        <v>273</v>
      </c>
      <c r="J154" s="13">
        <v>377</v>
      </c>
      <c r="K154" s="13">
        <v>331</v>
      </c>
      <c r="L154" s="13">
        <v>368</v>
      </c>
      <c r="M154" s="13">
        <v>235</v>
      </c>
      <c r="N154" s="13">
        <v>867</v>
      </c>
      <c r="O154" s="13">
        <v>738</v>
      </c>
      <c r="P154" s="13">
        <v>2439</v>
      </c>
      <c r="Q154" s="13">
        <v>1834</v>
      </c>
      <c r="R154" s="13">
        <v>4094</v>
      </c>
      <c r="S154">
        <f t="shared" si="43"/>
        <v>2265</v>
      </c>
      <c r="T154">
        <f t="shared" si="44"/>
        <v>2055.35</v>
      </c>
      <c r="U154">
        <f t="shared" si="45"/>
        <v>387.5</v>
      </c>
      <c r="V154">
        <f t="shared" si="46"/>
        <v>187.85</v>
      </c>
      <c r="W154">
        <f t="shared" si="47"/>
        <v>150.15</v>
      </c>
      <c r="X154">
        <f t="shared" si="48"/>
        <v>169.65</v>
      </c>
      <c r="Y154">
        <f t="shared" si="49"/>
        <v>107.575</v>
      </c>
      <c r="Z154">
        <f t="shared" si="50"/>
        <v>64.399999999999991</v>
      </c>
      <c r="AA154">
        <f t="shared" si="51"/>
        <v>11.75</v>
      </c>
      <c r="AB154" s="4">
        <f t="shared" si="52"/>
        <v>0.32067618934489511</v>
      </c>
    </row>
    <row r="155" spans="1:28" x14ac:dyDescent="0.35">
      <c r="A155" s="13" t="s">
        <v>299</v>
      </c>
      <c r="B155" s="13">
        <v>51</v>
      </c>
      <c r="C155">
        <f>VLOOKUP(CONCATENATE("2022",'2022_60'!A155),aktivnepesseg!$C$2:$D$2226,2,FALSE)</f>
        <v>12682</v>
      </c>
      <c r="D155" s="13">
        <v>10623</v>
      </c>
      <c r="E155">
        <f t="shared" si="42"/>
        <v>2059</v>
      </c>
      <c r="F155" s="13">
        <v>1791</v>
      </c>
      <c r="G155" s="13">
        <v>539</v>
      </c>
      <c r="H155" s="13">
        <v>337</v>
      </c>
      <c r="I155" s="13">
        <v>297</v>
      </c>
      <c r="J155" s="13">
        <v>826</v>
      </c>
      <c r="K155" s="13">
        <v>364</v>
      </c>
      <c r="L155" s="13">
        <v>421</v>
      </c>
      <c r="M155" s="13">
        <v>181</v>
      </c>
      <c r="N155" s="13">
        <v>682</v>
      </c>
      <c r="O155" s="13">
        <v>573</v>
      </c>
      <c r="P155" s="13">
        <v>1838</v>
      </c>
      <c r="Q155" s="13">
        <v>1003</v>
      </c>
      <c r="R155" s="13">
        <v>1755</v>
      </c>
      <c r="S155">
        <f t="shared" si="43"/>
        <v>2059</v>
      </c>
      <c r="T155">
        <f t="shared" si="44"/>
        <v>1656.6750000000002</v>
      </c>
      <c r="U155">
        <f t="shared" si="45"/>
        <v>417.72500000000002</v>
      </c>
      <c r="V155">
        <f t="shared" si="46"/>
        <v>219.05</v>
      </c>
      <c r="W155">
        <f t="shared" si="47"/>
        <v>163.35000000000002</v>
      </c>
      <c r="X155">
        <f t="shared" si="48"/>
        <v>371.7</v>
      </c>
      <c r="Y155">
        <f t="shared" si="49"/>
        <v>118.3</v>
      </c>
      <c r="Z155">
        <f t="shared" si="50"/>
        <v>73.674999999999997</v>
      </c>
      <c r="AA155">
        <f t="shared" si="51"/>
        <v>9.0500000000000007</v>
      </c>
      <c r="AB155" s="4">
        <f t="shared" si="52"/>
        <v>0.40123994638069715</v>
      </c>
    </row>
    <row r="156" spans="1:28" x14ac:dyDescent="0.35">
      <c r="A156" s="13" t="s">
        <v>301</v>
      </c>
      <c r="B156" s="13">
        <v>64</v>
      </c>
      <c r="C156">
        <f>VLOOKUP(CONCATENATE("2022",'2022_60'!A156),aktivnepesseg!$C$2:$D$2226,2,FALSE)</f>
        <v>13298</v>
      </c>
      <c r="D156" s="13">
        <v>11656</v>
      </c>
      <c r="E156">
        <f t="shared" si="42"/>
        <v>1642</v>
      </c>
      <c r="F156" s="13">
        <v>1756</v>
      </c>
      <c r="G156" s="13">
        <v>548</v>
      </c>
      <c r="H156" s="13">
        <v>265</v>
      </c>
      <c r="I156" s="13">
        <v>250</v>
      </c>
      <c r="J156" s="13">
        <v>508</v>
      </c>
      <c r="K156" s="13">
        <v>328</v>
      </c>
      <c r="L156" s="13">
        <v>362</v>
      </c>
      <c r="M156" s="13">
        <v>182</v>
      </c>
      <c r="N156" s="13">
        <v>669</v>
      </c>
      <c r="O156" s="13">
        <v>598</v>
      </c>
      <c r="P156" s="13">
        <v>2150</v>
      </c>
      <c r="Q156" s="13">
        <v>1258</v>
      </c>
      <c r="R156" s="13">
        <v>2758</v>
      </c>
      <c r="S156">
        <f t="shared" si="43"/>
        <v>1642</v>
      </c>
      <c r="T156">
        <f t="shared" si="44"/>
        <v>1624.3000000000002</v>
      </c>
      <c r="U156">
        <f t="shared" si="45"/>
        <v>424.7</v>
      </c>
      <c r="V156">
        <f t="shared" si="46"/>
        <v>172.25</v>
      </c>
      <c r="W156">
        <f t="shared" si="47"/>
        <v>137.5</v>
      </c>
      <c r="X156">
        <f t="shared" si="48"/>
        <v>228.6</v>
      </c>
      <c r="Y156">
        <f t="shared" si="49"/>
        <v>106.60000000000001</v>
      </c>
      <c r="Z156">
        <f t="shared" si="50"/>
        <v>63.349999999999994</v>
      </c>
      <c r="AA156">
        <f t="shared" si="51"/>
        <v>9.1</v>
      </c>
      <c r="AB156" s="4">
        <f t="shared" si="52"/>
        <v>0.33150849751842393</v>
      </c>
    </row>
    <row r="157" spans="1:28" x14ac:dyDescent="0.35">
      <c r="A157" s="13" t="s">
        <v>303</v>
      </c>
      <c r="B157" s="13">
        <v>179</v>
      </c>
      <c r="C157">
        <f>VLOOKUP(CONCATENATE("2022",'2022_60'!A157),aktivnepesseg!$C$2:$D$2226,2,FALSE)</f>
        <v>24148</v>
      </c>
      <c r="D157" s="13">
        <v>20562</v>
      </c>
      <c r="E157">
        <f t="shared" si="42"/>
        <v>3586</v>
      </c>
      <c r="F157" s="13">
        <v>2481</v>
      </c>
      <c r="G157" s="13">
        <v>638</v>
      </c>
      <c r="H157" s="13">
        <v>357</v>
      </c>
      <c r="I157" s="13">
        <v>275</v>
      </c>
      <c r="J157" s="13">
        <v>383</v>
      </c>
      <c r="K157" s="13">
        <v>398</v>
      </c>
      <c r="L157" s="13">
        <v>463</v>
      </c>
      <c r="M157" s="13">
        <v>275</v>
      </c>
      <c r="N157" s="13">
        <v>991</v>
      </c>
      <c r="O157" s="13">
        <v>839</v>
      </c>
      <c r="P157" s="13">
        <v>3418</v>
      </c>
      <c r="Q157" s="13">
        <v>2807</v>
      </c>
      <c r="R157" s="13">
        <v>7125</v>
      </c>
      <c r="S157">
        <f t="shared" si="43"/>
        <v>3586</v>
      </c>
      <c r="T157">
        <f t="shared" si="44"/>
        <v>2294.9250000000002</v>
      </c>
      <c r="U157">
        <f t="shared" si="45"/>
        <v>494.45</v>
      </c>
      <c r="V157">
        <f t="shared" si="46"/>
        <v>232.05</v>
      </c>
      <c r="W157">
        <f t="shared" si="47"/>
        <v>151.25</v>
      </c>
      <c r="X157">
        <f t="shared" si="48"/>
        <v>172.35</v>
      </c>
      <c r="Y157">
        <f t="shared" si="49"/>
        <v>129.35</v>
      </c>
      <c r="Z157">
        <f t="shared" si="50"/>
        <v>81.024999999999991</v>
      </c>
      <c r="AA157">
        <f t="shared" si="51"/>
        <v>13.75</v>
      </c>
      <c r="AB157" s="4">
        <f t="shared" si="52"/>
        <v>0.2963040417425874</v>
      </c>
    </row>
    <row r="158" spans="1:28" x14ac:dyDescent="0.35">
      <c r="A158" s="13" t="s">
        <v>305</v>
      </c>
      <c r="B158" s="13">
        <v>65</v>
      </c>
      <c r="C158">
        <f>VLOOKUP(CONCATENATE("2022",'2022_60'!A158),aktivnepesseg!$C$2:$D$2226,2,FALSE)</f>
        <v>12774</v>
      </c>
      <c r="D158" s="13">
        <v>10492</v>
      </c>
      <c r="E158">
        <f t="shared" si="42"/>
        <v>2282</v>
      </c>
      <c r="F158" s="13">
        <v>1309</v>
      </c>
      <c r="G158" s="13">
        <v>430</v>
      </c>
      <c r="H158" s="13">
        <v>242</v>
      </c>
      <c r="I158" s="13">
        <v>215</v>
      </c>
      <c r="J158" s="13">
        <v>517</v>
      </c>
      <c r="K158" s="13">
        <v>299</v>
      </c>
      <c r="L158" s="13">
        <v>343</v>
      </c>
      <c r="M158" s="13">
        <v>167</v>
      </c>
      <c r="N158" s="13">
        <v>598</v>
      </c>
      <c r="O158" s="13">
        <v>490</v>
      </c>
      <c r="P158" s="13">
        <v>1970</v>
      </c>
      <c r="Q158" s="13">
        <v>1162</v>
      </c>
      <c r="R158" s="13">
        <v>2675</v>
      </c>
      <c r="S158">
        <f t="shared" si="43"/>
        <v>2282</v>
      </c>
      <c r="T158">
        <f t="shared" si="44"/>
        <v>1210.825</v>
      </c>
      <c r="U158">
        <f t="shared" si="45"/>
        <v>333.25</v>
      </c>
      <c r="V158">
        <f t="shared" si="46"/>
        <v>157.30000000000001</v>
      </c>
      <c r="W158">
        <f t="shared" si="47"/>
        <v>118.25000000000001</v>
      </c>
      <c r="X158">
        <f t="shared" si="48"/>
        <v>232.65</v>
      </c>
      <c r="Y158">
        <f t="shared" si="49"/>
        <v>97.174999999999997</v>
      </c>
      <c r="Z158">
        <f t="shared" si="50"/>
        <v>60.024999999999999</v>
      </c>
      <c r="AA158">
        <f t="shared" si="51"/>
        <v>8.35</v>
      </c>
      <c r="AB158" s="4">
        <f t="shared" si="52"/>
        <v>0.35226436511664316</v>
      </c>
    </row>
    <row r="159" spans="1:28" x14ac:dyDescent="0.35">
      <c r="A159" s="13" t="s">
        <v>307</v>
      </c>
      <c r="B159" s="13">
        <v>30</v>
      </c>
      <c r="C159">
        <f>VLOOKUP(CONCATENATE("2022",'2022_60'!A159),aktivnepesseg!$C$2:$D$2226,2,FALSE)</f>
        <v>8107</v>
      </c>
      <c r="D159" s="13">
        <v>6878</v>
      </c>
      <c r="E159">
        <f t="shared" si="42"/>
        <v>1229</v>
      </c>
      <c r="F159" s="13">
        <v>1096</v>
      </c>
      <c r="G159" s="13">
        <v>422</v>
      </c>
      <c r="H159" s="13">
        <v>240</v>
      </c>
      <c r="I159" s="13">
        <v>201</v>
      </c>
      <c r="J159" s="13">
        <v>649</v>
      </c>
      <c r="K159" s="13">
        <v>287</v>
      </c>
      <c r="L159" s="13">
        <v>203</v>
      </c>
      <c r="M159" s="13">
        <v>112</v>
      </c>
      <c r="N159" s="13">
        <v>418</v>
      </c>
      <c r="O159" s="13">
        <v>349</v>
      </c>
      <c r="P159" s="13">
        <v>1113</v>
      </c>
      <c r="Q159" s="13">
        <v>608</v>
      </c>
      <c r="R159" s="13">
        <v>1043</v>
      </c>
      <c r="S159">
        <f t="shared" si="43"/>
        <v>1229</v>
      </c>
      <c r="T159">
        <f t="shared" si="44"/>
        <v>1013.8000000000001</v>
      </c>
      <c r="U159">
        <f t="shared" si="45"/>
        <v>327.05</v>
      </c>
      <c r="V159">
        <f t="shared" si="46"/>
        <v>156</v>
      </c>
      <c r="W159">
        <f t="shared" si="47"/>
        <v>110.55000000000001</v>
      </c>
      <c r="X159">
        <f t="shared" si="48"/>
        <v>292.05</v>
      </c>
      <c r="Y159">
        <f t="shared" si="49"/>
        <v>93.275000000000006</v>
      </c>
      <c r="Z159">
        <f t="shared" si="50"/>
        <v>35.524999999999999</v>
      </c>
      <c r="AA159">
        <f t="shared" si="51"/>
        <v>5.6000000000000005</v>
      </c>
      <c r="AB159" s="4">
        <f t="shared" si="52"/>
        <v>0.40247317133341565</v>
      </c>
    </row>
    <row r="160" spans="1:28" x14ac:dyDescent="0.35">
      <c r="A160" s="13" t="s">
        <v>309</v>
      </c>
      <c r="B160" s="13">
        <v>31</v>
      </c>
      <c r="C160">
        <f>VLOOKUP(CONCATENATE("2022",'2022_60'!A160),aktivnepesseg!$C$2:$D$2226,2,FALSE)</f>
        <v>20914</v>
      </c>
      <c r="D160" s="13">
        <v>16884</v>
      </c>
      <c r="E160">
        <f t="shared" si="42"/>
        <v>4030</v>
      </c>
      <c r="F160" s="13">
        <v>2617</v>
      </c>
      <c r="G160" s="13">
        <v>815</v>
      </c>
      <c r="H160" s="13">
        <v>496</v>
      </c>
      <c r="I160" s="13">
        <v>457</v>
      </c>
      <c r="J160" s="13">
        <v>790</v>
      </c>
      <c r="K160" s="13">
        <v>502</v>
      </c>
      <c r="L160" s="13">
        <v>545</v>
      </c>
      <c r="M160" s="13">
        <v>251</v>
      </c>
      <c r="N160" s="13">
        <v>1025</v>
      </c>
      <c r="O160" s="13">
        <v>947</v>
      </c>
      <c r="P160" s="13">
        <v>3043</v>
      </c>
      <c r="Q160" s="13">
        <v>1775</v>
      </c>
      <c r="R160" s="13">
        <v>3444</v>
      </c>
      <c r="S160">
        <f t="shared" si="43"/>
        <v>4030</v>
      </c>
      <c r="T160">
        <f t="shared" si="44"/>
        <v>2420.7249999999999</v>
      </c>
      <c r="U160">
        <f t="shared" si="45"/>
        <v>631.625</v>
      </c>
      <c r="V160">
        <f t="shared" si="46"/>
        <v>322.40000000000003</v>
      </c>
      <c r="W160">
        <f t="shared" si="47"/>
        <v>251.35000000000002</v>
      </c>
      <c r="X160">
        <f t="shared" si="48"/>
        <v>355.5</v>
      </c>
      <c r="Y160">
        <f t="shared" si="49"/>
        <v>163.15</v>
      </c>
      <c r="Z160">
        <f t="shared" si="50"/>
        <v>95.375</v>
      </c>
      <c r="AA160">
        <f t="shared" si="51"/>
        <v>12.55</v>
      </c>
      <c r="AB160" s="4">
        <f t="shared" si="52"/>
        <v>0.3960349526632877</v>
      </c>
    </row>
    <row r="161" spans="1:28" x14ac:dyDescent="0.35">
      <c r="A161" s="13" t="s">
        <v>311</v>
      </c>
      <c r="B161" s="13">
        <v>146</v>
      </c>
      <c r="C161">
        <f>VLOOKUP(CONCATENATE("2022",'2022_60'!A161),aktivnepesseg!$C$2:$D$2226,2,FALSE)</f>
        <v>30693</v>
      </c>
      <c r="D161" s="13">
        <v>26542</v>
      </c>
      <c r="E161">
        <f t="shared" si="42"/>
        <v>4151</v>
      </c>
      <c r="F161" s="13">
        <v>4512</v>
      </c>
      <c r="G161" s="13">
        <v>1297</v>
      </c>
      <c r="H161" s="13">
        <v>766</v>
      </c>
      <c r="I161" s="13">
        <v>558</v>
      </c>
      <c r="J161" s="13">
        <v>786</v>
      </c>
      <c r="K161" s="13">
        <v>646</v>
      </c>
      <c r="L161" s="13">
        <v>878</v>
      </c>
      <c r="M161" s="13">
        <v>412</v>
      </c>
      <c r="N161" s="13">
        <v>1730</v>
      </c>
      <c r="O161" s="13">
        <v>1380</v>
      </c>
      <c r="P161" s="13">
        <v>4423</v>
      </c>
      <c r="Q161" s="13">
        <v>2612</v>
      </c>
      <c r="R161" s="13">
        <v>6521</v>
      </c>
      <c r="S161">
        <f t="shared" si="43"/>
        <v>4151</v>
      </c>
      <c r="T161">
        <f t="shared" si="44"/>
        <v>4173.6000000000004</v>
      </c>
      <c r="U161">
        <f t="shared" si="45"/>
        <v>1005.1750000000001</v>
      </c>
      <c r="V161">
        <f t="shared" si="46"/>
        <v>497.90000000000003</v>
      </c>
      <c r="W161">
        <f t="shared" si="47"/>
        <v>306.90000000000003</v>
      </c>
      <c r="X161">
        <f t="shared" si="48"/>
        <v>353.7</v>
      </c>
      <c r="Y161">
        <f t="shared" si="49"/>
        <v>209.95000000000002</v>
      </c>
      <c r="Z161">
        <f t="shared" si="50"/>
        <v>153.64999999999998</v>
      </c>
      <c r="AA161">
        <f t="shared" si="51"/>
        <v>20.6</v>
      </c>
      <c r="AB161" s="4">
        <f t="shared" si="52"/>
        <v>0.3542330498810804</v>
      </c>
    </row>
    <row r="162" spans="1:28" x14ac:dyDescent="0.35">
      <c r="A162" s="13" t="s">
        <v>313</v>
      </c>
      <c r="B162" s="13">
        <v>91</v>
      </c>
      <c r="C162">
        <f>VLOOKUP(CONCATENATE("2022",'2022_60'!A162),aktivnepesseg!$C$2:$D$2226,2,FALSE)</f>
        <v>65681</v>
      </c>
      <c r="D162" s="13">
        <v>43959</v>
      </c>
      <c r="E162">
        <f t="shared" si="42"/>
        <v>21722</v>
      </c>
      <c r="F162" s="13">
        <v>7781</v>
      </c>
      <c r="G162" s="13">
        <v>1964</v>
      </c>
      <c r="H162" s="13">
        <v>1116</v>
      </c>
      <c r="I162" s="13">
        <v>847</v>
      </c>
      <c r="J162" s="13">
        <v>1075</v>
      </c>
      <c r="K162" s="13">
        <v>1062</v>
      </c>
      <c r="L162" s="13">
        <v>1259</v>
      </c>
      <c r="M162" s="13">
        <v>671</v>
      </c>
      <c r="N162" s="13">
        <v>2452</v>
      </c>
      <c r="O162" s="13">
        <v>2044</v>
      </c>
      <c r="P162" s="13">
        <v>6747</v>
      </c>
      <c r="Q162" s="13">
        <v>4473</v>
      </c>
      <c r="R162" s="13">
        <v>12388</v>
      </c>
      <c r="S162">
        <f t="shared" si="43"/>
        <v>21722</v>
      </c>
      <c r="T162">
        <f t="shared" si="44"/>
        <v>7197.4250000000002</v>
      </c>
      <c r="U162">
        <f t="shared" si="45"/>
        <v>1522.1000000000001</v>
      </c>
      <c r="V162">
        <f t="shared" si="46"/>
        <v>725.4</v>
      </c>
      <c r="W162">
        <f t="shared" si="47"/>
        <v>465.85</v>
      </c>
      <c r="X162">
        <f t="shared" si="48"/>
        <v>483.75</v>
      </c>
      <c r="Y162">
        <f t="shared" si="49"/>
        <v>345.15000000000003</v>
      </c>
      <c r="Z162">
        <f t="shared" si="50"/>
        <v>220.32499999999999</v>
      </c>
      <c r="AA162">
        <f t="shared" si="51"/>
        <v>33.550000000000004</v>
      </c>
      <c r="AB162" s="4">
        <f t="shared" si="52"/>
        <v>0.49809762336139829</v>
      </c>
    </row>
    <row r="163" spans="1:28" x14ac:dyDescent="0.35">
      <c r="A163" s="13" t="s">
        <v>315</v>
      </c>
      <c r="B163" s="13">
        <v>188</v>
      </c>
      <c r="C163">
        <f>VLOOKUP(CONCATENATE("2022",'2022_60'!A163),aktivnepesseg!$C$2:$D$2226,2,FALSE)</f>
        <v>9373</v>
      </c>
      <c r="D163" s="13">
        <v>7914</v>
      </c>
      <c r="E163">
        <f t="shared" si="42"/>
        <v>1459</v>
      </c>
      <c r="F163" s="13">
        <v>1180</v>
      </c>
      <c r="G163" s="13">
        <v>325</v>
      </c>
      <c r="H163" s="13">
        <v>151</v>
      </c>
      <c r="I163" s="13">
        <v>134</v>
      </c>
      <c r="J163" s="13">
        <v>320</v>
      </c>
      <c r="K163" s="13">
        <v>229</v>
      </c>
      <c r="L163" s="13">
        <v>244</v>
      </c>
      <c r="M163" s="13">
        <v>133</v>
      </c>
      <c r="N163" s="13">
        <v>491</v>
      </c>
      <c r="O163" s="13">
        <v>451</v>
      </c>
      <c r="P163" s="13">
        <v>1589</v>
      </c>
      <c r="Q163" s="13">
        <v>1049</v>
      </c>
      <c r="R163" s="13">
        <v>1555</v>
      </c>
      <c r="S163">
        <f t="shared" si="43"/>
        <v>1459</v>
      </c>
      <c r="T163">
        <f t="shared" si="44"/>
        <v>1091.5</v>
      </c>
      <c r="U163">
        <f t="shared" si="45"/>
        <v>251.875</v>
      </c>
      <c r="V163">
        <f t="shared" si="46"/>
        <v>98.15</v>
      </c>
      <c r="W163">
        <f t="shared" si="47"/>
        <v>73.7</v>
      </c>
      <c r="X163">
        <f t="shared" si="48"/>
        <v>144</v>
      </c>
      <c r="Y163">
        <f t="shared" si="49"/>
        <v>74.424999999999997</v>
      </c>
      <c r="Z163">
        <f t="shared" si="50"/>
        <v>42.699999999999996</v>
      </c>
      <c r="AA163">
        <f t="shared" si="51"/>
        <v>6.65</v>
      </c>
      <c r="AB163" s="4">
        <f t="shared" si="52"/>
        <v>0.34588712258615173</v>
      </c>
    </row>
    <row r="164" spans="1:28" x14ac:dyDescent="0.35">
      <c r="A164" s="13" t="s">
        <v>317</v>
      </c>
      <c r="B164" s="13">
        <v>52</v>
      </c>
      <c r="C164">
        <f>VLOOKUP(CONCATENATE("2022",'2022_60'!A164),aktivnepesseg!$C$2:$D$2226,2,FALSE)</f>
        <v>15184</v>
      </c>
      <c r="D164" s="13">
        <v>14185</v>
      </c>
      <c r="E164">
        <f t="shared" si="42"/>
        <v>999</v>
      </c>
      <c r="F164" s="13">
        <v>2443</v>
      </c>
      <c r="G164" s="13">
        <v>555</v>
      </c>
      <c r="H164" s="13">
        <v>306</v>
      </c>
      <c r="I164" s="13">
        <v>220</v>
      </c>
      <c r="J164" s="13">
        <v>427</v>
      </c>
      <c r="K164" s="13">
        <v>371</v>
      </c>
      <c r="L164" s="13">
        <v>410</v>
      </c>
      <c r="M164" s="13">
        <v>225</v>
      </c>
      <c r="N164" s="13">
        <v>782</v>
      </c>
      <c r="O164" s="13">
        <v>725</v>
      </c>
      <c r="P164" s="13">
        <v>2674</v>
      </c>
      <c r="Q164" s="13">
        <v>1752</v>
      </c>
      <c r="R164" s="13">
        <v>3293</v>
      </c>
      <c r="S164">
        <f t="shared" si="43"/>
        <v>999</v>
      </c>
      <c r="T164">
        <f t="shared" si="44"/>
        <v>2259.7750000000001</v>
      </c>
      <c r="U164">
        <f t="shared" si="45"/>
        <v>430.125</v>
      </c>
      <c r="V164">
        <f t="shared" si="46"/>
        <v>198.9</v>
      </c>
      <c r="W164">
        <f t="shared" si="47"/>
        <v>121.00000000000001</v>
      </c>
      <c r="X164">
        <f t="shared" si="48"/>
        <v>192.15</v>
      </c>
      <c r="Y164">
        <f t="shared" si="49"/>
        <v>120.575</v>
      </c>
      <c r="Z164">
        <f t="shared" si="50"/>
        <v>71.75</v>
      </c>
      <c r="AA164">
        <f t="shared" si="51"/>
        <v>11.25</v>
      </c>
      <c r="AB164" s="4">
        <f t="shared" si="52"/>
        <v>0.29007672550052682</v>
      </c>
    </row>
    <row r="165" spans="1:28" x14ac:dyDescent="0.35">
      <c r="A165" s="13" t="s">
        <v>319</v>
      </c>
      <c r="B165" s="13">
        <v>121</v>
      </c>
      <c r="C165">
        <f>VLOOKUP(CONCATENATE("2022",'2022_60'!A165),aktivnepesseg!$C$2:$D$2226,2,FALSE)</f>
        <v>11181</v>
      </c>
      <c r="D165" s="13">
        <v>8848</v>
      </c>
      <c r="E165">
        <f t="shared" si="42"/>
        <v>2333</v>
      </c>
      <c r="F165" s="13">
        <v>1272</v>
      </c>
      <c r="G165" s="13">
        <v>484</v>
      </c>
      <c r="H165" s="13">
        <v>272</v>
      </c>
      <c r="I165" s="13">
        <v>248</v>
      </c>
      <c r="J165" s="13">
        <v>544</v>
      </c>
      <c r="K165" s="13">
        <v>291</v>
      </c>
      <c r="L165" s="13">
        <v>294</v>
      </c>
      <c r="M165" s="13">
        <v>162</v>
      </c>
      <c r="N165" s="13">
        <v>621</v>
      </c>
      <c r="O165" s="13">
        <v>493</v>
      </c>
      <c r="P165" s="13">
        <v>1539</v>
      </c>
      <c r="Q165" s="13">
        <v>880</v>
      </c>
      <c r="R165" s="13">
        <v>1738</v>
      </c>
      <c r="S165">
        <f t="shared" si="43"/>
        <v>2333</v>
      </c>
      <c r="T165">
        <f t="shared" si="44"/>
        <v>1176.6000000000001</v>
      </c>
      <c r="U165">
        <f t="shared" si="45"/>
        <v>375.1</v>
      </c>
      <c r="V165">
        <f t="shared" si="46"/>
        <v>176.8</v>
      </c>
      <c r="W165">
        <f t="shared" si="47"/>
        <v>136.4</v>
      </c>
      <c r="X165">
        <f t="shared" si="48"/>
        <v>244.8</v>
      </c>
      <c r="Y165">
        <f t="shared" si="49"/>
        <v>94.575000000000003</v>
      </c>
      <c r="Z165">
        <f t="shared" si="50"/>
        <v>51.449999999999996</v>
      </c>
      <c r="AA165">
        <f t="shared" si="51"/>
        <v>8.1</v>
      </c>
      <c r="AB165" s="4">
        <f t="shared" si="52"/>
        <v>0.41112825328682595</v>
      </c>
    </row>
    <row r="166" spans="1:28" x14ac:dyDescent="0.35">
      <c r="A166" s="13" t="s">
        <v>321</v>
      </c>
      <c r="B166" s="13">
        <v>75</v>
      </c>
      <c r="C166">
        <f>VLOOKUP(CONCATENATE("2022",'2022_60'!A166),aktivnepesseg!$C$2:$D$2226,2,FALSE)</f>
        <v>128494</v>
      </c>
      <c r="D166" s="13">
        <v>101583</v>
      </c>
      <c r="E166">
        <f t="shared" si="42"/>
        <v>26911</v>
      </c>
      <c r="F166" s="13">
        <v>13388</v>
      </c>
      <c r="G166" s="13">
        <v>3589</v>
      </c>
      <c r="H166" s="13">
        <v>2426</v>
      </c>
      <c r="I166" s="13">
        <v>1716</v>
      </c>
      <c r="J166" s="13">
        <v>2562</v>
      </c>
      <c r="K166" s="13">
        <v>2323</v>
      </c>
      <c r="L166" s="13">
        <v>2931</v>
      </c>
      <c r="M166" s="13">
        <v>1402</v>
      </c>
      <c r="N166" s="13">
        <v>5548</v>
      </c>
      <c r="O166" s="13">
        <v>4682</v>
      </c>
      <c r="P166" s="13">
        <v>17113</v>
      </c>
      <c r="Q166" s="13">
        <v>11378</v>
      </c>
      <c r="R166" s="13">
        <v>32516</v>
      </c>
      <c r="S166">
        <f t="shared" si="43"/>
        <v>26911</v>
      </c>
      <c r="T166">
        <f t="shared" si="44"/>
        <v>12383.900000000001</v>
      </c>
      <c r="U166">
        <f t="shared" si="45"/>
        <v>2781.4749999999999</v>
      </c>
      <c r="V166">
        <f t="shared" si="46"/>
        <v>1576.9</v>
      </c>
      <c r="W166">
        <f t="shared" si="47"/>
        <v>943.80000000000007</v>
      </c>
      <c r="X166">
        <f t="shared" si="48"/>
        <v>1152.9000000000001</v>
      </c>
      <c r="Y166">
        <f t="shared" si="49"/>
        <v>754.97500000000002</v>
      </c>
      <c r="Z166">
        <f t="shared" si="50"/>
        <v>512.92499999999995</v>
      </c>
      <c r="AA166">
        <f t="shared" si="51"/>
        <v>70.100000000000009</v>
      </c>
      <c r="AB166" s="4">
        <f t="shared" si="52"/>
        <v>0.36646049620993981</v>
      </c>
    </row>
    <row r="167" spans="1:28" x14ac:dyDescent="0.35">
      <c r="A167" s="13" t="s">
        <v>323</v>
      </c>
      <c r="B167" s="13">
        <v>53</v>
      </c>
      <c r="C167">
        <f>VLOOKUP(CONCATENATE("2022",'2022_60'!A167),aktivnepesseg!$C$2:$D$2226,2,FALSE)</f>
        <v>16653</v>
      </c>
      <c r="D167" s="13">
        <v>14964</v>
      </c>
      <c r="E167">
        <f t="shared" si="42"/>
        <v>1689</v>
      </c>
      <c r="F167" s="13">
        <v>1984</v>
      </c>
      <c r="G167" s="13">
        <v>549</v>
      </c>
      <c r="H167" s="13">
        <v>406</v>
      </c>
      <c r="I167" s="13">
        <v>335</v>
      </c>
      <c r="J167" s="13">
        <v>860</v>
      </c>
      <c r="K167" s="13">
        <v>441</v>
      </c>
      <c r="L167" s="13">
        <v>535</v>
      </c>
      <c r="M167" s="13">
        <v>246</v>
      </c>
      <c r="N167" s="13">
        <v>1049</v>
      </c>
      <c r="O167" s="13">
        <v>979</v>
      </c>
      <c r="P167" s="13">
        <v>2903</v>
      </c>
      <c r="Q167" s="13">
        <v>1801</v>
      </c>
      <c r="R167" s="13">
        <v>2871</v>
      </c>
      <c r="S167">
        <f t="shared" ref="S167:S198" si="53">E167*E$5</f>
        <v>1689</v>
      </c>
      <c r="T167">
        <f t="shared" ref="T167:T198" si="54">F167*F$5</f>
        <v>1835.2</v>
      </c>
      <c r="U167">
        <f t="shared" ref="U167:U198" si="55">G167*G$5</f>
        <v>425.47500000000002</v>
      </c>
      <c r="V167">
        <f t="shared" ref="V167:V198" si="56">H167*H$5</f>
        <v>263.90000000000003</v>
      </c>
      <c r="W167">
        <f t="shared" ref="W167:W198" si="57">I167*I$5</f>
        <v>184.25000000000003</v>
      </c>
      <c r="X167">
        <f t="shared" ref="X167:X198" si="58">J167*J$5</f>
        <v>387</v>
      </c>
      <c r="Y167">
        <f t="shared" ref="Y167:Y198" si="59">K167*K$5</f>
        <v>143.32500000000002</v>
      </c>
      <c r="Z167">
        <f t="shared" ref="Z167:Z198" si="60">L167*L$5</f>
        <v>93.625</v>
      </c>
      <c r="AA167">
        <f t="shared" ref="AA167:AA198" si="61">M167*M$5</f>
        <v>12.3</v>
      </c>
      <c r="AB167" s="4">
        <f t="shared" si="52"/>
        <v>0.30229237975139611</v>
      </c>
    </row>
    <row r="168" spans="1:28" x14ac:dyDescent="0.35">
      <c r="A168" s="13" t="s">
        <v>325</v>
      </c>
      <c r="B168" s="13">
        <v>85</v>
      </c>
      <c r="C168">
        <f>VLOOKUP(CONCATENATE("2022",'2022_60'!A168),aktivnepesseg!$C$2:$D$2226,2,FALSE)</f>
        <v>95639</v>
      </c>
      <c r="D168" s="13">
        <v>82682</v>
      </c>
      <c r="E168">
        <f t="shared" si="42"/>
        <v>12957</v>
      </c>
      <c r="F168" s="13">
        <v>9448</v>
      </c>
      <c r="G168" s="13">
        <v>2558</v>
      </c>
      <c r="H168" s="13">
        <v>1637</v>
      </c>
      <c r="I168" s="13">
        <v>1300</v>
      </c>
      <c r="J168" s="13">
        <v>1732</v>
      </c>
      <c r="K168" s="13">
        <v>1683</v>
      </c>
      <c r="L168" s="13">
        <v>1989</v>
      </c>
      <c r="M168" s="13">
        <v>1103</v>
      </c>
      <c r="N168" s="13">
        <v>4108</v>
      </c>
      <c r="O168" s="13">
        <v>3758</v>
      </c>
      <c r="P168" s="13">
        <v>12568</v>
      </c>
      <c r="Q168" s="13">
        <v>9737</v>
      </c>
      <c r="R168" s="13">
        <v>31049</v>
      </c>
      <c r="S168">
        <f t="shared" si="53"/>
        <v>12957</v>
      </c>
      <c r="T168">
        <f t="shared" si="54"/>
        <v>8739.4</v>
      </c>
      <c r="U168">
        <f t="shared" si="55"/>
        <v>1982.45</v>
      </c>
      <c r="V168">
        <f t="shared" si="56"/>
        <v>1064.05</v>
      </c>
      <c r="W168">
        <f t="shared" si="57"/>
        <v>715.00000000000011</v>
      </c>
      <c r="X168">
        <f t="shared" si="58"/>
        <v>779.4</v>
      </c>
      <c r="Y168">
        <f t="shared" si="59"/>
        <v>546.97500000000002</v>
      </c>
      <c r="Z168">
        <f t="shared" si="60"/>
        <v>348.07499999999999</v>
      </c>
      <c r="AA168">
        <f t="shared" si="61"/>
        <v>55.150000000000006</v>
      </c>
      <c r="AB168" s="4">
        <f t="shared" si="52"/>
        <v>0.28427210656740454</v>
      </c>
    </row>
    <row r="169" spans="1:28" x14ac:dyDescent="0.35">
      <c r="A169" s="13" t="s">
        <v>327</v>
      </c>
      <c r="B169" s="13">
        <v>173</v>
      </c>
      <c r="C169">
        <f>VLOOKUP(CONCATENATE("2022",'2022_60'!A169),aktivnepesseg!$C$2:$D$2226,2,FALSE)</f>
        <v>33000</v>
      </c>
      <c r="D169" s="13">
        <v>27695</v>
      </c>
      <c r="E169">
        <f t="shared" si="42"/>
        <v>5305</v>
      </c>
      <c r="F169" s="13">
        <v>3829</v>
      </c>
      <c r="G169" s="13">
        <v>1073</v>
      </c>
      <c r="H169" s="13">
        <v>590</v>
      </c>
      <c r="I169" s="13">
        <v>500</v>
      </c>
      <c r="J169" s="13">
        <v>681</v>
      </c>
      <c r="K169" s="13">
        <v>626</v>
      </c>
      <c r="L169" s="13">
        <v>771</v>
      </c>
      <c r="M169" s="13">
        <v>418</v>
      </c>
      <c r="N169" s="13">
        <v>1613</v>
      </c>
      <c r="O169" s="13">
        <v>1409</v>
      </c>
      <c r="P169" s="13">
        <v>4897</v>
      </c>
      <c r="Q169" s="13">
        <v>3109</v>
      </c>
      <c r="R169" s="13">
        <v>8169</v>
      </c>
      <c r="S169">
        <f t="shared" si="53"/>
        <v>5305</v>
      </c>
      <c r="T169">
        <f t="shared" si="54"/>
        <v>3541.8250000000003</v>
      </c>
      <c r="U169">
        <f t="shared" si="55"/>
        <v>831.57500000000005</v>
      </c>
      <c r="V169">
        <f t="shared" si="56"/>
        <v>383.5</v>
      </c>
      <c r="W169">
        <f t="shared" si="57"/>
        <v>275</v>
      </c>
      <c r="X169">
        <f t="shared" si="58"/>
        <v>306.45</v>
      </c>
      <c r="Y169">
        <f t="shared" si="59"/>
        <v>203.45000000000002</v>
      </c>
      <c r="Z169">
        <f t="shared" si="60"/>
        <v>134.92499999999998</v>
      </c>
      <c r="AA169">
        <f t="shared" si="61"/>
        <v>20.900000000000002</v>
      </c>
      <c r="AB169" s="4">
        <f t="shared" si="52"/>
        <v>0.33341287878787884</v>
      </c>
    </row>
    <row r="170" spans="1:28" x14ac:dyDescent="0.35">
      <c r="A170" s="13" t="s">
        <v>329</v>
      </c>
      <c r="B170" s="13">
        <v>135</v>
      </c>
      <c r="C170">
        <f>VLOOKUP(CONCATENATE("2022",'2022_60'!A170),aktivnepesseg!$C$2:$D$2226,2,FALSE)</f>
        <v>55640</v>
      </c>
      <c r="D170" s="13">
        <v>46730</v>
      </c>
      <c r="E170">
        <f t="shared" si="42"/>
        <v>8910</v>
      </c>
      <c r="F170" s="13">
        <v>5967</v>
      </c>
      <c r="G170" s="13">
        <v>1815</v>
      </c>
      <c r="H170" s="13">
        <v>1224</v>
      </c>
      <c r="I170" s="13">
        <v>887</v>
      </c>
      <c r="J170" s="13">
        <v>1417</v>
      </c>
      <c r="K170" s="13">
        <v>1110</v>
      </c>
      <c r="L170" s="13">
        <v>1534</v>
      </c>
      <c r="M170" s="13">
        <v>703</v>
      </c>
      <c r="N170" s="13">
        <v>2932</v>
      </c>
      <c r="O170" s="13">
        <v>2013</v>
      </c>
      <c r="P170" s="13">
        <v>6674</v>
      </c>
      <c r="Q170" s="13">
        <v>4151</v>
      </c>
      <c r="R170" s="13">
        <v>16303</v>
      </c>
      <c r="S170">
        <f t="shared" si="53"/>
        <v>8910</v>
      </c>
      <c r="T170">
        <f t="shared" si="54"/>
        <v>5519.4750000000004</v>
      </c>
      <c r="U170">
        <f t="shared" si="55"/>
        <v>1406.625</v>
      </c>
      <c r="V170">
        <f t="shared" si="56"/>
        <v>795.6</v>
      </c>
      <c r="W170">
        <f t="shared" si="57"/>
        <v>487.85</v>
      </c>
      <c r="X170">
        <f t="shared" si="58"/>
        <v>637.65</v>
      </c>
      <c r="Y170">
        <f t="shared" si="59"/>
        <v>360.75</v>
      </c>
      <c r="Z170">
        <f t="shared" si="60"/>
        <v>268.45</v>
      </c>
      <c r="AA170">
        <f t="shared" si="61"/>
        <v>35.15</v>
      </c>
      <c r="AB170" s="4">
        <f t="shared" si="52"/>
        <v>0.3310846513299785</v>
      </c>
    </row>
    <row r="171" spans="1:28" x14ac:dyDescent="0.35">
      <c r="A171" s="13" t="s">
        <v>331</v>
      </c>
      <c r="B171" s="13">
        <v>76</v>
      </c>
      <c r="C171">
        <f>VLOOKUP(CONCATENATE("2022",'2022_60'!A171),aktivnepesseg!$C$2:$D$2226,2,FALSE)</f>
        <v>22334</v>
      </c>
      <c r="D171" s="13">
        <v>20462</v>
      </c>
      <c r="E171">
        <f t="shared" si="42"/>
        <v>1872</v>
      </c>
      <c r="F171" s="13">
        <v>3240</v>
      </c>
      <c r="G171" s="13">
        <v>684</v>
      </c>
      <c r="H171" s="13">
        <v>475</v>
      </c>
      <c r="I171" s="13">
        <v>359</v>
      </c>
      <c r="J171" s="13">
        <v>595</v>
      </c>
      <c r="K171" s="13">
        <v>495</v>
      </c>
      <c r="L171" s="13">
        <v>598</v>
      </c>
      <c r="M171" s="13">
        <v>317</v>
      </c>
      <c r="N171" s="13">
        <v>1183</v>
      </c>
      <c r="O171" s="13">
        <v>1091</v>
      </c>
      <c r="P171" s="13">
        <v>3481</v>
      </c>
      <c r="Q171" s="13">
        <v>2651</v>
      </c>
      <c r="R171" s="13">
        <v>5286</v>
      </c>
      <c r="S171">
        <f t="shared" si="53"/>
        <v>1872</v>
      </c>
      <c r="T171">
        <f t="shared" si="54"/>
        <v>2997</v>
      </c>
      <c r="U171">
        <f t="shared" si="55"/>
        <v>530.1</v>
      </c>
      <c r="V171">
        <f t="shared" si="56"/>
        <v>308.75</v>
      </c>
      <c r="W171">
        <f t="shared" si="57"/>
        <v>197.45000000000002</v>
      </c>
      <c r="X171">
        <f t="shared" si="58"/>
        <v>267.75</v>
      </c>
      <c r="Y171">
        <f t="shared" si="59"/>
        <v>160.875</v>
      </c>
      <c r="Z171">
        <f t="shared" si="60"/>
        <v>104.64999999999999</v>
      </c>
      <c r="AA171">
        <f t="shared" si="61"/>
        <v>15.850000000000001</v>
      </c>
      <c r="AB171" s="4">
        <f t="shared" si="52"/>
        <v>0.28899547774693296</v>
      </c>
    </row>
    <row r="172" spans="1:28" x14ac:dyDescent="0.35">
      <c r="A172" s="13" t="s">
        <v>333</v>
      </c>
      <c r="B172" s="13">
        <v>180</v>
      </c>
      <c r="C172">
        <f>VLOOKUP(CONCATENATE("2022",'2022_60'!A172),aktivnepesseg!$C$2:$D$2226,2,FALSE)</f>
        <v>9231</v>
      </c>
      <c r="D172" s="13">
        <v>6942</v>
      </c>
      <c r="E172">
        <f t="shared" si="42"/>
        <v>2289</v>
      </c>
      <c r="F172" s="13">
        <v>1555</v>
      </c>
      <c r="G172" s="13">
        <v>302</v>
      </c>
      <c r="H172" s="13">
        <v>121</v>
      </c>
      <c r="I172" s="13">
        <v>92</v>
      </c>
      <c r="J172" s="13">
        <v>226</v>
      </c>
      <c r="K172" s="13">
        <v>118</v>
      </c>
      <c r="L172" s="13">
        <v>141</v>
      </c>
      <c r="M172" s="13">
        <v>75</v>
      </c>
      <c r="N172" s="13">
        <v>312</v>
      </c>
      <c r="O172" s="13">
        <v>304</v>
      </c>
      <c r="P172" s="13">
        <v>987</v>
      </c>
      <c r="Q172" s="13">
        <v>714</v>
      </c>
      <c r="R172" s="13">
        <v>1937</v>
      </c>
      <c r="S172">
        <f t="shared" si="53"/>
        <v>2289</v>
      </c>
      <c r="T172">
        <f t="shared" si="54"/>
        <v>1438.375</v>
      </c>
      <c r="U172">
        <f t="shared" si="55"/>
        <v>234.05</v>
      </c>
      <c r="V172">
        <f t="shared" si="56"/>
        <v>78.650000000000006</v>
      </c>
      <c r="W172">
        <f t="shared" si="57"/>
        <v>50.6</v>
      </c>
      <c r="X172">
        <f t="shared" si="58"/>
        <v>101.7</v>
      </c>
      <c r="Y172">
        <f t="shared" si="59"/>
        <v>38.35</v>
      </c>
      <c r="Z172">
        <f t="shared" si="60"/>
        <v>24.674999999999997</v>
      </c>
      <c r="AA172">
        <f t="shared" si="61"/>
        <v>3.75</v>
      </c>
      <c r="AB172" s="4">
        <f t="shared" si="52"/>
        <v>0.46139638175712278</v>
      </c>
    </row>
    <row r="173" spans="1:28" x14ac:dyDescent="0.35">
      <c r="A173" s="13" t="s">
        <v>335</v>
      </c>
      <c r="B173" s="13">
        <v>32</v>
      </c>
      <c r="C173">
        <f>VLOOKUP(CONCATENATE("2022",'2022_60'!A173),aktivnepesseg!$C$2:$D$2226,2,FALSE)</f>
        <v>8898</v>
      </c>
      <c r="D173" s="13">
        <v>7246</v>
      </c>
      <c r="E173">
        <f t="shared" si="42"/>
        <v>1652</v>
      </c>
      <c r="F173" s="13">
        <v>988</v>
      </c>
      <c r="G173" s="13">
        <v>323</v>
      </c>
      <c r="H173" s="13">
        <v>154</v>
      </c>
      <c r="I173" s="13">
        <v>177</v>
      </c>
      <c r="J173" s="13">
        <v>349</v>
      </c>
      <c r="K173" s="13">
        <v>227</v>
      </c>
      <c r="L173" s="13">
        <v>223</v>
      </c>
      <c r="M173" s="13">
        <v>96</v>
      </c>
      <c r="N173" s="13">
        <v>449</v>
      </c>
      <c r="O173" s="13">
        <v>411</v>
      </c>
      <c r="P173" s="13">
        <v>1274</v>
      </c>
      <c r="Q173" s="13">
        <v>875</v>
      </c>
      <c r="R173" s="13">
        <v>1618</v>
      </c>
      <c r="S173">
        <f t="shared" si="53"/>
        <v>1652</v>
      </c>
      <c r="T173">
        <f t="shared" si="54"/>
        <v>913.90000000000009</v>
      </c>
      <c r="U173">
        <f t="shared" si="55"/>
        <v>250.32500000000002</v>
      </c>
      <c r="V173">
        <f t="shared" si="56"/>
        <v>100.10000000000001</v>
      </c>
      <c r="W173">
        <f t="shared" si="57"/>
        <v>97.350000000000009</v>
      </c>
      <c r="X173">
        <f t="shared" si="58"/>
        <v>157.05000000000001</v>
      </c>
      <c r="Y173">
        <f t="shared" si="59"/>
        <v>73.775000000000006</v>
      </c>
      <c r="Z173">
        <f t="shared" si="60"/>
        <v>39.024999999999999</v>
      </c>
      <c r="AA173">
        <f t="shared" si="61"/>
        <v>4.8000000000000007</v>
      </c>
      <c r="AB173" s="4">
        <f t="shared" si="52"/>
        <v>0.36955776579006522</v>
      </c>
    </row>
    <row r="174" spans="1:28" x14ac:dyDescent="0.35">
      <c r="A174" s="13" t="s">
        <v>337</v>
      </c>
      <c r="B174" s="13">
        <v>66</v>
      </c>
      <c r="C174">
        <f>VLOOKUP(CONCATENATE("2022",'2022_60'!A174),aktivnepesseg!$C$2:$D$2226,2,FALSE)</f>
        <v>23050</v>
      </c>
      <c r="D174" s="13">
        <v>18678</v>
      </c>
      <c r="E174">
        <f t="shared" si="42"/>
        <v>4372</v>
      </c>
      <c r="F174" s="13">
        <v>2588</v>
      </c>
      <c r="G174" s="13">
        <v>1021</v>
      </c>
      <c r="H174" s="13">
        <v>517</v>
      </c>
      <c r="I174" s="13">
        <v>513</v>
      </c>
      <c r="J174" s="13">
        <v>1109</v>
      </c>
      <c r="K174" s="13">
        <v>577</v>
      </c>
      <c r="L174" s="13">
        <v>620</v>
      </c>
      <c r="M174" s="13">
        <v>320</v>
      </c>
      <c r="N174" s="13">
        <v>1165</v>
      </c>
      <c r="O174" s="13">
        <v>990</v>
      </c>
      <c r="P174" s="13">
        <v>3223</v>
      </c>
      <c r="Q174" s="13">
        <v>1948</v>
      </c>
      <c r="R174" s="13">
        <v>4073</v>
      </c>
      <c r="S174">
        <f t="shared" si="53"/>
        <v>4372</v>
      </c>
      <c r="T174">
        <f t="shared" si="54"/>
        <v>2393.9</v>
      </c>
      <c r="U174">
        <f t="shared" si="55"/>
        <v>791.27499999999998</v>
      </c>
      <c r="V174">
        <f t="shared" si="56"/>
        <v>336.05</v>
      </c>
      <c r="W174">
        <f t="shared" si="57"/>
        <v>282.15000000000003</v>
      </c>
      <c r="X174">
        <f t="shared" si="58"/>
        <v>499.05</v>
      </c>
      <c r="Y174">
        <f t="shared" si="59"/>
        <v>187.52500000000001</v>
      </c>
      <c r="Z174">
        <f t="shared" si="60"/>
        <v>108.5</v>
      </c>
      <c r="AA174">
        <f t="shared" si="61"/>
        <v>16</v>
      </c>
      <c r="AB174" s="4">
        <f t="shared" si="52"/>
        <v>0.38986767895878521</v>
      </c>
    </row>
    <row r="175" spans="1:28" x14ac:dyDescent="0.35">
      <c r="A175" s="13" t="s">
        <v>339</v>
      </c>
      <c r="B175" s="13">
        <v>136</v>
      </c>
      <c r="C175">
        <f>VLOOKUP(CONCATENATE("2022",'2022_60'!A175),aktivnepesseg!$C$2:$D$2226,2,FALSE)</f>
        <v>84617</v>
      </c>
      <c r="D175" s="13">
        <v>70264</v>
      </c>
      <c r="E175">
        <f t="shared" si="42"/>
        <v>14353</v>
      </c>
      <c r="F175" s="13">
        <v>7164</v>
      </c>
      <c r="G175" s="13">
        <v>2500</v>
      </c>
      <c r="H175" s="13">
        <v>1612</v>
      </c>
      <c r="I175" s="13">
        <v>1210</v>
      </c>
      <c r="J175" s="13">
        <v>1877</v>
      </c>
      <c r="K175" s="13">
        <v>1606</v>
      </c>
      <c r="L175" s="13">
        <v>2130</v>
      </c>
      <c r="M175" s="13">
        <v>968</v>
      </c>
      <c r="N175" s="13">
        <v>4441</v>
      </c>
      <c r="O175" s="13">
        <v>3295</v>
      </c>
      <c r="P175" s="13">
        <v>10319</v>
      </c>
      <c r="Q175" s="13">
        <v>7032</v>
      </c>
      <c r="R175" s="13">
        <v>26110</v>
      </c>
      <c r="S175">
        <f t="shared" si="53"/>
        <v>14353</v>
      </c>
      <c r="T175">
        <f t="shared" si="54"/>
        <v>6626.7000000000007</v>
      </c>
      <c r="U175">
        <f t="shared" si="55"/>
        <v>1937.5</v>
      </c>
      <c r="V175">
        <f t="shared" si="56"/>
        <v>1047.8</v>
      </c>
      <c r="W175">
        <f t="shared" si="57"/>
        <v>665.5</v>
      </c>
      <c r="X175">
        <f t="shared" si="58"/>
        <v>844.65</v>
      </c>
      <c r="Y175">
        <f t="shared" si="59"/>
        <v>521.95000000000005</v>
      </c>
      <c r="Z175">
        <f t="shared" si="60"/>
        <v>372.75</v>
      </c>
      <c r="AA175">
        <f t="shared" si="61"/>
        <v>48.400000000000006</v>
      </c>
      <c r="AB175" s="4">
        <f t="shared" si="52"/>
        <v>0.31220972145077236</v>
      </c>
    </row>
    <row r="176" spans="1:28" x14ac:dyDescent="0.35">
      <c r="A176" s="13" t="s">
        <v>341</v>
      </c>
      <c r="B176" s="13">
        <v>33</v>
      </c>
      <c r="C176">
        <f>VLOOKUP(CONCATENATE("2022",'2022_60'!A176),aktivnepesseg!$C$2:$D$2226,2,FALSE)</f>
        <v>14732</v>
      </c>
      <c r="D176" s="13">
        <v>12223</v>
      </c>
      <c r="E176">
        <f t="shared" si="42"/>
        <v>2509</v>
      </c>
      <c r="F176" s="13">
        <v>1857</v>
      </c>
      <c r="G176" s="13">
        <v>606</v>
      </c>
      <c r="H176" s="13">
        <v>401</v>
      </c>
      <c r="I176" s="13">
        <v>349</v>
      </c>
      <c r="J176" s="13">
        <v>952</v>
      </c>
      <c r="K176" s="13">
        <v>455</v>
      </c>
      <c r="L176" s="13">
        <v>388</v>
      </c>
      <c r="M176" s="13">
        <v>195</v>
      </c>
      <c r="N176" s="13">
        <v>745</v>
      </c>
      <c r="O176" s="13">
        <v>600</v>
      </c>
      <c r="P176" s="13">
        <v>2077</v>
      </c>
      <c r="Q176" s="13">
        <v>1183</v>
      </c>
      <c r="R176" s="13">
        <v>2296</v>
      </c>
      <c r="S176">
        <f t="shared" si="53"/>
        <v>2509</v>
      </c>
      <c r="T176">
        <f t="shared" si="54"/>
        <v>1717.7250000000001</v>
      </c>
      <c r="U176">
        <f t="shared" si="55"/>
        <v>469.65000000000003</v>
      </c>
      <c r="V176">
        <f t="shared" si="56"/>
        <v>260.65000000000003</v>
      </c>
      <c r="W176">
        <f t="shared" si="57"/>
        <v>191.95000000000002</v>
      </c>
      <c r="X176">
        <f t="shared" si="58"/>
        <v>428.40000000000003</v>
      </c>
      <c r="Y176">
        <f t="shared" si="59"/>
        <v>147.875</v>
      </c>
      <c r="Z176">
        <f t="shared" si="60"/>
        <v>67.899999999999991</v>
      </c>
      <c r="AA176">
        <f t="shared" si="61"/>
        <v>9.75</v>
      </c>
      <c r="AB176" s="4">
        <f t="shared" si="52"/>
        <v>0.39389763779527548</v>
      </c>
    </row>
    <row r="177" spans="1:28" x14ac:dyDescent="0.35">
      <c r="A177" s="13" t="s">
        <v>343</v>
      </c>
      <c r="B177" s="13">
        <v>67</v>
      </c>
      <c r="C177">
        <f>VLOOKUP(CONCATENATE("2022",'2022_60'!A177),aktivnepesseg!$C$2:$D$2226,2,FALSE)</f>
        <v>10386</v>
      </c>
      <c r="D177" s="13">
        <v>8406</v>
      </c>
      <c r="E177">
        <f t="shared" si="42"/>
        <v>1980</v>
      </c>
      <c r="F177" s="13">
        <v>1193</v>
      </c>
      <c r="G177" s="13">
        <v>459</v>
      </c>
      <c r="H177" s="13">
        <v>280</v>
      </c>
      <c r="I177" s="13">
        <v>300</v>
      </c>
      <c r="J177" s="13">
        <v>675</v>
      </c>
      <c r="K177" s="13">
        <v>316</v>
      </c>
      <c r="L177" s="13">
        <v>281</v>
      </c>
      <c r="M177" s="13">
        <v>134</v>
      </c>
      <c r="N177" s="13">
        <v>530</v>
      </c>
      <c r="O177" s="13">
        <v>409</v>
      </c>
      <c r="P177" s="13">
        <v>1298</v>
      </c>
      <c r="Q177" s="13">
        <v>818</v>
      </c>
      <c r="R177" s="13">
        <v>1637</v>
      </c>
      <c r="S177">
        <f t="shared" si="53"/>
        <v>1980</v>
      </c>
      <c r="T177">
        <f t="shared" si="54"/>
        <v>1103.5250000000001</v>
      </c>
      <c r="U177">
        <f t="shared" si="55"/>
        <v>355.72500000000002</v>
      </c>
      <c r="V177">
        <f t="shared" si="56"/>
        <v>182</v>
      </c>
      <c r="W177">
        <f t="shared" si="57"/>
        <v>165</v>
      </c>
      <c r="X177">
        <f t="shared" si="58"/>
        <v>303.75</v>
      </c>
      <c r="Y177">
        <f t="shared" si="59"/>
        <v>102.7</v>
      </c>
      <c r="Z177">
        <f t="shared" si="60"/>
        <v>49.174999999999997</v>
      </c>
      <c r="AA177">
        <f t="shared" si="61"/>
        <v>6.7</v>
      </c>
      <c r="AB177" s="4">
        <f t="shared" si="52"/>
        <v>0.40906749470440978</v>
      </c>
    </row>
    <row r="178" spans="1:28" x14ac:dyDescent="0.35">
      <c r="A178" s="13" t="s">
        <v>345</v>
      </c>
      <c r="B178" s="13">
        <v>137</v>
      </c>
      <c r="C178">
        <f>VLOOKUP(CONCATENATE("2022",'2022_60'!A178),aktivnepesseg!$C$2:$D$2226,2,FALSE)</f>
        <v>16067</v>
      </c>
      <c r="D178" s="13">
        <v>12754</v>
      </c>
      <c r="E178">
        <f t="shared" si="42"/>
        <v>3313</v>
      </c>
      <c r="F178" s="13">
        <v>1464</v>
      </c>
      <c r="G178" s="13">
        <v>445</v>
      </c>
      <c r="H178" s="13">
        <v>296</v>
      </c>
      <c r="I178" s="13">
        <v>218</v>
      </c>
      <c r="J178" s="13">
        <v>379</v>
      </c>
      <c r="K178" s="13">
        <v>331</v>
      </c>
      <c r="L178" s="13">
        <v>413</v>
      </c>
      <c r="M178" s="13">
        <v>166</v>
      </c>
      <c r="N178" s="13">
        <v>784</v>
      </c>
      <c r="O178" s="13">
        <v>645</v>
      </c>
      <c r="P178" s="13">
        <v>1849</v>
      </c>
      <c r="Q178" s="13">
        <v>1386</v>
      </c>
      <c r="R178" s="13">
        <v>4351</v>
      </c>
      <c r="S178">
        <f t="shared" si="53"/>
        <v>3313</v>
      </c>
      <c r="T178">
        <f t="shared" si="54"/>
        <v>1354.2</v>
      </c>
      <c r="U178">
        <f t="shared" si="55"/>
        <v>344.875</v>
      </c>
      <c r="V178">
        <f t="shared" si="56"/>
        <v>192.4</v>
      </c>
      <c r="W178">
        <f t="shared" si="57"/>
        <v>119.9</v>
      </c>
      <c r="X178">
        <f t="shared" si="58"/>
        <v>170.55</v>
      </c>
      <c r="Y178">
        <f t="shared" si="59"/>
        <v>107.575</v>
      </c>
      <c r="Z178">
        <f t="shared" si="60"/>
        <v>72.274999999999991</v>
      </c>
      <c r="AA178">
        <f t="shared" si="61"/>
        <v>8.3000000000000007</v>
      </c>
      <c r="AB178" s="4">
        <f t="shared" si="52"/>
        <v>0.35371102259289222</v>
      </c>
    </row>
    <row r="179" spans="1:28" x14ac:dyDescent="0.35">
      <c r="A179" s="13" t="s">
        <v>347</v>
      </c>
      <c r="B179" s="13">
        <v>167</v>
      </c>
      <c r="C179">
        <f>VLOOKUP(CONCATENATE("2022",'2022_60'!A179),aktivnepesseg!$C$2:$D$2226,2,FALSE)</f>
        <v>68177</v>
      </c>
      <c r="D179" s="13">
        <v>59336</v>
      </c>
      <c r="E179">
        <f t="shared" si="42"/>
        <v>8841</v>
      </c>
      <c r="F179" s="13">
        <v>7301</v>
      </c>
      <c r="G179" s="13">
        <v>2175</v>
      </c>
      <c r="H179" s="13">
        <v>1363</v>
      </c>
      <c r="I179" s="13">
        <v>1073</v>
      </c>
      <c r="J179" s="13">
        <v>1621</v>
      </c>
      <c r="K179" s="13">
        <v>1481</v>
      </c>
      <c r="L179" s="13">
        <v>1603</v>
      </c>
      <c r="M179" s="13">
        <v>854</v>
      </c>
      <c r="N179" s="13">
        <v>3266</v>
      </c>
      <c r="O179" s="13">
        <v>2767</v>
      </c>
      <c r="P179" s="13">
        <v>9267</v>
      </c>
      <c r="Q179" s="13">
        <v>7148</v>
      </c>
      <c r="R179" s="13">
        <v>19409</v>
      </c>
      <c r="S179">
        <f t="shared" si="53"/>
        <v>8841</v>
      </c>
      <c r="T179">
        <f t="shared" si="54"/>
        <v>6753.4250000000002</v>
      </c>
      <c r="U179">
        <f t="shared" si="55"/>
        <v>1685.625</v>
      </c>
      <c r="V179">
        <f t="shared" si="56"/>
        <v>885.95</v>
      </c>
      <c r="W179">
        <f t="shared" si="57"/>
        <v>590.15000000000009</v>
      </c>
      <c r="X179">
        <f t="shared" si="58"/>
        <v>729.45</v>
      </c>
      <c r="Y179">
        <f t="shared" si="59"/>
        <v>481.32499999999999</v>
      </c>
      <c r="Z179">
        <f t="shared" si="60"/>
        <v>280.52499999999998</v>
      </c>
      <c r="AA179">
        <f t="shared" si="61"/>
        <v>42.7</v>
      </c>
      <c r="AB179" s="4">
        <f t="shared" si="52"/>
        <v>0.29760989776610886</v>
      </c>
    </row>
    <row r="180" spans="1:28" x14ac:dyDescent="0.35">
      <c r="A180" s="13" t="s">
        <v>349</v>
      </c>
      <c r="B180" s="13">
        <v>181</v>
      </c>
      <c r="C180">
        <f>VLOOKUP(CONCATENATE("2022",'2022_60'!A180),aktivnepesseg!$C$2:$D$2226,2,FALSE)</f>
        <v>71733</v>
      </c>
      <c r="D180" s="13">
        <v>58221</v>
      </c>
      <c r="E180">
        <f t="shared" si="42"/>
        <v>13512</v>
      </c>
      <c r="F180" s="13">
        <v>7426</v>
      </c>
      <c r="G180" s="13">
        <v>2177</v>
      </c>
      <c r="H180" s="13">
        <v>1259</v>
      </c>
      <c r="I180" s="13">
        <v>942</v>
      </c>
      <c r="J180" s="13">
        <v>1291</v>
      </c>
      <c r="K180" s="13">
        <v>1256</v>
      </c>
      <c r="L180" s="13">
        <v>1419</v>
      </c>
      <c r="M180" s="13">
        <v>698</v>
      </c>
      <c r="N180" s="13">
        <v>2777</v>
      </c>
      <c r="O180" s="13">
        <v>2518</v>
      </c>
      <c r="P180" s="13">
        <v>8811</v>
      </c>
      <c r="Q180" s="13">
        <v>6425</v>
      </c>
      <c r="R180" s="13">
        <v>21133</v>
      </c>
      <c r="S180">
        <f t="shared" si="53"/>
        <v>13512</v>
      </c>
      <c r="T180">
        <f t="shared" si="54"/>
        <v>6869.05</v>
      </c>
      <c r="U180">
        <f t="shared" si="55"/>
        <v>1687.175</v>
      </c>
      <c r="V180">
        <f t="shared" si="56"/>
        <v>818.35</v>
      </c>
      <c r="W180">
        <f t="shared" si="57"/>
        <v>518.1</v>
      </c>
      <c r="X180">
        <f t="shared" si="58"/>
        <v>580.95000000000005</v>
      </c>
      <c r="Y180">
        <f t="shared" si="59"/>
        <v>408.2</v>
      </c>
      <c r="Z180">
        <f t="shared" si="60"/>
        <v>248.32499999999999</v>
      </c>
      <c r="AA180">
        <f t="shared" si="61"/>
        <v>34.9</v>
      </c>
      <c r="AB180" s="4">
        <f t="shared" si="52"/>
        <v>0.34401251864553273</v>
      </c>
    </row>
    <row r="181" spans="1:28" x14ac:dyDescent="0.35">
      <c r="A181" s="13" t="s">
        <v>351</v>
      </c>
      <c r="B181" s="13">
        <v>147</v>
      </c>
      <c r="C181">
        <f>VLOOKUP(CONCATENATE("2022",'2022_60'!A181),aktivnepesseg!$C$2:$D$2226,2,FALSE)</f>
        <v>7178</v>
      </c>
      <c r="D181" s="13">
        <v>6067</v>
      </c>
      <c r="E181">
        <f t="shared" si="42"/>
        <v>1111</v>
      </c>
      <c r="F181" s="13">
        <v>935</v>
      </c>
      <c r="G181" s="13">
        <v>316</v>
      </c>
      <c r="H181" s="13">
        <v>133</v>
      </c>
      <c r="I181" s="13">
        <v>121</v>
      </c>
      <c r="J181" s="13">
        <v>245</v>
      </c>
      <c r="K181" s="13">
        <v>157</v>
      </c>
      <c r="L181" s="13">
        <v>153</v>
      </c>
      <c r="M181" s="13">
        <v>104</v>
      </c>
      <c r="N181" s="13">
        <v>394</v>
      </c>
      <c r="O181" s="13">
        <v>318</v>
      </c>
      <c r="P181" s="13">
        <v>1197</v>
      </c>
      <c r="Q181" s="13">
        <v>759</v>
      </c>
      <c r="R181" s="13">
        <v>1136</v>
      </c>
      <c r="S181">
        <f t="shared" si="53"/>
        <v>1111</v>
      </c>
      <c r="T181">
        <f t="shared" si="54"/>
        <v>864.875</v>
      </c>
      <c r="U181">
        <f t="shared" si="55"/>
        <v>244.9</v>
      </c>
      <c r="V181">
        <f t="shared" si="56"/>
        <v>86.45</v>
      </c>
      <c r="W181">
        <f t="shared" si="57"/>
        <v>66.550000000000011</v>
      </c>
      <c r="X181">
        <f t="shared" si="58"/>
        <v>110.25</v>
      </c>
      <c r="Y181">
        <f t="shared" si="59"/>
        <v>51.024999999999999</v>
      </c>
      <c r="Z181">
        <f t="shared" si="60"/>
        <v>26.774999999999999</v>
      </c>
      <c r="AA181">
        <f t="shared" si="61"/>
        <v>5.2</v>
      </c>
      <c r="AB181" s="4">
        <f t="shared" si="52"/>
        <v>0.3576239899693508</v>
      </c>
    </row>
    <row r="182" spans="1:28" x14ac:dyDescent="0.35">
      <c r="A182" s="13" t="s">
        <v>353</v>
      </c>
      <c r="B182" s="13">
        <v>174</v>
      </c>
      <c r="C182">
        <f>VLOOKUP(CONCATENATE("2022",'2022_60'!A182),aktivnepesseg!$C$2:$D$2226,2,FALSE)</f>
        <v>21505</v>
      </c>
      <c r="D182" s="13">
        <v>17422</v>
      </c>
      <c r="E182">
        <f t="shared" si="42"/>
        <v>4083</v>
      </c>
      <c r="F182" s="13">
        <v>2972</v>
      </c>
      <c r="G182" s="13">
        <v>764</v>
      </c>
      <c r="H182" s="13">
        <v>436</v>
      </c>
      <c r="I182" s="13">
        <v>404</v>
      </c>
      <c r="J182" s="13">
        <v>885</v>
      </c>
      <c r="K182" s="13">
        <v>538</v>
      </c>
      <c r="L182" s="13">
        <v>587</v>
      </c>
      <c r="M182" s="13">
        <v>263</v>
      </c>
      <c r="N182" s="13">
        <v>1197</v>
      </c>
      <c r="O182" s="13">
        <v>911</v>
      </c>
      <c r="P182" s="13">
        <v>2987</v>
      </c>
      <c r="Q182" s="13">
        <v>1970</v>
      </c>
      <c r="R182" s="13">
        <v>3426</v>
      </c>
      <c r="S182">
        <f t="shared" si="53"/>
        <v>4083</v>
      </c>
      <c r="T182">
        <f t="shared" si="54"/>
        <v>2749.1</v>
      </c>
      <c r="U182">
        <f t="shared" si="55"/>
        <v>592.1</v>
      </c>
      <c r="V182">
        <f t="shared" si="56"/>
        <v>283.40000000000003</v>
      </c>
      <c r="W182">
        <f t="shared" si="57"/>
        <v>222.20000000000002</v>
      </c>
      <c r="X182">
        <f t="shared" si="58"/>
        <v>398.25</v>
      </c>
      <c r="Y182">
        <f t="shared" si="59"/>
        <v>174.85</v>
      </c>
      <c r="Z182">
        <f t="shared" si="60"/>
        <v>102.72499999999999</v>
      </c>
      <c r="AA182">
        <f t="shared" si="61"/>
        <v>13.15</v>
      </c>
      <c r="AB182" s="4">
        <f t="shared" si="52"/>
        <v>0.4007800511508951</v>
      </c>
    </row>
    <row r="183" spans="1:28" x14ac:dyDescent="0.35">
      <c r="A183" s="13" t="s">
        <v>355</v>
      </c>
      <c r="B183" s="13">
        <v>189</v>
      </c>
      <c r="C183">
        <f>VLOOKUP(CONCATENATE("2022",'2022_60'!A183),aktivnepesseg!$C$2:$D$2226,2,FALSE)</f>
        <v>19980</v>
      </c>
      <c r="D183" s="13">
        <v>17327</v>
      </c>
      <c r="E183">
        <f t="shared" si="42"/>
        <v>2653</v>
      </c>
      <c r="F183" s="13">
        <v>2779</v>
      </c>
      <c r="G183" s="13">
        <v>712</v>
      </c>
      <c r="H183" s="13">
        <v>403</v>
      </c>
      <c r="I183" s="13">
        <v>276</v>
      </c>
      <c r="J183" s="13">
        <v>465</v>
      </c>
      <c r="K183" s="13">
        <v>406</v>
      </c>
      <c r="L183" s="13">
        <v>447</v>
      </c>
      <c r="M183" s="13">
        <v>256</v>
      </c>
      <c r="N183" s="13">
        <v>1051</v>
      </c>
      <c r="O183" s="13">
        <v>854</v>
      </c>
      <c r="P183" s="13">
        <v>3061</v>
      </c>
      <c r="Q183" s="13">
        <v>2183</v>
      </c>
      <c r="R183" s="13">
        <v>4328</v>
      </c>
      <c r="S183">
        <f t="shared" si="53"/>
        <v>2653</v>
      </c>
      <c r="T183">
        <f t="shared" si="54"/>
        <v>2570.5750000000003</v>
      </c>
      <c r="U183">
        <f t="shared" si="55"/>
        <v>551.80000000000007</v>
      </c>
      <c r="V183">
        <f t="shared" si="56"/>
        <v>261.95</v>
      </c>
      <c r="W183">
        <f t="shared" si="57"/>
        <v>151.80000000000001</v>
      </c>
      <c r="X183">
        <f t="shared" si="58"/>
        <v>209.25</v>
      </c>
      <c r="Y183">
        <f t="shared" si="59"/>
        <v>131.95000000000002</v>
      </c>
      <c r="Z183">
        <f t="shared" si="60"/>
        <v>78.224999999999994</v>
      </c>
      <c r="AA183">
        <f t="shared" si="61"/>
        <v>12.8</v>
      </c>
      <c r="AB183" s="4">
        <f t="shared" si="52"/>
        <v>0.33139889889889895</v>
      </c>
    </row>
    <row r="184" spans="1:28" x14ac:dyDescent="0.35">
      <c r="A184" s="13" t="s">
        <v>357</v>
      </c>
      <c r="B184" s="13">
        <v>115</v>
      </c>
      <c r="C184">
        <f>VLOOKUP(CONCATENATE("2022",'2022_60'!A184),aktivnepesseg!$C$2:$D$2226,2,FALSE)</f>
        <v>55484</v>
      </c>
      <c r="D184" s="13">
        <v>47214</v>
      </c>
      <c r="E184">
        <f t="shared" si="42"/>
        <v>8270</v>
      </c>
      <c r="F184" s="13">
        <v>4861</v>
      </c>
      <c r="G184" s="13">
        <v>1699</v>
      </c>
      <c r="H184" s="13">
        <v>994</v>
      </c>
      <c r="I184" s="13">
        <v>842</v>
      </c>
      <c r="J184" s="13">
        <v>1067</v>
      </c>
      <c r="K184" s="13">
        <v>1052</v>
      </c>
      <c r="L184" s="13">
        <v>1219</v>
      </c>
      <c r="M184" s="13">
        <v>640</v>
      </c>
      <c r="N184" s="13">
        <v>2468</v>
      </c>
      <c r="O184" s="13">
        <v>2025</v>
      </c>
      <c r="P184" s="13">
        <v>6618</v>
      </c>
      <c r="Q184" s="13">
        <v>5269</v>
      </c>
      <c r="R184" s="13">
        <v>18454</v>
      </c>
      <c r="S184">
        <f t="shared" si="53"/>
        <v>8270</v>
      </c>
      <c r="T184">
        <f t="shared" si="54"/>
        <v>4496.4250000000002</v>
      </c>
      <c r="U184">
        <f t="shared" si="55"/>
        <v>1316.7250000000001</v>
      </c>
      <c r="V184">
        <f t="shared" si="56"/>
        <v>646.1</v>
      </c>
      <c r="W184">
        <f t="shared" si="57"/>
        <v>463.1</v>
      </c>
      <c r="X184">
        <f t="shared" si="58"/>
        <v>480.15000000000003</v>
      </c>
      <c r="Y184">
        <f t="shared" si="59"/>
        <v>341.90000000000003</v>
      </c>
      <c r="Z184">
        <f t="shared" si="60"/>
        <v>213.32499999999999</v>
      </c>
      <c r="AA184">
        <f t="shared" si="61"/>
        <v>32</v>
      </c>
      <c r="AB184" s="4">
        <f t="shared" si="52"/>
        <v>0.29305250162208923</v>
      </c>
    </row>
    <row r="185" spans="1:28" x14ac:dyDescent="0.35">
      <c r="A185" s="13" t="s">
        <v>359</v>
      </c>
      <c r="B185" s="13">
        <v>114</v>
      </c>
      <c r="C185">
        <f>VLOOKUP(CONCATENATE("2022",'2022_60'!A185),aktivnepesseg!$C$2:$D$2226,2,FALSE)</f>
        <v>25094</v>
      </c>
      <c r="D185" s="13">
        <v>21722</v>
      </c>
      <c r="E185">
        <f t="shared" si="42"/>
        <v>3372</v>
      </c>
      <c r="F185" s="13">
        <v>2582</v>
      </c>
      <c r="G185" s="13">
        <v>701</v>
      </c>
      <c r="H185" s="13">
        <v>394</v>
      </c>
      <c r="I185" s="13">
        <v>320</v>
      </c>
      <c r="J185" s="13">
        <v>488</v>
      </c>
      <c r="K185" s="13">
        <v>464</v>
      </c>
      <c r="L185" s="13">
        <v>583</v>
      </c>
      <c r="M185" s="13">
        <v>290</v>
      </c>
      <c r="N185" s="13">
        <v>1207</v>
      </c>
      <c r="O185" s="13">
        <v>956</v>
      </c>
      <c r="P185" s="13">
        <v>3262</v>
      </c>
      <c r="Q185" s="13">
        <v>2265</v>
      </c>
      <c r="R185" s="13">
        <v>8208</v>
      </c>
      <c r="S185">
        <f t="shared" si="53"/>
        <v>3372</v>
      </c>
      <c r="T185">
        <f t="shared" si="54"/>
        <v>2388.35</v>
      </c>
      <c r="U185">
        <f t="shared" si="55"/>
        <v>543.27499999999998</v>
      </c>
      <c r="V185">
        <f t="shared" si="56"/>
        <v>256.10000000000002</v>
      </c>
      <c r="W185">
        <f t="shared" si="57"/>
        <v>176</v>
      </c>
      <c r="X185">
        <f t="shared" si="58"/>
        <v>219.6</v>
      </c>
      <c r="Y185">
        <f t="shared" si="59"/>
        <v>150.80000000000001</v>
      </c>
      <c r="Z185">
        <f t="shared" si="60"/>
        <v>102.02499999999999</v>
      </c>
      <c r="AA185">
        <f t="shared" si="61"/>
        <v>14.5</v>
      </c>
      <c r="AB185" s="4">
        <f t="shared" si="52"/>
        <v>0.28782378257750857</v>
      </c>
    </row>
    <row r="186" spans="1:28" x14ac:dyDescent="0.35">
      <c r="A186" s="13" t="s">
        <v>361</v>
      </c>
      <c r="B186" s="13">
        <v>92</v>
      </c>
      <c r="C186">
        <f>VLOOKUP(CONCATENATE("2022",'2022_60'!A186),aktivnepesseg!$C$2:$D$2226,2,FALSE)</f>
        <v>9739</v>
      </c>
      <c r="D186" s="13">
        <v>8527</v>
      </c>
      <c r="E186">
        <f t="shared" si="42"/>
        <v>1212</v>
      </c>
      <c r="F186" s="13">
        <v>1040</v>
      </c>
      <c r="G186" s="13">
        <v>266</v>
      </c>
      <c r="H186" s="13">
        <v>125</v>
      </c>
      <c r="I186" s="13">
        <v>117</v>
      </c>
      <c r="J186" s="13">
        <v>219</v>
      </c>
      <c r="K186" s="13">
        <v>181</v>
      </c>
      <c r="L186" s="13">
        <v>192</v>
      </c>
      <c r="M186" s="13">
        <v>115</v>
      </c>
      <c r="N186" s="13">
        <v>445</v>
      </c>
      <c r="O186" s="13">
        <v>406</v>
      </c>
      <c r="P186" s="13">
        <v>1297</v>
      </c>
      <c r="Q186" s="13">
        <v>1111</v>
      </c>
      <c r="R186" s="13">
        <v>2991</v>
      </c>
      <c r="S186">
        <f t="shared" si="53"/>
        <v>1212</v>
      </c>
      <c r="T186">
        <f t="shared" si="54"/>
        <v>962</v>
      </c>
      <c r="U186">
        <f t="shared" si="55"/>
        <v>206.15</v>
      </c>
      <c r="V186">
        <f t="shared" si="56"/>
        <v>81.25</v>
      </c>
      <c r="W186">
        <f t="shared" si="57"/>
        <v>64.350000000000009</v>
      </c>
      <c r="X186">
        <f t="shared" si="58"/>
        <v>98.55</v>
      </c>
      <c r="Y186">
        <f t="shared" si="59"/>
        <v>58.825000000000003</v>
      </c>
      <c r="Z186">
        <f t="shared" si="60"/>
        <v>33.599999999999994</v>
      </c>
      <c r="AA186">
        <f t="shared" si="61"/>
        <v>5.75</v>
      </c>
      <c r="AB186" s="4">
        <f t="shared" si="52"/>
        <v>0.27954358763733445</v>
      </c>
    </row>
    <row r="187" spans="1:28" x14ac:dyDescent="0.35">
      <c r="A187" s="13" t="s">
        <v>363</v>
      </c>
      <c r="B187" s="13">
        <v>168</v>
      </c>
      <c r="C187">
        <f>VLOOKUP(CONCATENATE("2022",'2022_60'!A187),aktivnepesseg!$C$2:$D$2226,2,FALSE)</f>
        <v>10879</v>
      </c>
      <c r="D187" s="13">
        <v>9458</v>
      </c>
      <c r="E187">
        <f t="shared" si="42"/>
        <v>1421</v>
      </c>
      <c r="F187" s="13">
        <v>1458</v>
      </c>
      <c r="G187" s="13">
        <v>411</v>
      </c>
      <c r="H187" s="13">
        <v>279</v>
      </c>
      <c r="I187" s="13">
        <v>242</v>
      </c>
      <c r="J187" s="13">
        <v>504</v>
      </c>
      <c r="K187" s="13">
        <v>267</v>
      </c>
      <c r="L187" s="13">
        <v>368</v>
      </c>
      <c r="M187" s="13">
        <v>163</v>
      </c>
      <c r="N187" s="13">
        <v>721</v>
      </c>
      <c r="O187" s="13">
        <v>532</v>
      </c>
      <c r="P187" s="13">
        <v>1734</v>
      </c>
      <c r="Q187" s="13">
        <v>922</v>
      </c>
      <c r="R187" s="13">
        <v>1851</v>
      </c>
      <c r="S187">
        <f t="shared" si="53"/>
        <v>1421</v>
      </c>
      <c r="T187">
        <f t="shared" si="54"/>
        <v>1348.65</v>
      </c>
      <c r="U187">
        <f t="shared" si="55"/>
        <v>318.52500000000003</v>
      </c>
      <c r="V187">
        <f t="shared" si="56"/>
        <v>181.35</v>
      </c>
      <c r="W187">
        <f t="shared" si="57"/>
        <v>133.10000000000002</v>
      </c>
      <c r="X187">
        <f t="shared" si="58"/>
        <v>226.8</v>
      </c>
      <c r="Y187">
        <f t="shared" si="59"/>
        <v>86.775000000000006</v>
      </c>
      <c r="Z187">
        <f t="shared" si="60"/>
        <v>64.399999999999991</v>
      </c>
      <c r="AA187">
        <f t="shared" si="61"/>
        <v>8.15</v>
      </c>
      <c r="AB187" s="4">
        <f t="shared" si="52"/>
        <v>0.34826270796948255</v>
      </c>
    </row>
    <row r="188" spans="1:28" x14ac:dyDescent="0.35">
      <c r="A188" s="13" t="s">
        <v>365</v>
      </c>
      <c r="B188" s="13">
        <v>44</v>
      </c>
      <c r="C188">
        <f>VLOOKUP(CONCATENATE("2022",'2022_60'!A188),aktivnepesseg!$C$2:$D$2226,2,FALSE)</f>
        <v>14844</v>
      </c>
      <c r="D188" s="13">
        <v>12590</v>
      </c>
      <c r="E188">
        <f t="shared" si="42"/>
        <v>2254</v>
      </c>
      <c r="F188" s="13">
        <v>1710</v>
      </c>
      <c r="G188" s="13">
        <v>434</v>
      </c>
      <c r="H188" s="13">
        <v>281</v>
      </c>
      <c r="I188" s="13">
        <v>186</v>
      </c>
      <c r="J188" s="13">
        <v>323</v>
      </c>
      <c r="K188" s="13">
        <v>284</v>
      </c>
      <c r="L188" s="13">
        <v>430</v>
      </c>
      <c r="M188" s="13">
        <v>231</v>
      </c>
      <c r="N188" s="13">
        <v>849</v>
      </c>
      <c r="O188" s="13">
        <v>779</v>
      </c>
      <c r="P188" s="13">
        <v>2245</v>
      </c>
      <c r="Q188" s="13">
        <v>1386</v>
      </c>
      <c r="R188" s="13">
        <v>3450</v>
      </c>
      <c r="S188">
        <f t="shared" si="53"/>
        <v>2254</v>
      </c>
      <c r="T188">
        <f t="shared" si="54"/>
        <v>1581.75</v>
      </c>
      <c r="U188">
        <f t="shared" si="55"/>
        <v>336.35</v>
      </c>
      <c r="V188">
        <f t="shared" si="56"/>
        <v>182.65</v>
      </c>
      <c r="W188">
        <f t="shared" si="57"/>
        <v>102.30000000000001</v>
      </c>
      <c r="X188">
        <f t="shared" si="58"/>
        <v>145.35</v>
      </c>
      <c r="Y188">
        <f t="shared" si="59"/>
        <v>92.3</v>
      </c>
      <c r="Z188">
        <f t="shared" si="60"/>
        <v>75.25</v>
      </c>
      <c r="AA188">
        <f t="shared" si="61"/>
        <v>11.55</v>
      </c>
      <c r="AB188" s="4">
        <f t="shared" si="52"/>
        <v>0.32211668014012401</v>
      </c>
    </row>
    <row r="189" spans="1:28" x14ac:dyDescent="0.35">
      <c r="A189" s="13" t="s">
        <v>367</v>
      </c>
      <c r="B189" s="13">
        <v>68</v>
      </c>
      <c r="C189">
        <f>VLOOKUP(CONCATENATE("2022",'2022_60'!A189),aktivnepesseg!$C$2:$D$2226,2,FALSE)</f>
        <v>18784</v>
      </c>
      <c r="D189" s="13">
        <v>15831</v>
      </c>
      <c r="E189">
        <f t="shared" si="42"/>
        <v>2953</v>
      </c>
      <c r="F189" s="13">
        <v>1987</v>
      </c>
      <c r="G189" s="13">
        <v>622</v>
      </c>
      <c r="H189" s="13">
        <v>347</v>
      </c>
      <c r="I189" s="13">
        <v>296</v>
      </c>
      <c r="J189" s="13">
        <v>535</v>
      </c>
      <c r="K189" s="13">
        <v>387</v>
      </c>
      <c r="L189" s="13">
        <v>368</v>
      </c>
      <c r="M189" s="13">
        <v>218</v>
      </c>
      <c r="N189" s="13">
        <v>768</v>
      </c>
      <c r="O189" s="13">
        <v>829</v>
      </c>
      <c r="P189" s="13">
        <v>2291</v>
      </c>
      <c r="Q189" s="13">
        <v>1694</v>
      </c>
      <c r="R189" s="13">
        <v>5473</v>
      </c>
      <c r="S189">
        <f t="shared" si="53"/>
        <v>2953</v>
      </c>
      <c r="T189">
        <f t="shared" si="54"/>
        <v>1837.9750000000001</v>
      </c>
      <c r="U189">
        <f t="shared" si="55"/>
        <v>482.05</v>
      </c>
      <c r="V189">
        <f t="shared" si="56"/>
        <v>225.55</v>
      </c>
      <c r="W189">
        <f t="shared" si="57"/>
        <v>162.80000000000001</v>
      </c>
      <c r="X189">
        <f t="shared" si="58"/>
        <v>240.75</v>
      </c>
      <c r="Y189">
        <f t="shared" si="59"/>
        <v>125.77500000000001</v>
      </c>
      <c r="Z189">
        <f t="shared" si="60"/>
        <v>64.399999999999991</v>
      </c>
      <c r="AA189">
        <f t="shared" si="61"/>
        <v>10.9</v>
      </c>
      <c r="AB189" s="4">
        <f t="shared" si="52"/>
        <v>0.32491482112436115</v>
      </c>
    </row>
    <row r="190" spans="1:28" x14ac:dyDescent="0.35">
      <c r="A190" s="13" t="s">
        <v>369</v>
      </c>
      <c r="B190" s="13">
        <v>158</v>
      </c>
      <c r="C190">
        <f>VLOOKUP(CONCATENATE("2022",'2022_60'!A190),aktivnepesseg!$C$2:$D$2226,2,FALSE)</f>
        <v>16759</v>
      </c>
      <c r="D190" s="13">
        <v>12518</v>
      </c>
      <c r="E190">
        <f t="shared" si="42"/>
        <v>4241</v>
      </c>
      <c r="F190" s="13">
        <v>1878</v>
      </c>
      <c r="G190" s="13">
        <v>743</v>
      </c>
      <c r="H190" s="13">
        <v>361</v>
      </c>
      <c r="I190" s="13">
        <v>400</v>
      </c>
      <c r="J190" s="13">
        <v>652</v>
      </c>
      <c r="K190" s="13">
        <v>404</v>
      </c>
      <c r="L190" s="13">
        <v>371</v>
      </c>
      <c r="M190" s="13">
        <v>207</v>
      </c>
      <c r="N190" s="13">
        <v>840</v>
      </c>
      <c r="O190" s="13">
        <v>620</v>
      </c>
      <c r="P190" s="13">
        <v>2147</v>
      </c>
      <c r="Q190" s="13">
        <v>1285</v>
      </c>
      <c r="R190" s="13">
        <v>2606</v>
      </c>
      <c r="S190">
        <f t="shared" si="53"/>
        <v>4241</v>
      </c>
      <c r="T190">
        <f t="shared" si="54"/>
        <v>1737.15</v>
      </c>
      <c r="U190">
        <f t="shared" si="55"/>
        <v>575.82500000000005</v>
      </c>
      <c r="V190">
        <f t="shared" si="56"/>
        <v>234.65</v>
      </c>
      <c r="W190">
        <f t="shared" si="57"/>
        <v>220.00000000000003</v>
      </c>
      <c r="X190">
        <f t="shared" si="58"/>
        <v>293.40000000000003</v>
      </c>
      <c r="Y190">
        <f t="shared" si="59"/>
        <v>131.30000000000001</v>
      </c>
      <c r="Z190">
        <f t="shared" si="60"/>
        <v>64.924999999999997</v>
      </c>
      <c r="AA190">
        <f t="shared" si="61"/>
        <v>10.350000000000001</v>
      </c>
      <c r="AB190" s="4">
        <f t="shared" si="52"/>
        <v>0.44803389223700696</v>
      </c>
    </row>
    <row r="191" spans="1:28" x14ac:dyDescent="0.35">
      <c r="A191" s="13" t="s">
        <v>371</v>
      </c>
      <c r="B191" s="13">
        <v>69</v>
      </c>
      <c r="C191">
        <f>VLOOKUP(CONCATENATE("2022",'2022_60'!A191),aktivnepesseg!$C$2:$D$2226,2,FALSE)</f>
        <v>7031</v>
      </c>
      <c r="D191" s="13">
        <v>5777</v>
      </c>
      <c r="E191">
        <f t="shared" si="42"/>
        <v>1254</v>
      </c>
      <c r="F191" s="13">
        <v>864</v>
      </c>
      <c r="G191" s="13">
        <v>250</v>
      </c>
      <c r="H191" s="13">
        <v>149</v>
      </c>
      <c r="I191" s="13">
        <v>136</v>
      </c>
      <c r="J191" s="13">
        <v>289</v>
      </c>
      <c r="K191" s="13">
        <v>157</v>
      </c>
      <c r="L191" s="13">
        <v>182</v>
      </c>
      <c r="M191" s="13">
        <v>70</v>
      </c>
      <c r="N191" s="13">
        <v>395</v>
      </c>
      <c r="O191" s="13">
        <v>320</v>
      </c>
      <c r="P191" s="13">
        <v>1034</v>
      </c>
      <c r="Q191" s="13">
        <v>622</v>
      </c>
      <c r="R191" s="13">
        <v>1292</v>
      </c>
      <c r="S191">
        <f t="shared" si="53"/>
        <v>1254</v>
      </c>
      <c r="T191">
        <f t="shared" si="54"/>
        <v>799.2</v>
      </c>
      <c r="U191">
        <f t="shared" si="55"/>
        <v>193.75</v>
      </c>
      <c r="V191">
        <f t="shared" si="56"/>
        <v>96.850000000000009</v>
      </c>
      <c r="W191">
        <f t="shared" si="57"/>
        <v>74.800000000000011</v>
      </c>
      <c r="X191">
        <f t="shared" si="58"/>
        <v>130.05000000000001</v>
      </c>
      <c r="Y191">
        <f t="shared" si="59"/>
        <v>51.024999999999999</v>
      </c>
      <c r="Z191">
        <f t="shared" si="60"/>
        <v>31.849999999999998</v>
      </c>
      <c r="AA191">
        <f t="shared" si="61"/>
        <v>3.5</v>
      </c>
      <c r="AB191" s="4">
        <f t="shared" si="52"/>
        <v>0.37477243635329255</v>
      </c>
    </row>
    <row r="192" spans="1:28" x14ac:dyDescent="0.35">
      <c r="A192" s="13" t="s">
        <v>373</v>
      </c>
      <c r="B192" s="13">
        <v>175</v>
      </c>
      <c r="C192">
        <f>VLOOKUP(CONCATENATE("2022",'2022_60'!A192),aktivnepesseg!$C$2:$D$2226,2,FALSE)</f>
        <v>10685</v>
      </c>
      <c r="D192" s="13">
        <v>8756</v>
      </c>
      <c r="E192">
        <f t="shared" si="42"/>
        <v>1929</v>
      </c>
      <c r="F192" s="13">
        <v>1230</v>
      </c>
      <c r="G192" s="13">
        <v>328</v>
      </c>
      <c r="H192" s="13">
        <v>163</v>
      </c>
      <c r="I192" s="13">
        <v>178</v>
      </c>
      <c r="J192" s="13">
        <v>219</v>
      </c>
      <c r="K192" s="13">
        <v>232</v>
      </c>
      <c r="L192" s="13">
        <v>238</v>
      </c>
      <c r="M192" s="13">
        <v>140</v>
      </c>
      <c r="N192" s="13">
        <v>528</v>
      </c>
      <c r="O192" s="13">
        <v>495</v>
      </c>
      <c r="P192" s="13">
        <v>1628</v>
      </c>
      <c r="Q192" s="13">
        <v>1043</v>
      </c>
      <c r="R192" s="13">
        <v>2332</v>
      </c>
      <c r="S192">
        <f t="shared" si="53"/>
        <v>1929</v>
      </c>
      <c r="T192">
        <f t="shared" si="54"/>
        <v>1137.75</v>
      </c>
      <c r="U192">
        <f t="shared" si="55"/>
        <v>254.20000000000002</v>
      </c>
      <c r="V192">
        <f t="shared" si="56"/>
        <v>105.95</v>
      </c>
      <c r="W192">
        <f t="shared" si="57"/>
        <v>97.9</v>
      </c>
      <c r="X192">
        <f t="shared" si="58"/>
        <v>98.55</v>
      </c>
      <c r="Y192">
        <f t="shared" si="59"/>
        <v>75.400000000000006</v>
      </c>
      <c r="Z192">
        <f t="shared" si="60"/>
        <v>41.65</v>
      </c>
      <c r="AA192">
        <f t="shared" si="61"/>
        <v>7</v>
      </c>
      <c r="AB192" s="4">
        <f t="shared" si="52"/>
        <v>0.35071595694899393</v>
      </c>
    </row>
    <row r="193" spans="1:28" x14ac:dyDescent="0.35">
      <c r="A193" s="13" t="s">
        <v>375</v>
      </c>
      <c r="B193" s="13">
        <v>169</v>
      </c>
      <c r="C193">
        <f>VLOOKUP(CONCATENATE("2022",'2022_60'!A193),aktivnepesseg!$C$2:$D$2226,2,FALSE)</f>
        <v>21260</v>
      </c>
      <c r="D193" s="13">
        <v>18144</v>
      </c>
      <c r="E193">
        <f t="shared" si="42"/>
        <v>3116</v>
      </c>
      <c r="F193" s="13">
        <v>2421</v>
      </c>
      <c r="G193" s="13">
        <v>731</v>
      </c>
      <c r="H193" s="13">
        <v>442</v>
      </c>
      <c r="I193" s="13">
        <v>369</v>
      </c>
      <c r="J193" s="13">
        <v>635</v>
      </c>
      <c r="K193" s="13">
        <v>559</v>
      </c>
      <c r="L193" s="13">
        <v>623</v>
      </c>
      <c r="M193" s="13">
        <v>344</v>
      </c>
      <c r="N193" s="13">
        <v>1281</v>
      </c>
      <c r="O193" s="13">
        <v>1087</v>
      </c>
      <c r="P193" s="13">
        <v>3240</v>
      </c>
      <c r="Q193" s="13">
        <v>2311</v>
      </c>
      <c r="R193" s="13">
        <v>4093</v>
      </c>
      <c r="S193">
        <f t="shared" si="53"/>
        <v>3116</v>
      </c>
      <c r="T193">
        <f t="shared" si="54"/>
        <v>2239.4250000000002</v>
      </c>
      <c r="U193">
        <f t="shared" si="55"/>
        <v>566.52499999999998</v>
      </c>
      <c r="V193">
        <f t="shared" si="56"/>
        <v>287.3</v>
      </c>
      <c r="W193">
        <f t="shared" si="57"/>
        <v>202.95000000000002</v>
      </c>
      <c r="X193">
        <f t="shared" si="58"/>
        <v>285.75</v>
      </c>
      <c r="Y193">
        <f t="shared" si="59"/>
        <v>181.67500000000001</v>
      </c>
      <c r="Z193">
        <f t="shared" si="60"/>
        <v>109.02499999999999</v>
      </c>
      <c r="AA193">
        <f t="shared" si="61"/>
        <v>17.2</v>
      </c>
      <c r="AB193" s="4">
        <f t="shared" si="52"/>
        <v>0.32953198494825964</v>
      </c>
    </row>
    <row r="194" spans="1:28" x14ac:dyDescent="0.35">
      <c r="A194" s="13" t="s">
        <v>377</v>
      </c>
      <c r="B194" s="13">
        <v>138</v>
      </c>
      <c r="C194">
        <f>VLOOKUP(CONCATENATE("2022",'2022_60'!A194),aktivnepesseg!$C$2:$D$2226,2,FALSE)</f>
        <v>45397</v>
      </c>
      <c r="D194" s="13">
        <v>37175</v>
      </c>
      <c r="E194">
        <f t="shared" si="42"/>
        <v>8222</v>
      </c>
      <c r="F194" s="13">
        <v>3927</v>
      </c>
      <c r="G194" s="13">
        <v>1311</v>
      </c>
      <c r="H194" s="13">
        <v>840</v>
      </c>
      <c r="I194" s="13">
        <v>647</v>
      </c>
      <c r="J194" s="13">
        <v>1006</v>
      </c>
      <c r="K194" s="13">
        <v>928</v>
      </c>
      <c r="L194" s="13">
        <v>1145</v>
      </c>
      <c r="M194" s="13">
        <v>531</v>
      </c>
      <c r="N194" s="13">
        <v>2211</v>
      </c>
      <c r="O194" s="13">
        <v>1756</v>
      </c>
      <c r="P194" s="13">
        <v>5284</v>
      </c>
      <c r="Q194" s="13">
        <v>3887</v>
      </c>
      <c r="R194" s="13">
        <v>13693</v>
      </c>
      <c r="S194">
        <f t="shared" si="53"/>
        <v>8222</v>
      </c>
      <c r="T194">
        <f t="shared" si="54"/>
        <v>3632.4750000000004</v>
      </c>
      <c r="U194">
        <f t="shared" si="55"/>
        <v>1016.025</v>
      </c>
      <c r="V194">
        <f t="shared" si="56"/>
        <v>546</v>
      </c>
      <c r="W194">
        <f t="shared" si="57"/>
        <v>355.85</v>
      </c>
      <c r="X194">
        <f t="shared" si="58"/>
        <v>452.7</v>
      </c>
      <c r="Y194">
        <f t="shared" si="59"/>
        <v>301.60000000000002</v>
      </c>
      <c r="Z194">
        <f t="shared" si="60"/>
        <v>200.375</v>
      </c>
      <c r="AA194">
        <f t="shared" si="61"/>
        <v>26.55</v>
      </c>
      <c r="AB194" s="4">
        <f t="shared" si="52"/>
        <v>0.32499008745071262</v>
      </c>
    </row>
    <row r="195" spans="1:28" x14ac:dyDescent="0.35">
      <c r="A195" s="13" t="s">
        <v>379</v>
      </c>
      <c r="B195" s="13">
        <v>190</v>
      </c>
      <c r="C195">
        <f>VLOOKUP(CONCATENATE("2022",'2022_60'!A195),aktivnepesseg!$C$2:$D$2226,2,FALSE)</f>
        <v>22784</v>
      </c>
      <c r="D195" s="13">
        <v>19747</v>
      </c>
      <c r="E195">
        <f t="shared" si="42"/>
        <v>3037</v>
      </c>
      <c r="F195" s="13">
        <v>2064</v>
      </c>
      <c r="G195" s="13">
        <v>683</v>
      </c>
      <c r="H195" s="13">
        <v>415</v>
      </c>
      <c r="I195" s="13">
        <v>337</v>
      </c>
      <c r="J195" s="13">
        <v>475</v>
      </c>
      <c r="K195" s="13">
        <v>450</v>
      </c>
      <c r="L195" s="13">
        <v>461</v>
      </c>
      <c r="M195" s="13">
        <v>288</v>
      </c>
      <c r="N195" s="13">
        <v>1026</v>
      </c>
      <c r="O195" s="13">
        <v>969</v>
      </c>
      <c r="P195" s="13">
        <v>3189</v>
      </c>
      <c r="Q195" s="13">
        <v>2595</v>
      </c>
      <c r="R195" s="13">
        <v>6790</v>
      </c>
      <c r="S195">
        <f t="shared" si="53"/>
        <v>3037</v>
      </c>
      <c r="T195">
        <f t="shared" si="54"/>
        <v>1909.2</v>
      </c>
      <c r="U195">
        <f t="shared" si="55"/>
        <v>529.32500000000005</v>
      </c>
      <c r="V195">
        <f t="shared" si="56"/>
        <v>269.75</v>
      </c>
      <c r="W195">
        <f t="shared" si="57"/>
        <v>185.35000000000002</v>
      </c>
      <c r="X195">
        <f t="shared" si="58"/>
        <v>213.75</v>
      </c>
      <c r="Y195">
        <f t="shared" si="59"/>
        <v>146.25</v>
      </c>
      <c r="Z195">
        <f t="shared" si="60"/>
        <v>80.674999999999997</v>
      </c>
      <c r="AA195">
        <f t="shared" si="61"/>
        <v>14.4</v>
      </c>
      <c r="AB195" s="4">
        <f t="shared" si="52"/>
        <v>0.28027124297752809</v>
      </c>
    </row>
    <row r="196" spans="1:28" x14ac:dyDescent="0.35">
      <c r="A196" s="13" t="s">
        <v>381</v>
      </c>
      <c r="B196" s="13">
        <v>159</v>
      </c>
      <c r="C196">
        <f>VLOOKUP(CONCATENATE("2022",'2022_60'!A196),aktivnepesseg!$C$2:$D$2226,2,FALSE)</f>
        <v>21868</v>
      </c>
      <c r="D196" s="13">
        <v>17660</v>
      </c>
      <c r="E196">
        <f t="shared" si="42"/>
        <v>4208</v>
      </c>
      <c r="F196" s="13">
        <v>2949</v>
      </c>
      <c r="G196" s="13">
        <v>941</v>
      </c>
      <c r="H196" s="13">
        <v>543</v>
      </c>
      <c r="I196" s="13">
        <v>567</v>
      </c>
      <c r="J196" s="13">
        <v>1464</v>
      </c>
      <c r="K196" s="13">
        <v>677</v>
      </c>
      <c r="L196" s="13">
        <v>602</v>
      </c>
      <c r="M196" s="13">
        <v>316</v>
      </c>
      <c r="N196" s="13">
        <v>1235</v>
      </c>
      <c r="O196" s="13">
        <v>941</v>
      </c>
      <c r="P196" s="13">
        <v>2978</v>
      </c>
      <c r="Q196" s="13">
        <v>1401</v>
      </c>
      <c r="R196" s="13">
        <v>3020</v>
      </c>
      <c r="S196">
        <f t="shared" si="53"/>
        <v>4208</v>
      </c>
      <c r="T196">
        <f t="shared" si="54"/>
        <v>2727.8250000000003</v>
      </c>
      <c r="U196">
        <f t="shared" si="55"/>
        <v>729.27499999999998</v>
      </c>
      <c r="V196">
        <f t="shared" si="56"/>
        <v>352.95</v>
      </c>
      <c r="W196">
        <f t="shared" si="57"/>
        <v>311.85000000000002</v>
      </c>
      <c r="X196">
        <f t="shared" si="58"/>
        <v>658.80000000000007</v>
      </c>
      <c r="Y196">
        <f t="shared" si="59"/>
        <v>220.02500000000001</v>
      </c>
      <c r="Z196">
        <f t="shared" si="60"/>
        <v>105.35</v>
      </c>
      <c r="AA196">
        <f t="shared" si="61"/>
        <v>15.8</v>
      </c>
      <c r="AB196" s="4">
        <f t="shared" si="52"/>
        <v>0.42664509785988652</v>
      </c>
    </row>
    <row r="197" spans="1:28" x14ac:dyDescent="0.35">
      <c r="A197" s="13" t="s">
        <v>383</v>
      </c>
      <c r="B197" s="13">
        <v>182</v>
      </c>
      <c r="C197">
        <f>VLOOKUP(CONCATENATE("2022",'2022_60'!A197),aktivnepesseg!$C$2:$D$2226,2,FALSE)</f>
        <v>8414</v>
      </c>
      <c r="D197" s="13">
        <v>7158</v>
      </c>
      <c r="E197">
        <f t="shared" si="42"/>
        <v>1256</v>
      </c>
      <c r="F197" s="13">
        <v>958</v>
      </c>
      <c r="G197" s="13">
        <v>291</v>
      </c>
      <c r="H197" s="13">
        <v>138</v>
      </c>
      <c r="I197" s="13">
        <v>125</v>
      </c>
      <c r="J197" s="13">
        <v>230</v>
      </c>
      <c r="K197" s="13">
        <v>160</v>
      </c>
      <c r="L197" s="13">
        <v>137</v>
      </c>
      <c r="M197" s="13">
        <v>89</v>
      </c>
      <c r="N197" s="13">
        <v>448</v>
      </c>
      <c r="O197" s="13">
        <v>410</v>
      </c>
      <c r="P197" s="13">
        <v>1299</v>
      </c>
      <c r="Q197" s="13">
        <v>901</v>
      </c>
      <c r="R197" s="13">
        <v>1918</v>
      </c>
      <c r="S197">
        <f t="shared" si="53"/>
        <v>1256</v>
      </c>
      <c r="T197">
        <f t="shared" si="54"/>
        <v>886.15000000000009</v>
      </c>
      <c r="U197">
        <f t="shared" si="55"/>
        <v>225.52500000000001</v>
      </c>
      <c r="V197">
        <f t="shared" si="56"/>
        <v>89.7</v>
      </c>
      <c r="W197">
        <f t="shared" si="57"/>
        <v>68.75</v>
      </c>
      <c r="X197">
        <f t="shared" si="58"/>
        <v>103.5</v>
      </c>
      <c r="Y197">
        <f t="shared" si="59"/>
        <v>52</v>
      </c>
      <c r="Z197">
        <f t="shared" si="60"/>
        <v>23.974999999999998</v>
      </c>
      <c r="AA197">
        <f t="shared" si="61"/>
        <v>4.45</v>
      </c>
      <c r="AB197" s="4">
        <f t="shared" si="52"/>
        <v>0.32208818635607317</v>
      </c>
    </row>
    <row r="198" spans="1:28" x14ac:dyDescent="0.35">
      <c r="A198" s="13" t="s">
        <v>385</v>
      </c>
      <c r="B198" s="13">
        <v>139</v>
      </c>
      <c r="C198">
        <f>VLOOKUP(CONCATENATE("2022",'2022_60'!A198),aktivnepesseg!$C$2:$D$2226,2,FALSE)</f>
        <v>32954</v>
      </c>
      <c r="D198" s="13">
        <v>28188</v>
      </c>
      <c r="E198">
        <f t="shared" si="42"/>
        <v>4766</v>
      </c>
      <c r="F198" s="13">
        <v>2819</v>
      </c>
      <c r="G198" s="13">
        <v>1027</v>
      </c>
      <c r="H198" s="13">
        <v>679</v>
      </c>
      <c r="I198" s="13">
        <v>515</v>
      </c>
      <c r="J198" s="13">
        <v>746</v>
      </c>
      <c r="K198" s="13">
        <v>688</v>
      </c>
      <c r="L198" s="13">
        <v>859</v>
      </c>
      <c r="M198" s="13">
        <v>404</v>
      </c>
      <c r="N198" s="13">
        <v>1795</v>
      </c>
      <c r="O198" s="13">
        <v>1227</v>
      </c>
      <c r="P198" s="13">
        <v>4080</v>
      </c>
      <c r="Q198" s="13">
        <v>2716</v>
      </c>
      <c r="R198" s="13">
        <v>10633</v>
      </c>
      <c r="S198">
        <f t="shared" si="53"/>
        <v>4766</v>
      </c>
      <c r="T198">
        <f t="shared" si="54"/>
        <v>2607.5750000000003</v>
      </c>
      <c r="U198">
        <f t="shared" si="55"/>
        <v>795.92500000000007</v>
      </c>
      <c r="V198">
        <f t="shared" si="56"/>
        <v>441.35</v>
      </c>
      <c r="W198">
        <f t="shared" si="57"/>
        <v>283.25</v>
      </c>
      <c r="X198">
        <f t="shared" si="58"/>
        <v>335.7</v>
      </c>
      <c r="Y198">
        <f t="shared" si="59"/>
        <v>223.6</v>
      </c>
      <c r="Z198">
        <f t="shared" si="60"/>
        <v>150.32499999999999</v>
      </c>
      <c r="AA198">
        <f t="shared" si="61"/>
        <v>20.200000000000003</v>
      </c>
      <c r="AB198" s="4">
        <f t="shared" si="52"/>
        <v>0.29204117861261158</v>
      </c>
    </row>
    <row r="199" spans="1:28" x14ac:dyDescent="0.35">
      <c r="A199" s="13" t="s">
        <v>387</v>
      </c>
      <c r="B199" s="13">
        <v>191</v>
      </c>
      <c r="C199">
        <f>VLOOKUP(CONCATENATE("2022",'2022_60'!A199),aktivnepesseg!$C$2:$D$2226,2,FALSE)</f>
        <v>50579</v>
      </c>
      <c r="D199" s="13">
        <v>43089</v>
      </c>
      <c r="E199">
        <f t="shared" ref="E199:E203" si="62">C199-D199</f>
        <v>7490</v>
      </c>
      <c r="F199" s="13">
        <v>5730</v>
      </c>
      <c r="G199" s="13">
        <v>1468</v>
      </c>
      <c r="H199" s="13">
        <v>891</v>
      </c>
      <c r="I199" s="13">
        <v>694</v>
      </c>
      <c r="J199" s="13">
        <v>975</v>
      </c>
      <c r="K199" s="13">
        <v>876</v>
      </c>
      <c r="L199" s="13">
        <v>1028</v>
      </c>
      <c r="M199" s="13">
        <v>549</v>
      </c>
      <c r="N199" s="13">
        <v>2038</v>
      </c>
      <c r="O199" s="13">
        <v>1892</v>
      </c>
      <c r="P199" s="13">
        <v>6554</v>
      </c>
      <c r="Q199" s="13">
        <v>5094</v>
      </c>
      <c r="R199" s="13">
        <v>15270</v>
      </c>
      <c r="S199">
        <f t="shared" ref="S199:S204" si="63">E199*E$5</f>
        <v>7490</v>
      </c>
      <c r="T199">
        <f t="shared" ref="T199:T204" si="64">F199*F$5</f>
        <v>5300.25</v>
      </c>
      <c r="U199">
        <f t="shared" ref="U199:U204" si="65">G199*G$5</f>
        <v>1137.7</v>
      </c>
      <c r="V199">
        <f t="shared" ref="V199:V204" si="66">H199*H$5</f>
        <v>579.15</v>
      </c>
      <c r="W199">
        <f t="shared" ref="W199:W204" si="67">I199*I$5</f>
        <v>381.70000000000005</v>
      </c>
      <c r="X199">
        <f t="shared" ref="X199:X204" si="68">J199*J$5</f>
        <v>438.75</v>
      </c>
      <c r="Y199">
        <f t="shared" ref="Y199:Y204" si="69">K199*K$5</f>
        <v>284.7</v>
      </c>
      <c r="Z199">
        <f t="shared" ref="Z199:Z204" si="70">L199*L$5</f>
        <v>179.89999999999998</v>
      </c>
      <c r="AA199">
        <f t="shared" ref="AA199:AA204" si="71">M199*M$5</f>
        <v>27.450000000000003</v>
      </c>
      <c r="AB199" s="4">
        <f t="shared" ref="AB199:AB203" si="72">SUM(S199:AA199)/$C199</f>
        <v>0.31277012198738613</v>
      </c>
    </row>
    <row r="200" spans="1:28" x14ac:dyDescent="0.35">
      <c r="A200" s="13" t="s">
        <v>389</v>
      </c>
      <c r="B200" s="13">
        <v>160</v>
      </c>
      <c r="C200">
        <f>VLOOKUP(CONCATENATE("2022",'2022_60'!A200),aktivnepesseg!$C$2:$D$2226,2,FALSE)</f>
        <v>11294</v>
      </c>
      <c r="D200" s="13">
        <v>9228</v>
      </c>
      <c r="E200">
        <f t="shared" si="62"/>
        <v>2066</v>
      </c>
      <c r="F200" s="13">
        <v>1284</v>
      </c>
      <c r="G200" s="13">
        <v>464</v>
      </c>
      <c r="H200" s="13">
        <v>241</v>
      </c>
      <c r="I200" s="13">
        <v>288</v>
      </c>
      <c r="J200" s="13">
        <v>678</v>
      </c>
      <c r="K200" s="13">
        <v>315</v>
      </c>
      <c r="L200" s="13">
        <v>254</v>
      </c>
      <c r="M200" s="13">
        <v>132</v>
      </c>
      <c r="N200" s="13">
        <v>557</v>
      </c>
      <c r="O200" s="13">
        <v>431</v>
      </c>
      <c r="P200" s="13">
        <v>1477</v>
      </c>
      <c r="Q200" s="13">
        <v>942</v>
      </c>
      <c r="R200" s="13">
        <v>2155</v>
      </c>
      <c r="S200">
        <f t="shared" si="63"/>
        <v>2066</v>
      </c>
      <c r="T200">
        <f t="shared" si="64"/>
        <v>1187.7</v>
      </c>
      <c r="U200">
        <f t="shared" si="65"/>
        <v>359.6</v>
      </c>
      <c r="V200">
        <f t="shared" si="66"/>
        <v>156.65</v>
      </c>
      <c r="W200">
        <f t="shared" si="67"/>
        <v>158.4</v>
      </c>
      <c r="X200">
        <f t="shared" si="68"/>
        <v>305.10000000000002</v>
      </c>
      <c r="Y200">
        <f t="shared" si="69"/>
        <v>102.375</v>
      </c>
      <c r="Z200">
        <f t="shared" si="70"/>
        <v>44.449999999999996</v>
      </c>
      <c r="AA200">
        <f t="shared" si="71"/>
        <v>6.6000000000000005</v>
      </c>
      <c r="AB200" s="4">
        <f t="shared" si="72"/>
        <v>0.38842527005489641</v>
      </c>
    </row>
    <row r="201" spans="1:28" x14ac:dyDescent="0.35">
      <c r="A201" s="13" t="s">
        <v>391</v>
      </c>
      <c r="B201" s="13">
        <v>197</v>
      </c>
      <c r="C201">
        <f>VLOOKUP(CONCATENATE("2022",'2022_60'!A201),aktivnepesseg!$C$2:$D$2226,2,FALSE)</f>
        <v>60253</v>
      </c>
      <c r="D201" s="13">
        <v>52186</v>
      </c>
      <c r="E201">
        <f t="shared" si="62"/>
        <v>8067</v>
      </c>
      <c r="F201" s="13">
        <v>6806</v>
      </c>
      <c r="G201" s="13">
        <v>1947</v>
      </c>
      <c r="H201" s="13">
        <v>1061</v>
      </c>
      <c r="I201" s="13">
        <v>806</v>
      </c>
      <c r="J201" s="13">
        <v>1230</v>
      </c>
      <c r="K201" s="13">
        <v>1142</v>
      </c>
      <c r="L201" s="13">
        <v>1329</v>
      </c>
      <c r="M201" s="13">
        <v>641</v>
      </c>
      <c r="N201" s="13">
        <v>2880</v>
      </c>
      <c r="O201" s="13">
        <v>2589</v>
      </c>
      <c r="P201" s="13">
        <v>9333</v>
      </c>
      <c r="Q201" s="13">
        <v>6881</v>
      </c>
      <c r="R201" s="13">
        <v>15222</v>
      </c>
      <c r="S201">
        <f t="shared" si="63"/>
        <v>8067</v>
      </c>
      <c r="T201">
        <f t="shared" si="64"/>
        <v>6295.55</v>
      </c>
      <c r="U201">
        <f t="shared" si="65"/>
        <v>1508.925</v>
      </c>
      <c r="V201">
        <f t="shared" si="66"/>
        <v>689.65</v>
      </c>
      <c r="W201">
        <f t="shared" si="67"/>
        <v>443.3</v>
      </c>
      <c r="X201">
        <f t="shared" si="68"/>
        <v>553.5</v>
      </c>
      <c r="Y201">
        <f t="shared" si="69"/>
        <v>371.15000000000003</v>
      </c>
      <c r="Z201">
        <f t="shared" si="70"/>
        <v>232.57499999999999</v>
      </c>
      <c r="AA201">
        <f t="shared" si="71"/>
        <v>32.050000000000004</v>
      </c>
      <c r="AB201" s="4">
        <f t="shared" si="72"/>
        <v>0.30195508937314325</v>
      </c>
    </row>
    <row r="202" spans="1:28" x14ac:dyDescent="0.35">
      <c r="A202" s="13" t="s">
        <v>393</v>
      </c>
      <c r="B202" s="13">
        <v>198</v>
      </c>
      <c r="C202">
        <f>VLOOKUP(CONCATENATE("2022",'2022_60'!A202),aktivnepesseg!$C$2:$D$2226,2,FALSE)</f>
        <v>8901</v>
      </c>
      <c r="D202" s="13">
        <v>7350</v>
      </c>
      <c r="E202">
        <f t="shared" si="62"/>
        <v>1551</v>
      </c>
      <c r="F202" s="13">
        <v>1145</v>
      </c>
      <c r="G202" s="13">
        <v>309</v>
      </c>
      <c r="H202" s="13">
        <v>170</v>
      </c>
      <c r="I202" s="13">
        <v>112</v>
      </c>
      <c r="J202" s="13">
        <v>220</v>
      </c>
      <c r="K202" s="13">
        <v>148</v>
      </c>
      <c r="L202" s="13">
        <v>217</v>
      </c>
      <c r="M202" s="13">
        <v>132</v>
      </c>
      <c r="N202" s="13">
        <v>492</v>
      </c>
      <c r="O202" s="13">
        <v>469</v>
      </c>
      <c r="P202" s="13">
        <v>1518</v>
      </c>
      <c r="Q202" s="13">
        <v>856</v>
      </c>
      <c r="R202" s="13">
        <v>1484</v>
      </c>
      <c r="S202">
        <f t="shared" si="63"/>
        <v>1551</v>
      </c>
      <c r="T202">
        <f t="shared" si="64"/>
        <v>1059.125</v>
      </c>
      <c r="U202">
        <f t="shared" si="65"/>
        <v>239.47499999999999</v>
      </c>
      <c r="V202">
        <f t="shared" si="66"/>
        <v>110.5</v>
      </c>
      <c r="W202">
        <f t="shared" si="67"/>
        <v>61.600000000000009</v>
      </c>
      <c r="X202">
        <f t="shared" si="68"/>
        <v>99</v>
      </c>
      <c r="Y202">
        <f t="shared" si="69"/>
        <v>48.1</v>
      </c>
      <c r="Z202">
        <f t="shared" si="70"/>
        <v>37.974999999999994</v>
      </c>
      <c r="AA202">
        <f t="shared" si="71"/>
        <v>6.6000000000000005</v>
      </c>
      <c r="AB202" s="4">
        <f t="shared" si="72"/>
        <v>0.36101280754971349</v>
      </c>
    </row>
    <row r="203" spans="1:28" x14ac:dyDescent="0.35">
      <c r="A203" s="13" t="s">
        <v>395</v>
      </c>
      <c r="B203" s="13">
        <v>192</v>
      </c>
      <c r="C203">
        <f>VLOOKUP(CONCATENATE("2022",'2022_60'!A203),aktivnepesseg!$C$2:$D$2226,2,FALSE)</f>
        <v>11752</v>
      </c>
      <c r="D203" s="13">
        <v>10275</v>
      </c>
      <c r="E203">
        <f t="shared" si="62"/>
        <v>1477</v>
      </c>
      <c r="F203" s="13">
        <v>1187</v>
      </c>
      <c r="G203" s="13">
        <v>310</v>
      </c>
      <c r="H203" s="13">
        <v>160</v>
      </c>
      <c r="I203" s="13">
        <v>179</v>
      </c>
      <c r="J203" s="13">
        <v>211</v>
      </c>
      <c r="K203" s="13">
        <v>203</v>
      </c>
      <c r="L203" s="13">
        <v>241</v>
      </c>
      <c r="M203" s="13">
        <v>152</v>
      </c>
      <c r="N203" s="13">
        <v>603</v>
      </c>
      <c r="O203" s="13">
        <v>612</v>
      </c>
      <c r="P203" s="13">
        <v>1979</v>
      </c>
      <c r="Q203" s="13">
        <v>1427</v>
      </c>
      <c r="R203" s="13">
        <v>2988</v>
      </c>
      <c r="S203">
        <f t="shared" si="63"/>
        <v>1477</v>
      </c>
      <c r="T203">
        <f t="shared" si="64"/>
        <v>1097.9750000000001</v>
      </c>
      <c r="U203">
        <f t="shared" si="65"/>
        <v>240.25</v>
      </c>
      <c r="V203">
        <f t="shared" si="66"/>
        <v>104</v>
      </c>
      <c r="W203">
        <f t="shared" si="67"/>
        <v>98.45</v>
      </c>
      <c r="X203">
        <f t="shared" si="68"/>
        <v>94.95</v>
      </c>
      <c r="Y203">
        <f t="shared" si="69"/>
        <v>65.975000000000009</v>
      </c>
      <c r="Z203">
        <f t="shared" si="70"/>
        <v>42.174999999999997</v>
      </c>
      <c r="AA203">
        <f t="shared" si="71"/>
        <v>7.6000000000000005</v>
      </c>
      <c r="AB203" s="4">
        <f t="shared" si="72"/>
        <v>0.27470856024506468</v>
      </c>
    </row>
    <row r="204" spans="1:28" x14ac:dyDescent="0.35">
      <c r="A204" s="6" t="s">
        <v>432</v>
      </c>
      <c r="C204">
        <f>SUM(C7:C203)</f>
        <v>6135730</v>
      </c>
      <c r="D204" s="20">
        <f>SUM(F204:R204)</f>
        <v>5037935</v>
      </c>
      <c r="E204" s="20">
        <f>C204-D204</f>
        <v>1097795</v>
      </c>
      <c r="F204" s="21">
        <f t="shared" ref="F204:R204" si="73">SUM(F7:F203)</f>
        <v>674536</v>
      </c>
      <c r="G204" s="21">
        <f t="shared" si="73"/>
        <v>198235</v>
      </c>
      <c r="H204" s="21">
        <f t="shared" si="73"/>
        <v>119545</v>
      </c>
      <c r="I204" s="21">
        <f t="shared" si="73"/>
        <v>97366</v>
      </c>
      <c r="J204" s="21">
        <f t="shared" si="73"/>
        <v>162192</v>
      </c>
      <c r="K204" s="21">
        <f t="shared" si="73"/>
        <v>127191</v>
      </c>
      <c r="L204" s="21">
        <f t="shared" si="73"/>
        <v>146322</v>
      </c>
      <c r="M204" s="21">
        <f t="shared" si="73"/>
        <v>74168</v>
      </c>
      <c r="N204" s="21">
        <f t="shared" si="73"/>
        <v>294791</v>
      </c>
      <c r="O204" s="21">
        <f t="shared" si="73"/>
        <v>240193</v>
      </c>
      <c r="P204" s="21">
        <f t="shared" si="73"/>
        <v>784550</v>
      </c>
      <c r="Q204" s="21">
        <f t="shared" si="73"/>
        <v>531302</v>
      </c>
      <c r="R204" s="21">
        <f t="shared" si="73"/>
        <v>1587544</v>
      </c>
      <c r="S204">
        <f t="shared" si="63"/>
        <v>1097795</v>
      </c>
      <c r="T204">
        <f t="shared" si="64"/>
        <v>623945.80000000005</v>
      </c>
      <c r="U204">
        <f t="shared" si="65"/>
        <v>153632.125</v>
      </c>
      <c r="V204">
        <f t="shared" si="66"/>
        <v>77704.25</v>
      </c>
      <c r="W204">
        <f t="shared" si="67"/>
        <v>53551.3</v>
      </c>
      <c r="X204">
        <f t="shared" si="68"/>
        <v>72986.400000000009</v>
      </c>
      <c r="Y204">
        <f t="shared" si="69"/>
        <v>41337.075000000004</v>
      </c>
      <c r="Z204">
        <f t="shared" si="70"/>
        <v>25606.35</v>
      </c>
      <c r="AA204">
        <f t="shared" si="71"/>
        <v>3708.4</v>
      </c>
      <c r="AB204" s="4">
        <f t="shared" ref="AB204" si="74">SUM(S204:AA204)/$C204</f>
        <v>0.35045001980204477</v>
      </c>
    </row>
    <row r="205" spans="1:28" x14ac:dyDescent="0.35">
      <c r="A205" s="13" t="s">
        <v>497</v>
      </c>
      <c r="C205">
        <f>SUM(C7:C203)</f>
        <v>6135730</v>
      </c>
      <c r="D205" s="19">
        <f>SUM(D7:D203)</f>
        <v>5044045</v>
      </c>
      <c r="E205">
        <f>SUM(E7:E203)</f>
        <v>1091685</v>
      </c>
      <c r="F205">
        <f t="shared" ref="F205:R205" si="75">SUM(F7:F203)</f>
        <v>674536</v>
      </c>
      <c r="G205">
        <f t="shared" si="75"/>
        <v>198235</v>
      </c>
      <c r="H205">
        <f t="shared" si="75"/>
        <v>119545</v>
      </c>
      <c r="I205">
        <f t="shared" si="75"/>
        <v>97366</v>
      </c>
      <c r="J205">
        <f t="shared" si="75"/>
        <v>162192</v>
      </c>
      <c r="K205">
        <f t="shared" si="75"/>
        <v>127191</v>
      </c>
      <c r="L205">
        <f t="shared" si="75"/>
        <v>146322</v>
      </c>
      <c r="M205">
        <f t="shared" si="75"/>
        <v>74168</v>
      </c>
      <c r="N205">
        <f t="shared" si="75"/>
        <v>294791</v>
      </c>
      <c r="O205">
        <f t="shared" si="75"/>
        <v>240193</v>
      </c>
      <c r="P205">
        <f t="shared" si="75"/>
        <v>784550</v>
      </c>
      <c r="Q205">
        <f t="shared" si="75"/>
        <v>531302</v>
      </c>
      <c r="R205">
        <f t="shared" si="75"/>
        <v>1587544</v>
      </c>
    </row>
    <row r="206" spans="1:28" x14ac:dyDescent="0.35">
      <c r="A206" s="13" t="s">
        <v>39</v>
      </c>
      <c r="B206" s="13">
        <v>999</v>
      </c>
      <c r="C206">
        <f>VLOOKUP(CONCATENATE("2022",'2022_60'!A206),aktivnepesseg!$C$2:$D$2226,2,FALSE)</f>
        <v>1105608</v>
      </c>
      <c r="D206" s="13">
        <v>868434</v>
      </c>
      <c r="E206">
        <f>C206-D206</f>
        <v>237174</v>
      </c>
      <c r="F206" s="13">
        <v>106637</v>
      </c>
      <c r="G206" s="13">
        <v>32983</v>
      </c>
      <c r="H206" s="13">
        <v>21750</v>
      </c>
      <c r="I206" s="13">
        <v>16251</v>
      </c>
      <c r="J206" s="13">
        <v>23490</v>
      </c>
      <c r="K206" s="13">
        <v>20882</v>
      </c>
      <c r="L206" s="13">
        <v>24854</v>
      </c>
      <c r="M206" s="13">
        <v>11987</v>
      </c>
      <c r="N206" s="13">
        <v>48268</v>
      </c>
      <c r="O206" s="13">
        <v>34305</v>
      </c>
      <c r="P206" s="13">
        <v>103104</v>
      </c>
      <c r="Q206" s="13">
        <v>73934</v>
      </c>
      <c r="R206" s="13">
        <v>349989</v>
      </c>
      <c r="S206">
        <f t="shared" ref="S206:AA206" si="76">E206*E$5</f>
        <v>237174</v>
      </c>
      <c r="T206">
        <f t="shared" si="76"/>
        <v>98639.225000000006</v>
      </c>
      <c r="U206">
        <f t="shared" si="76"/>
        <v>25561.825000000001</v>
      </c>
      <c r="V206">
        <f t="shared" si="76"/>
        <v>14137.5</v>
      </c>
      <c r="W206">
        <f t="shared" si="76"/>
        <v>8938.0500000000011</v>
      </c>
      <c r="X206">
        <f t="shared" si="76"/>
        <v>10570.5</v>
      </c>
      <c r="Y206">
        <f t="shared" si="76"/>
        <v>6786.6500000000005</v>
      </c>
      <c r="Z206">
        <f t="shared" si="76"/>
        <v>4349.45</v>
      </c>
      <c r="AA206">
        <f t="shared" si="76"/>
        <v>599.35</v>
      </c>
      <c r="AB206" s="4">
        <f>SUM(S206:AA206)/$C206</f>
        <v>0.36790304520227785</v>
      </c>
    </row>
    <row r="208" spans="1:28" x14ac:dyDescent="0.35">
      <c r="A208" t="s">
        <v>433</v>
      </c>
      <c r="C208">
        <f>C204</f>
        <v>6135730</v>
      </c>
      <c r="D208" s="19">
        <f>D204</f>
        <v>5037935</v>
      </c>
      <c r="E208" s="19">
        <f>E204</f>
        <v>1097795</v>
      </c>
      <c r="F208">
        <f t="shared" ref="F208:R208" si="77">F204</f>
        <v>674536</v>
      </c>
      <c r="G208">
        <f t="shared" si="77"/>
        <v>198235</v>
      </c>
      <c r="H208">
        <f t="shared" si="77"/>
        <v>119545</v>
      </c>
      <c r="I208">
        <f t="shared" si="77"/>
        <v>97366</v>
      </c>
      <c r="J208">
        <f t="shared" si="77"/>
        <v>162192</v>
      </c>
      <c r="K208">
        <f t="shared" si="77"/>
        <v>127191</v>
      </c>
      <c r="L208">
        <f t="shared" si="77"/>
        <v>146322</v>
      </c>
      <c r="M208">
        <f t="shared" si="77"/>
        <v>74168</v>
      </c>
      <c r="N208">
        <f t="shared" si="77"/>
        <v>294791</v>
      </c>
      <c r="O208">
        <f t="shared" si="77"/>
        <v>240193</v>
      </c>
      <c r="P208">
        <f t="shared" si="77"/>
        <v>784550</v>
      </c>
      <c r="Q208">
        <f t="shared" si="77"/>
        <v>531302</v>
      </c>
      <c r="R208">
        <f t="shared" si="77"/>
        <v>1587544</v>
      </c>
    </row>
    <row r="209" spans="1:18" x14ac:dyDescent="0.35">
      <c r="A209" t="s">
        <v>493</v>
      </c>
      <c r="F209">
        <f>F208/$D$208</f>
        <v>0.13389136620460565</v>
      </c>
      <c r="G209">
        <f t="shared" ref="G209:R209" si="78">G208/$D$208</f>
        <v>3.9348463209628551E-2</v>
      </c>
      <c r="H209">
        <f t="shared" si="78"/>
        <v>2.3728968317376069E-2</v>
      </c>
      <c r="I209">
        <f t="shared" si="78"/>
        <v>1.9326569318579935E-2</v>
      </c>
      <c r="J209">
        <f t="shared" si="78"/>
        <v>3.2194143036779949E-2</v>
      </c>
      <c r="K209">
        <f t="shared" si="78"/>
        <v>2.5246653638842105E-2</v>
      </c>
      <c r="L209">
        <f t="shared" si="78"/>
        <v>2.9044042846920415E-2</v>
      </c>
      <c r="M209">
        <f t="shared" si="78"/>
        <v>1.4721904907467047E-2</v>
      </c>
      <c r="N209">
        <f t="shared" si="78"/>
        <v>5.8514252367289375E-2</v>
      </c>
      <c r="O209">
        <f t="shared" si="78"/>
        <v>4.7676875545238279E-2</v>
      </c>
      <c r="P209">
        <f t="shared" si="78"/>
        <v>0.15572848796183356</v>
      </c>
      <c r="Q209">
        <f t="shared" si="78"/>
        <v>0.1054602729094361</v>
      </c>
      <c r="R209">
        <f t="shared" si="78"/>
        <v>0.31511799973600296</v>
      </c>
    </row>
    <row r="210" spans="1:18" x14ac:dyDescent="0.35">
      <c r="A210" t="s">
        <v>494</v>
      </c>
      <c r="F210">
        <f>F209</f>
        <v>0.13389136620460565</v>
      </c>
      <c r="G210">
        <f>G209+F210</f>
        <v>0.17323982941423421</v>
      </c>
      <c r="H210">
        <f t="shared" ref="H210:R210" si="79">H209+G210</f>
        <v>0.19696879773161027</v>
      </c>
      <c r="I210">
        <f t="shared" si="79"/>
        <v>0.2162953670501902</v>
      </c>
      <c r="J210">
        <f t="shared" si="79"/>
        <v>0.24848951008697015</v>
      </c>
      <c r="K210">
        <f t="shared" si="79"/>
        <v>0.27373616372581228</v>
      </c>
      <c r="L210">
        <f t="shared" si="79"/>
        <v>0.30278020657273269</v>
      </c>
      <c r="M210">
        <f t="shared" si="79"/>
        <v>0.31750211148019974</v>
      </c>
      <c r="N210">
        <f t="shared" si="79"/>
        <v>0.3760163638474891</v>
      </c>
      <c r="O210">
        <f t="shared" si="79"/>
        <v>0.42369323939272741</v>
      </c>
      <c r="P210">
        <f t="shared" si="79"/>
        <v>0.57942172735456099</v>
      </c>
      <c r="Q210">
        <f t="shared" si="79"/>
        <v>0.68488200026399704</v>
      </c>
      <c r="R210">
        <f t="shared" si="79"/>
        <v>1</v>
      </c>
    </row>
    <row r="211" spans="1:18" x14ac:dyDescent="0.35">
      <c r="A211" t="s">
        <v>495</v>
      </c>
      <c r="D211" s="2">
        <f>D208/C208</f>
        <v>0.82108159909252854</v>
      </c>
      <c r="E211">
        <f>E208/$C$208</f>
        <v>0.17891840090747149</v>
      </c>
      <c r="F211">
        <f t="shared" ref="F211:R211" si="80">F208/$C$208</f>
        <v>0.10993573706796095</v>
      </c>
      <c r="G211">
        <f t="shared" si="80"/>
        <v>3.2308299093995338E-2</v>
      </c>
      <c r="H211">
        <f t="shared" si="80"/>
        <v>1.9483419250847088E-2</v>
      </c>
      <c r="I211">
        <f t="shared" si="80"/>
        <v>1.5868690441072211E-2</v>
      </c>
      <c r="J211">
        <f t="shared" si="80"/>
        <v>2.6434018446052875E-2</v>
      </c>
      <c r="K211">
        <f t="shared" si="80"/>
        <v>2.0729562741515679E-2</v>
      </c>
      <c r="L211">
        <f t="shared" si="80"/>
        <v>2.3847529144861327E-2</v>
      </c>
      <c r="M211">
        <f t="shared" si="80"/>
        <v>1.2087885223111187E-2</v>
      </c>
      <c r="N211">
        <f t="shared" si="80"/>
        <v>4.8044975903437731E-2</v>
      </c>
      <c r="O211">
        <f t="shared" si="80"/>
        <v>3.9146605212419715E-2</v>
      </c>
      <c r="P211">
        <f t="shared" si="80"/>
        <v>0.12786579591996389</v>
      </c>
      <c r="Q211">
        <f t="shared" si="80"/>
        <v>8.659148952121426E-2</v>
      </c>
      <c r="R211">
        <f t="shared" si="80"/>
        <v>0.25873759112607631</v>
      </c>
    </row>
    <row r="212" spans="1:18" x14ac:dyDescent="0.35">
      <c r="A212" t="s">
        <v>496</v>
      </c>
      <c r="E212">
        <f>E211</f>
        <v>0.17891840090747149</v>
      </c>
      <c r="F212">
        <f>F211+E212</f>
        <v>0.28885413797543247</v>
      </c>
      <c r="G212">
        <f t="shared" ref="G212:R212" si="81">G211+F212</f>
        <v>0.32116243706942782</v>
      </c>
      <c r="H212">
        <f t="shared" si="81"/>
        <v>0.34064585632027489</v>
      </c>
      <c r="I212">
        <f t="shared" si="81"/>
        <v>0.35651454676134708</v>
      </c>
      <c r="J212">
        <f t="shared" si="81"/>
        <v>0.38294856520739995</v>
      </c>
      <c r="K212">
        <f t="shared" si="81"/>
        <v>0.40367812794891561</v>
      </c>
      <c r="L212">
        <f t="shared" si="81"/>
        <v>0.42752565709377693</v>
      </c>
      <c r="M212">
        <f t="shared" si="81"/>
        <v>0.4396135423168881</v>
      </c>
      <c r="N212">
        <f t="shared" si="81"/>
        <v>0.4876585182203258</v>
      </c>
      <c r="O212">
        <f t="shared" si="81"/>
        <v>0.52680512343274555</v>
      </c>
      <c r="P212">
        <f t="shared" si="81"/>
        <v>0.65467091935270938</v>
      </c>
      <c r="Q212">
        <f t="shared" si="81"/>
        <v>0.74126240887392369</v>
      </c>
      <c r="R212">
        <f t="shared" si="81"/>
        <v>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9798-FC0B-444C-B2E8-760C683CCE36}">
  <dimension ref="A1:AQ211"/>
  <sheetViews>
    <sheetView tabSelected="1" workbookViewId="0">
      <pane xSplit="1" ySplit="7" topLeftCell="M8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defaultRowHeight="15.5" x14ac:dyDescent="0.35"/>
  <cols>
    <col min="1" max="1" width="14.83203125" customWidth="1"/>
    <col min="6" max="20" width="16.08203125" customWidth="1"/>
  </cols>
  <sheetData>
    <row r="1" spans="1:43" x14ac:dyDescent="0.35">
      <c r="A1" t="s">
        <v>397</v>
      </c>
      <c r="D1" t="s">
        <v>398</v>
      </c>
      <c r="E1">
        <v>0</v>
      </c>
      <c r="F1">
        <v>0</v>
      </c>
      <c r="G1">
        <f>F2</f>
        <v>300</v>
      </c>
      <c r="H1">
        <f t="shared" ref="H1:T1" si="0">G2</f>
        <v>600</v>
      </c>
      <c r="I1">
        <f t="shared" si="0"/>
        <v>800</v>
      </c>
      <c r="J1">
        <f t="shared" si="0"/>
        <v>1000</v>
      </c>
      <c r="K1">
        <f t="shared" si="0"/>
        <v>1200</v>
      </c>
      <c r="L1">
        <f t="shared" si="0"/>
        <v>1500</v>
      </c>
      <c r="M1">
        <f t="shared" si="0"/>
        <v>1800</v>
      </c>
      <c r="N1">
        <f t="shared" si="0"/>
        <v>2000</v>
      </c>
      <c r="O1">
        <f t="shared" si="0"/>
        <v>2500</v>
      </c>
      <c r="P1">
        <f t="shared" si="0"/>
        <v>3000</v>
      </c>
      <c r="Q1">
        <f t="shared" si="0"/>
        <v>4000</v>
      </c>
      <c r="R1">
        <f t="shared" si="0"/>
        <v>5000</v>
      </c>
      <c r="S1">
        <f t="shared" si="0"/>
        <v>10000</v>
      </c>
      <c r="T1">
        <f t="shared" si="0"/>
        <v>20000</v>
      </c>
      <c r="U1" s="6" t="s">
        <v>399</v>
      </c>
      <c r="AG1" t="s">
        <v>533</v>
      </c>
    </row>
    <row r="2" spans="1:43" x14ac:dyDescent="0.35">
      <c r="A2" s="22">
        <v>5000</v>
      </c>
      <c r="D2" t="s">
        <v>400</v>
      </c>
      <c r="E2">
        <v>0</v>
      </c>
      <c r="F2">
        <v>300</v>
      </c>
      <c r="G2">
        <v>600</v>
      </c>
      <c r="H2">
        <v>800</v>
      </c>
      <c r="I2">
        <v>1000</v>
      </c>
      <c r="J2">
        <v>1200</v>
      </c>
      <c r="K2">
        <v>1500</v>
      </c>
      <c r="L2">
        <v>1800</v>
      </c>
      <c r="M2">
        <v>2000</v>
      </c>
      <c r="N2">
        <v>2500</v>
      </c>
      <c r="O2">
        <v>3000</v>
      </c>
      <c r="P2">
        <v>4000</v>
      </c>
      <c r="Q2">
        <v>5000</v>
      </c>
      <c r="R2">
        <v>10000</v>
      </c>
      <c r="S2">
        <v>20000</v>
      </c>
      <c r="U2" t="s">
        <v>401</v>
      </c>
    </row>
    <row r="3" spans="1:43" x14ac:dyDescent="0.35">
      <c r="A3" s="40">
        <v>3000</v>
      </c>
      <c r="D3" t="s">
        <v>402</v>
      </c>
      <c r="E3">
        <v>0</v>
      </c>
      <c r="F3">
        <f>AVERAGE(F1:F2)</f>
        <v>150</v>
      </c>
      <c r="G3">
        <f t="shared" ref="G3:S3" si="1">AVERAGE(G1:G2)</f>
        <v>450</v>
      </c>
      <c r="H3">
        <f t="shared" si="1"/>
        <v>700</v>
      </c>
      <c r="I3">
        <f t="shared" si="1"/>
        <v>900</v>
      </c>
      <c r="J3">
        <f t="shared" si="1"/>
        <v>1100</v>
      </c>
      <c r="K3">
        <f t="shared" si="1"/>
        <v>1350</v>
      </c>
      <c r="L3">
        <f t="shared" si="1"/>
        <v>1650</v>
      </c>
      <c r="M3">
        <f t="shared" si="1"/>
        <v>1900</v>
      </c>
      <c r="N3">
        <f t="shared" si="1"/>
        <v>2250</v>
      </c>
      <c r="O3">
        <f t="shared" si="1"/>
        <v>2750</v>
      </c>
      <c r="P3">
        <f t="shared" si="1"/>
        <v>3500</v>
      </c>
      <c r="Q3">
        <f t="shared" si="1"/>
        <v>4500</v>
      </c>
      <c r="R3">
        <f t="shared" si="1"/>
        <v>7500</v>
      </c>
      <c r="S3">
        <f t="shared" si="1"/>
        <v>15000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43" x14ac:dyDescent="0.35">
      <c r="A4" s="2">
        <v>2500</v>
      </c>
      <c r="D4" s="22" t="s">
        <v>403</v>
      </c>
      <c r="E4" s="22">
        <f>($A$2-E3)/$A$2</f>
        <v>1</v>
      </c>
      <c r="F4" s="22">
        <f>($A$2-F3)/$A$2</f>
        <v>0.97</v>
      </c>
      <c r="G4" s="22">
        <f t="shared" ref="G4:Q4" si="2">($A$2-G3)/$A$2</f>
        <v>0.91</v>
      </c>
      <c r="H4" s="22">
        <f t="shared" si="2"/>
        <v>0.86</v>
      </c>
      <c r="I4" s="22">
        <f t="shared" si="2"/>
        <v>0.82</v>
      </c>
      <c r="J4" s="22">
        <f t="shared" si="2"/>
        <v>0.78</v>
      </c>
      <c r="K4" s="22">
        <f t="shared" si="2"/>
        <v>0.73</v>
      </c>
      <c r="L4" s="22">
        <f t="shared" si="2"/>
        <v>0.67</v>
      </c>
      <c r="M4" s="22">
        <f t="shared" si="2"/>
        <v>0.62</v>
      </c>
      <c r="N4" s="22">
        <f t="shared" si="2"/>
        <v>0.55000000000000004</v>
      </c>
      <c r="O4" s="22">
        <f t="shared" si="2"/>
        <v>0.45</v>
      </c>
      <c r="P4" s="22">
        <f t="shared" si="2"/>
        <v>0.3</v>
      </c>
      <c r="Q4" s="22">
        <f t="shared" si="2"/>
        <v>0.1</v>
      </c>
      <c r="R4" s="22"/>
      <c r="S4" s="22"/>
      <c r="U4" t="s">
        <v>404</v>
      </c>
    </row>
    <row r="5" spans="1:43" x14ac:dyDescent="0.35">
      <c r="A5" t="s">
        <v>540</v>
      </c>
      <c r="D5" s="22" t="s">
        <v>405</v>
      </c>
      <c r="E5" s="22">
        <f>($A$3-E3)/$A$3</f>
        <v>1</v>
      </c>
      <c r="F5" s="22">
        <f>($A$3-F3)/$A$3</f>
        <v>0.95</v>
      </c>
      <c r="G5" s="22">
        <f t="shared" ref="G5:P5" si="3">($A$3-G3)/$A$3</f>
        <v>0.85</v>
      </c>
      <c r="H5" s="22">
        <f t="shared" si="3"/>
        <v>0.76666666666666672</v>
      </c>
      <c r="I5" s="22">
        <f t="shared" si="3"/>
        <v>0.7</v>
      </c>
      <c r="J5" s="22">
        <f t="shared" si="3"/>
        <v>0.6333333333333333</v>
      </c>
      <c r="K5" s="22">
        <f t="shared" si="3"/>
        <v>0.55000000000000004</v>
      </c>
      <c r="L5" s="22">
        <f t="shared" si="3"/>
        <v>0.45</v>
      </c>
      <c r="M5" s="22">
        <f t="shared" si="3"/>
        <v>0.36666666666666664</v>
      </c>
      <c r="N5" s="22">
        <f t="shared" si="3"/>
        <v>0.25</v>
      </c>
      <c r="O5" s="22">
        <f t="shared" si="3"/>
        <v>8.3333333333333329E-2</v>
      </c>
      <c r="P5" s="22">
        <f t="shared" si="3"/>
        <v>-0.16666666666666666</v>
      </c>
      <c r="Q5" s="22"/>
      <c r="R5" s="22"/>
      <c r="S5" s="22"/>
    </row>
    <row r="6" spans="1:43" x14ac:dyDescent="0.35">
      <c r="D6" t="s">
        <v>534</v>
      </c>
      <c r="E6">
        <v>1</v>
      </c>
      <c r="F6">
        <f>($A$4-F3)/$A$4</f>
        <v>0.94</v>
      </c>
      <c r="G6">
        <f t="shared" ref="G6:N6" si="4">($A$4-G3)/$A$4</f>
        <v>0.82</v>
      </c>
      <c r="H6">
        <f t="shared" si="4"/>
        <v>0.72</v>
      </c>
      <c r="I6">
        <f t="shared" si="4"/>
        <v>0.64</v>
      </c>
      <c r="J6">
        <f t="shared" si="4"/>
        <v>0.56000000000000005</v>
      </c>
      <c r="K6">
        <f t="shared" si="4"/>
        <v>0.46</v>
      </c>
      <c r="L6">
        <f t="shared" si="4"/>
        <v>0.34</v>
      </c>
      <c r="M6">
        <f t="shared" si="4"/>
        <v>0.24</v>
      </c>
      <c r="N6">
        <f t="shared" si="4"/>
        <v>0.1</v>
      </c>
    </row>
    <row r="7" spans="1:43" s="1" customFormat="1" ht="108.5" x14ac:dyDescent="0.35">
      <c r="B7" s="1" t="s">
        <v>0</v>
      </c>
      <c r="C7" s="1" t="s">
        <v>406</v>
      </c>
      <c r="D7" s="1" t="s">
        <v>407</v>
      </c>
      <c r="E7" s="8" t="s">
        <v>408</v>
      </c>
      <c r="F7" s="1" t="s">
        <v>474</v>
      </c>
      <c r="G7" s="1" t="s">
        <v>475</v>
      </c>
      <c r="H7" s="1" t="s">
        <v>476</v>
      </c>
      <c r="I7" s="1" t="s">
        <v>477</v>
      </c>
      <c r="J7" s="1" t="s">
        <v>478</v>
      </c>
      <c r="K7" s="1" t="s">
        <v>479</v>
      </c>
      <c r="L7" s="1" t="s">
        <v>480</v>
      </c>
      <c r="M7" s="1" t="s">
        <v>481</v>
      </c>
      <c r="N7" s="1" t="s">
        <v>482</v>
      </c>
      <c r="O7" s="1" t="s">
        <v>483</v>
      </c>
      <c r="P7" s="1" t="s">
        <v>484</v>
      </c>
      <c r="Q7" s="1" t="s">
        <v>485</v>
      </c>
      <c r="R7" s="1" t="s">
        <v>486</v>
      </c>
      <c r="S7" s="1" t="s">
        <v>487</v>
      </c>
      <c r="T7" s="1" t="s">
        <v>488</v>
      </c>
      <c r="U7" s="7" t="s">
        <v>429</v>
      </c>
      <c r="V7" s="1" t="s">
        <v>450</v>
      </c>
      <c r="W7" s="1" t="s">
        <v>451</v>
      </c>
      <c r="X7" s="1" t="s">
        <v>452</v>
      </c>
      <c r="Y7" s="1" t="s">
        <v>453</v>
      </c>
      <c r="Z7" s="1" t="s">
        <v>454</v>
      </c>
      <c r="AA7" s="1" t="s">
        <v>469</v>
      </c>
      <c r="AB7" s="1" t="s">
        <v>470</v>
      </c>
      <c r="AC7" s="1" t="s">
        <v>471</v>
      </c>
      <c r="AD7" s="1" t="s">
        <v>472</v>
      </c>
      <c r="AE7" s="1" t="s">
        <v>473</v>
      </c>
      <c r="AF7" s="11" t="s">
        <v>449</v>
      </c>
      <c r="AG7" s="7" t="s">
        <v>429</v>
      </c>
      <c r="AH7" s="1" t="s">
        <v>450</v>
      </c>
      <c r="AI7" s="1" t="s">
        <v>451</v>
      </c>
      <c r="AJ7" s="1" t="s">
        <v>452</v>
      </c>
      <c r="AK7" s="1" t="s">
        <v>453</v>
      </c>
      <c r="AL7" s="1" t="s">
        <v>454</v>
      </c>
      <c r="AM7" s="1" t="s">
        <v>469</v>
      </c>
      <c r="AN7" s="1" t="s">
        <v>470</v>
      </c>
      <c r="AO7" s="1" t="s">
        <v>471</v>
      </c>
      <c r="AP7" s="1" t="s">
        <v>472</v>
      </c>
      <c r="AQ7" s="1" t="s">
        <v>449</v>
      </c>
    </row>
    <row r="8" spans="1:43" x14ac:dyDescent="0.35">
      <c r="A8" t="s">
        <v>1</v>
      </c>
      <c r="B8" t="s">
        <v>2</v>
      </c>
      <c r="C8">
        <f>VLOOKUP(CONCATENATE("2024",'2024_60'!A8),aktivnepesseg!$C$2:$D$2226,2,FALSE)</f>
        <v>23644</v>
      </c>
      <c r="D8">
        <f>SUM(F8:T8)</f>
        <v>19284</v>
      </c>
      <c r="E8">
        <f>C8-D8</f>
        <v>4360</v>
      </c>
      <c r="F8">
        <v>1892</v>
      </c>
      <c r="G8">
        <v>536</v>
      </c>
      <c r="H8">
        <v>304</v>
      </c>
      <c r="I8">
        <v>335</v>
      </c>
      <c r="J8">
        <v>232</v>
      </c>
      <c r="K8">
        <v>352</v>
      </c>
      <c r="L8">
        <v>434</v>
      </c>
      <c r="M8">
        <v>266</v>
      </c>
      <c r="N8">
        <v>523</v>
      </c>
      <c r="O8">
        <v>593</v>
      </c>
      <c r="P8">
        <v>2547</v>
      </c>
      <c r="Q8">
        <v>2220</v>
      </c>
      <c r="R8">
        <v>6955</v>
      </c>
      <c r="S8">
        <v>1841</v>
      </c>
      <c r="T8">
        <v>254</v>
      </c>
      <c r="U8">
        <f t="shared" ref="U8:AE31" si="5">E8*E$5</f>
        <v>4360</v>
      </c>
      <c r="V8">
        <f t="shared" si="5"/>
        <v>1797.3999999999999</v>
      </c>
      <c r="W8">
        <f t="shared" si="5"/>
        <v>455.59999999999997</v>
      </c>
      <c r="X8">
        <f t="shared" si="5"/>
        <v>233.06666666666669</v>
      </c>
      <c r="Y8">
        <f t="shared" si="5"/>
        <v>234.49999999999997</v>
      </c>
      <c r="Z8">
        <f t="shared" si="5"/>
        <v>146.93333333333334</v>
      </c>
      <c r="AA8">
        <f t="shared" si="5"/>
        <v>193.60000000000002</v>
      </c>
      <c r="AB8">
        <f t="shared" si="5"/>
        <v>195.3</v>
      </c>
      <c r="AC8">
        <f t="shared" si="5"/>
        <v>97.533333333333331</v>
      </c>
      <c r="AD8">
        <f t="shared" si="5"/>
        <v>130.75</v>
      </c>
      <c r="AE8">
        <f t="shared" si="5"/>
        <v>49.416666666666664</v>
      </c>
      <c r="AF8" s="12">
        <f t="shared" ref="AF8:AF71" si="6">SUM(U8:AE8)/$C8</f>
        <v>0.3338732870918627</v>
      </c>
      <c r="AG8">
        <f>E8*E$6</f>
        <v>4360</v>
      </c>
      <c r="AH8">
        <f t="shared" ref="AH8:AP8" si="7">F8*F$6</f>
        <v>1778.4799999999998</v>
      </c>
      <c r="AI8">
        <f t="shared" si="7"/>
        <v>439.52</v>
      </c>
      <c r="AJ8">
        <f t="shared" si="7"/>
        <v>218.88</v>
      </c>
      <c r="AK8">
        <f t="shared" si="7"/>
        <v>214.4</v>
      </c>
      <c r="AL8">
        <f t="shared" si="7"/>
        <v>129.92000000000002</v>
      </c>
      <c r="AM8">
        <f t="shared" si="7"/>
        <v>161.92000000000002</v>
      </c>
      <c r="AN8">
        <f t="shared" si="7"/>
        <v>147.56</v>
      </c>
      <c r="AO8">
        <f t="shared" si="7"/>
        <v>63.839999999999996</v>
      </c>
      <c r="AP8">
        <f t="shared" si="7"/>
        <v>52.300000000000004</v>
      </c>
      <c r="AQ8">
        <f>SUM(AG8:AP8)/$C8</f>
        <v>0.32003129758078164</v>
      </c>
    </row>
    <row r="9" spans="1:43" x14ac:dyDescent="0.35">
      <c r="A9" t="s">
        <v>3</v>
      </c>
      <c r="B9" t="s">
        <v>4</v>
      </c>
      <c r="C9">
        <f>VLOOKUP(CONCATENATE("2024",'2024_60'!A9),aktivnepesseg!$C$2:$D$2226,2,FALSE)</f>
        <v>25677</v>
      </c>
      <c r="D9">
        <f t="shared" ref="D9:D72" si="8">SUM(F9:T9)</f>
        <v>20271</v>
      </c>
      <c r="E9">
        <f t="shared" ref="E9:E72" si="9">C9-D9</f>
        <v>5406</v>
      </c>
      <c r="F9">
        <v>1696</v>
      </c>
      <c r="G9">
        <v>563</v>
      </c>
      <c r="H9">
        <v>329</v>
      </c>
      <c r="I9">
        <v>425</v>
      </c>
      <c r="J9">
        <v>265</v>
      </c>
      <c r="K9">
        <v>379</v>
      </c>
      <c r="L9">
        <v>605</v>
      </c>
      <c r="M9">
        <v>337</v>
      </c>
      <c r="N9">
        <v>668</v>
      </c>
      <c r="O9">
        <v>689</v>
      </c>
      <c r="P9">
        <v>2696</v>
      </c>
      <c r="Q9">
        <v>1972</v>
      </c>
      <c r="R9">
        <v>6892</v>
      </c>
      <c r="S9">
        <v>2454</v>
      </c>
      <c r="T9">
        <v>301</v>
      </c>
      <c r="U9">
        <f t="shared" si="5"/>
        <v>5406</v>
      </c>
      <c r="V9">
        <f t="shared" si="5"/>
        <v>1611.1999999999998</v>
      </c>
      <c r="W9">
        <f t="shared" si="5"/>
        <v>478.55</v>
      </c>
      <c r="X9">
        <f t="shared" si="5"/>
        <v>252.23333333333335</v>
      </c>
      <c r="Y9">
        <f t="shared" si="5"/>
        <v>297.5</v>
      </c>
      <c r="Z9">
        <f t="shared" si="5"/>
        <v>167.83333333333331</v>
      </c>
      <c r="AA9">
        <f t="shared" si="5"/>
        <v>208.45000000000002</v>
      </c>
      <c r="AB9">
        <f t="shared" si="5"/>
        <v>272.25</v>
      </c>
      <c r="AC9">
        <f t="shared" si="5"/>
        <v>123.56666666666666</v>
      </c>
      <c r="AD9">
        <f t="shared" si="5"/>
        <v>167</v>
      </c>
      <c r="AE9">
        <f t="shared" si="5"/>
        <v>57.416666666666664</v>
      </c>
      <c r="AF9" s="12">
        <f t="shared" si="6"/>
        <v>0.35214394204930488</v>
      </c>
      <c r="AG9">
        <f t="shared" ref="AG9:AG72" si="10">E9*E$6</f>
        <v>5406</v>
      </c>
      <c r="AH9">
        <f t="shared" ref="AH9:AH72" si="11">F9*F$6</f>
        <v>1594.24</v>
      </c>
      <c r="AI9">
        <f t="shared" ref="AI9:AI72" si="12">G9*G$6</f>
        <v>461.65999999999997</v>
      </c>
      <c r="AJ9">
        <f t="shared" ref="AJ9:AJ72" si="13">H9*H$6</f>
        <v>236.88</v>
      </c>
      <c r="AK9">
        <f t="shared" ref="AK9:AK72" si="14">I9*I$6</f>
        <v>272</v>
      </c>
      <c r="AL9">
        <f t="shared" ref="AL9:AL72" si="15">J9*J$6</f>
        <v>148.4</v>
      </c>
      <c r="AM9">
        <f t="shared" ref="AM9:AM72" si="16">K9*K$6</f>
        <v>174.34</v>
      </c>
      <c r="AN9">
        <f t="shared" ref="AN9:AN72" si="17">L9*L$6</f>
        <v>205.70000000000002</v>
      </c>
      <c r="AO9">
        <f t="shared" ref="AO9:AO72" si="18">M9*M$6</f>
        <v>80.88</v>
      </c>
      <c r="AP9">
        <f t="shared" ref="AP9:AP72" si="19">N9*N$6</f>
        <v>66.8</v>
      </c>
      <c r="AQ9">
        <f t="shared" ref="AQ9:AQ72" si="20">SUM(AG9:AP9)/$C9</f>
        <v>0.33675663044748211</v>
      </c>
    </row>
    <row r="10" spans="1:43" x14ac:dyDescent="0.35">
      <c r="A10" t="s">
        <v>5</v>
      </c>
      <c r="B10" t="s">
        <v>6</v>
      </c>
      <c r="C10">
        <f>VLOOKUP(CONCATENATE("2024",'2024_60'!A10),aktivnepesseg!$C$2:$D$2226,2,FALSE)</f>
        <v>11928</v>
      </c>
      <c r="D10">
        <f t="shared" si="8"/>
        <v>8450</v>
      </c>
      <c r="E10">
        <f t="shared" si="9"/>
        <v>3478</v>
      </c>
      <c r="F10">
        <v>1277</v>
      </c>
      <c r="G10">
        <v>317</v>
      </c>
      <c r="H10">
        <v>159</v>
      </c>
      <c r="I10">
        <v>214</v>
      </c>
      <c r="J10">
        <v>120</v>
      </c>
      <c r="K10">
        <v>236</v>
      </c>
      <c r="L10">
        <v>418</v>
      </c>
      <c r="M10">
        <v>170</v>
      </c>
      <c r="N10">
        <v>306</v>
      </c>
      <c r="O10">
        <v>314</v>
      </c>
      <c r="P10">
        <v>1164</v>
      </c>
      <c r="Q10">
        <v>1039</v>
      </c>
      <c r="R10">
        <v>2318</v>
      </c>
      <c r="S10">
        <v>362</v>
      </c>
      <c r="T10">
        <v>36</v>
      </c>
      <c r="U10">
        <f t="shared" si="5"/>
        <v>3478</v>
      </c>
      <c r="V10">
        <f t="shared" si="5"/>
        <v>1213.1499999999999</v>
      </c>
      <c r="W10">
        <f t="shared" si="5"/>
        <v>269.45</v>
      </c>
      <c r="X10">
        <f t="shared" si="5"/>
        <v>121.9</v>
      </c>
      <c r="Y10">
        <f t="shared" si="5"/>
        <v>149.79999999999998</v>
      </c>
      <c r="Z10">
        <f t="shared" si="5"/>
        <v>76</v>
      </c>
      <c r="AA10">
        <f t="shared" si="5"/>
        <v>129.80000000000001</v>
      </c>
      <c r="AB10">
        <f t="shared" si="5"/>
        <v>188.1</v>
      </c>
      <c r="AC10">
        <f t="shared" si="5"/>
        <v>62.333333333333329</v>
      </c>
      <c r="AD10">
        <f t="shared" si="5"/>
        <v>76.5</v>
      </c>
      <c r="AE10">
        <f t="shared" si="5"/>
        <v>26.166666666666664</v>
      </c>
      <c r="AF10" s="12">
        <f t="shared" si="6"/>
        <v>0.48551307847082492</v>
      </c>
      <c r="AG10">
        <f t="shared" si="10"/>
        <v>3478</v>
      </c>
      <c r="AH10">
        <f t="shared" si="11"/>
        <v>1200.3799999999999</v>
      </c>
      <c r="AI10">
        <f t="shared" si="12"/>
        <v>259.94</v>
      </c>
      <c r="AJ10">
        <f t="shared" si="13"/>
        <v>114.47999999999999</v>
      </c>
      <c r="AK10">
        <f t="shared" si="14"/>
        <v>136.96</v>
      </c>
      <c r="AL10">
        <f t="shared" si="15"/>
        <v>67.2</v>
      </c>
      <c r="AM10">
        <f t="shared" si="16"/>
        <v>108.56</v>
      </c>
      <c r="AN10">
        <f t="shared" si="17"/>
        <v>142.12</v>
      </c>
      <c r="AO10">
        <f t="shared" si="18"/>
        <v>40.799999999999997</v>
      </c>
      <c r="AP10">
        <f t="shared" si="19"/>
        <v>30.6</v>
      </c>
      <c r="AQ10">
        <f t="shared" si="20"/>
        <v>0.46772635814889335</v>
      </c>
    </row>
    <row r="11" spans="1:43" x14ac:dyDescent="0.35">
      <c r="A11" t="s">
        <v>7</v>
      </c>
      <c r="B11" t="s">
        <v>8</v>
      </c>
      <c r="C11">
        <f>VLOOKUP(CONCATENATE("2024",'2024_60'!A11),aktivnepesseg!$C$2:$D$2226,2,FALSE)</f>
        <v>40300</v>
      </c>
      <c r="D11">
        <f t="shared" si="8"/>
        <v>29575</v>
      </c>
      <c r="E11">
        <f t="shared" si="9"/>
        <v>10725</v>
      </c>
      <c r="F11">
        <v>4111</v>
      </c>
      <c r="G11">
        <v>970</v>
      </c>
      <c r="H11">
        <v>488</v>
      </c>
      <c r="I11">
        <v>698</v>
      </c>
      <c r="J11">
        <v>448</v>
      </c>
      <c r="K11">
        <v>610</v>
      </c>
      <c r="L11">
        <v>1066</v>
      </c>
      <c r="M11">
        <v>585</v>
      </c>
      <c r="N11">
        <v>962</v>
      </c>
      <c r="O11">
        <v>1045</v>
      </c>
      <c r="P11">
        <v>4339</v>
      </c>
      <c r="Q11">
        <v>3214</v>
      </c>
      <c r="R11">
        <v>8442</v>
      </c>
      <c r="S11">
        <v>2170</v>
      </c>
      <c r="T11">
        <v>427</v>
      </c>
      <c r="U11">
        <f t="shared" si="5"/>
        <v>10725</v>
      </c>
      <c r="V11">
        <f t="shared" si="5"/>
        <v>3905.45</v>
      </c>
      <c r="W11">
        <f t="shared" si="5"/>
        <v>824.5</v>
      </c>
      <c r="X11">
        <f t="shared" si="5"/>
        <v>374.13333333333338</v>
      </c>
      <c r="Y11">
        <f t="shared" si="5"/>
        <v>488.59999999999997</v>
      </c>
      <c r="Z11">
        <f t="shared" si="5"/>
        <v>283.73333333333335</v>
      </c>
      <c r="AA11">
        <f t="shared" si="5"/>
        <v>335.5</v>
      </c>
      <c r="AB11">
        <f t="shared" si="5"/>
        <v>479.7</v>
      </c>
      <c r="AC11">
        <f t="shared" si="5"/>
        <v>214.49999999999997</v>
      </c>
      <c r="AD11">
        <f t="shared" si="5"/>
        <v>240.5</v>
      </c>
      <c r="AE11">
        <f t="shared" si="5"/>
        <v>87.083333333333329</v>
      </c>
      <c r="AF11" s="12">
        <f t="shared" si="6"/>
        <v>0.44562531017369728</v>
      </c>
      <c r="AG11">
        <f t="shared" si="10"/>
        <v>10725</v>
      </c>
      <c r="AH11">
        <f t="shared" si="11"/>
        <v>3864.3399999999997</v>
      </c>
      <c r="AI11">
        <f t="shared" si="12"/>
        <v>795.4</v>
      </c>
      <c r="AJ11">
        <f t="shared" si="13"/>
        <v>351.36</v>
      </c>
      <c r="AK11">
        <f t="shared" si="14"/>
        <v>446.72</v>
      </c>
      <c r="AL11">
        <f t="shared" si="15"/>
        <v>250.88000000000002</v>
      </c>
      <c r="AM11">
        <f t="shared" si="16"/>
        <v>280.60000000000002</v>
      </c>
      <c r="AN11">
        <f t="shared" si="17"/>
        <v>362.44</v>
      </c>
      <c r="AO11">
        <f t="shared" si="18"/>
        <v>140.4</v>
      </c>
      <c r="AP11">
        <f t="shared" si="19"/>
        <v>96.2</v>
      </c>
      <c r="AQ11">
        <f t="shared" si="20"/>
        <v>0.42961141439205958</v>
      </c>
    </row>
    <row r="12" spans="1:43" x14ac:dyDescent="0.35">
      <c r="A12" t="s">
        <v>9</v>
      </c>
      <c r="B12" t="s">
        <v>10</v>
      </c>
      <c r="C12">
        <f>VLOOKUP(CONCATENATE("2024",'2024_60'!A12),aktivnepesseg!$C$2:$D$2226,2,FALSE)</f>
        <v>12660</v>
      </c>
      <c r="D12">
        <f t="shared" si="8"/>
        <v>9298</v>
      </c>
      <c r="E12">
        <f t="shared" si="9"/>
        <v>3362</v>
      </c>
      <c r="F12">
        <v>1242</v>
      </c>
      <c r="G12">
        <v>361</v>
      </c>
      <c r="H12">
        <v>201</v>
      </c>
      <c r="I12">
        <v>204</v>
      </c>
      <c r="J12">
        <v>197</v>
      </c>
      <c r="K12">
        <v>325</v>
      </c>
      <c r="L12">
        <v>632</v>
      </c>
      <c r="M12">
        <v>221</v>
      </c>
      <c r="N12">
        <v>333</v>
      </c>
      <c r="O12">
        <v>336</v>
      </c>
      <c r="P12">
        <v>1322</v>
      </c>
      <c r="Q12">
        <v>1008</v>
      </c>
      <c r="R12">
        <v>2414</v>
      </c>
      <c r="S12">
        <v>486</v>
      </c>
      <c r="T12">
        <v>16</v>
      </c>
      <c r="U12">
        <f t="shared" si="5"/>
        <v>3362</v>
      </c>
      <c r="V12">
        <f t="shared" si="5"/>
        <v>1179.8999999999999</v>
      </c>
      <c r="W12">
        <f t="shared" si="5"/>
        <v>306.84999999999997</v>
      </c>
      <c r="X12">
        <f t="shared" si="5"/>
        <v>154.10000000000002</v>
      </c>
      <c r="Y12">
        <f t="shared" si="5"/>
        <v>142.79999999999998</v>
      </c>
      <c r="Z12">
        <f t="shared" si="5"/>
        <v>124.76666666666667</v>
      </c>
      <c r="AA12">
        <f t="shared" si="5"/>
        <v>178.75000000000003</v>
      </c>
      <c r="AB12">
        <f t="shared" si="5"/>
        <v>284.40000000000003</v>
      </c>
      <c r="AC12">
        <f t="shared" si="5"/>
        <v>81.033333333333331</v>
      </c>
      <c r="AD12">
        <f t="shared" si="5"/>
        <v>83.25</v>
      </c>
      <c r="AE12">
        <f t="shared" si="5"/>
        <v>28</v>
      </c>
      <c r="AF12" s="12">
        <f t="shared" si="6"/>
        <v>0.46807661927330174</v>
      </c>
      <c r="AG12">
        <f t="shared" si="10"/>
        <v>3362</v>
      </c>
      <c r="AH12">
        <f t="shared" si="11"/>
        <v>1167.48</v>
      </c>
      <c r="AI12">
        <f t="shared" si="12"/>
        <v>296.02</v>
      </c>
      <c r="AJ12">
        <f t="shared" si="13"/>
        <v>144.72</v>
      </c>
      <c r="AK12">
        <f t="shared" si="14"/>
        <v>130.56</v>
      </c>
      <c r="AL12">
        <f t="shared" si="15"/>
        <v>110.32000000000001</v>
      </c>
      <c r="AM12">
        <f t="shared" si="16"/>
        <v>149.5</v>
      </c>
      <c r="AN12">
        <f t="shared" si="17"/>
        <v>214.88000000000002</v>
      </c>
      <c r="AO12">
        <f t="shared" si="18"/>
        <v>53.04</v>
      </c>
      <c r="AP12">
        <f t="shared" si="19"/>
        <v>33.300000000000004</v>
      </c>
      <c r="AQ12">
        <f t="shared" si="20"/>
        <v>0.44722116903633496</v>
      </c>
    </row>
    <row r="13" spans="1:43" x14ac:dyDescent="0.35">
      <c r="A13" t="s">
        <v>11</v>
      </c>
      <c r="B13" t="s">
        <v>12</v>
      </c>
      <c r="C13">
        <f>VLOOKUP(CONCATENATE("2024",'2024_60'!A13),aktivnepesseg!$C$2:$D$2226,2,FALSE)</f>
        <v>23833</v>
      </c>
      <c r="D13">
        <f t="shared" si="8"/>
        <v>19088</v>
      </c>
      <c r="E13">
        <f t="shared" si="9"/>
        <v>4745</v>
      </c>
      <c r="F13">
        <v>1970</v>
      </c>
      <c r="G13">
        <v>614</v>
      </c>
      <c r="H13">
        <v>341</v>
      </c>
      <c r="I13">
        <v>350</v>
      </c>
      <c r="J13">
        <v>247</v>
      </c>
      <c r="K13">
        <v>410</v>
      </c>
      <c r="L13">
        <v>690</v>
      </c>
      <c r="M13">
        <v>296</v>
      </c>
      <c r="N13">
        <v>574</v>
      </c>
      <c r="O13">
        <v>533</v>
      </c>
      <c r="P13">
        <v>2366</v>
      </c>
      <c r="Q13">
        <v>1973</v>
      </c>
      <c r="R13">
        <v>6617</v>
      </c>
      <c r="S13">
        <v>1873</v>
      </c>
      <c r="T13">
        <v>234</v>
      </c>
      <c r="U13">
        <f t="shared" si="5"/>
        <v>4745</v>
      </c>
      <c r="V13">
        <f t="shared" si="5"/>
        <v>1871.5</v>
      </c>
      <c r="W13">
        <f t="shared" si="5"/>
        <v>521.9</v>
      </c>
      <c r="X13">
        <f t="shared" si="5"/>
        <v>261.43333333333334</v>
      </c>
      <c r="Y13">
        <f t="shared" si="5"/>
        <v>244.99999999999997</v>
      </c>
      <c r="Z13">
        <f t="shared" si="5"/>
        <v>156.43333333333334</v>
      </c>
      <c r="AA13">
        <f t="shared" si="5"/>
        <v>225.50000000000003</v>
      </c>
      <c r="AB13">
        <f t="shared" si="5"/>
        <v>310.5</v>
      </c>
      <c r="AC13">
        <f t="shared" si="5"/>
        <v>108.53333333333333</v>
      </c>
      <c r="AD13">
        <f t="shared" si="5"/>
        <v>143.5</v>
      </c>
      <c r="AE13">
        <f t="shared" si="5"/>
        <v>44.416666666666664</v>
      </c>
      <c r="AF13" s="12">
        <f t="shared" si="6"/>
        <v>0.36225891271206584</v>
      </c>
      <c r="AG13">
        <f t="shared" si="10"/>
        <v>4745</v>
      </c>
      <c r="AH13">
        <f t="shared" si="11"/>
        <v>1851.8</v>
      </c>
      <c r="AI13">
        <f t="shared" si="12"/>
        <v>503.47999999999996</v>
      </c>
      <c r="AJ13">
        <f t="shared" si="13"/>
        <v>245.51999999999998</v>
      </c>
      <c r="AK13">
        <f t="shared" si="14"/>
        <v>224</v>
      </c>
      <c r="AL13">
        <f t="shared" si="15"/>
        <v>138.32000000000002</v>
      </c>
      <c r="AM13">
        <f t="shared" si="16"/>
        <v>188.6</v>
      </c>
      <c r="AN13">
        <f t="shared" si="17"/>
        <v>234.60000000000002</v>
      </c>
      <c r="AO13">
        <f t="shared" si="18"/>
        <v>71.039999999999992</v>
      </c>
      <c r="AP13">
        <f t="shared" si="19"/>
        <v>57.400000000000006</v>
      </c>
      <c r="AQ13">
        <f t="shared" si="20"/>
        <v>0.34656820375110142</v>
      </c>
    </row>
    <row r="14" spans="1:43" x14ac:dyDescent="0.35">
      <c r="A14" t="s">
        <v>13</v>
      </c>
      <c r="B14" t="s">
        <v>14</v>
      </c>
      <c r="C14">
        <f>VLOOKUP(CONCATENATE("2024",'2024_60'!A14),aktivnepesseg!$C$2:$D$2226,2,FALSE)</f>
        <v>17520</v>
      </c>
      <c r="D14">
        <f t="shared" si="8"/>
        <v>14606</v>
      </c>
      <c r="E14">
        <f t="shared" si="9"/>
        <v>2914</v>
      </c>
      <c r="F14">
        <v>1647</v>
      </c>
      <c r="G14">
        <v>512</v>
      </c>
      <c r="H14">
        <v>273</v>
      </c>
      <c r="I14">
        <v>281</v>
      </c>
      <c r="J14">
        <v>218</v>
      </c>
      <c r="K14">
        <v>277</v>
      </c>
      <c r="L14">
        <v>325</v>
      </c>
      <c r="M14">
        <v>217</v>
      </c>
      <c r="N14">
        <v>458</v>
      </c>
      <c r="O14">
        <v>439</v>
      </c>
      <c r="P14">
        <v>1842</v>
      </c>
      <c r="Q14">
        <v>1401</v>
      </c>
      <c r="R14">
        <v>4542</v>
      </c>
      <c r="S14">
        <v>1706</v>
      </c>
      <c r="T14">
        <v>468</v>
      </c>
      <c r="U14">
        <f t="shared" si="5"/>
        <v>2914</v>
      </c>
      <c r="V14">
        <f t="shared" si="5"/>
        <v>1564.6499999999999</v>
      </c>
      <c r="W14">
        <f t="shared" si="5"/>
        <v>435.2</v>
      </c>
      <c r="X14">
        <f t="shared" si="5"/>
        <v>209.3</v>
      </c>
      <c r="Y14">
        <f t="shared" si="5"/>
        <v>196.7</v>
      </c>
      <c r="Z14">
        <f t="shared" si="5"/>
        <v>138.06666666666666</v>
      </c>
      <c r="AA14">
        <f t="shared" si="5"/>
        <v>152.35000000000002</v>
      </c>
      <c r="AB14">
        <f t="shared" si="5"/>
        <v>146.25</v>
      </c>
      <c r="AC14">
        <f t="shared" si="5"/>
        <v>79.566666666666663</v>
      </c>
      <c r="AD14">
        <f t="shared" si="5"/>
        <v>114.5</v>
      </c>
      <c r="AE14">
        <f t="shared" si="5"/>
        <v>36.583333333333329</v>
      </c>
      <c r="AF14" s="12">
        <f t="shared" si="6"/>
        <v>0.34173325722983255</v>
      </c>
      <c r="AG14">
        <f t="shared" si="10"/>
        <v>2914</v>
      </c>
      <c r="AH14">
        <f t="shared" si="11"/>
        <v>1548.1799999999998</v>
      </c>
      <c r="AI14">
        <f t="shared" si="12"/>
        <v>419.84</v>
      </c>
      <c r="AJ14">
        <f t="shared" si="13"/>
        <v>196.56</v>
      </c>
      <c r="AK14">
        <f t="shared" si="14"/>
        <v>179.84</v>
      </c>
      <c r="AL14">
        <f t="shared" si="15"/>
        <v>122.08000000000001</v>
      </c>
      <c r="AM14">
        <f t="shared" si="16"/>
        <v>127.42</v>
      </c>
      <c r="AN14">
        <f t="shared" si="17"/>
        <v>110.50000000000001</v>
      </c>
      <c r="AO14">
        <f t="shared" si="18"/>
        <v>52.08</v>
      </c>
      <c r="AP14">
        <f t="shared" si="19"/>
        <v>45.800000000000004</v>
      </c>
      <c r="AQ14">
        <f t="shared" si="20"/>
        <v>0.32627283105022836</v>
      </c>
    </row>
    <row r="15" spans="1:43" x14ac:dyDescent="0.35">
      <c r="A15" t="s">
        <v>15</v>
      </c>
      <c r="B15" t="s">
        <v>16</v>
      </c>
      <c r="C15">
        <f>VLOOKUP(CONCATENATE("2024",'2024_60'!A15),aktivnepesseg!$C$2:$D$2226,2,FALSE)</f>
        <v>16349</v>
      </c>
      <c r="D15">
        <f t="shared" si="8"/>
        <v>13965</v>
      </c>
      <c r="E15">
        <f t="shared" si="9"/>
        <v>2384</v>
      </c>
      <c r="F15">
        <v>2150</v>
      </c>
      <c r="G15">
        <v>489</v>
      </c>
      <c r="H15">
        <v>247</v>
      </c>
      <c r="I15">
        <v>304</v>
      </c>
      <c r="J15">
        <v>172</v>
      </c>
      <c r="K15">
        <v>300</v>
      </c>
      <c r="L15">
        <v>368</v>
      </c>
      <c r="M15">
        <v>211</v>
      </c>
      <c r="N15">
        <v>440</v>
      </c>
      <c r="O15">
        <v>417</v>
      </c>
      <c r="P15">
        <v>1757</v>
      </c>
      <c r="Q15">
        <v>1275</v>
      </c>
      <c r="R15">
        <v>3969</v>
      </c>
      <c r="S15">
        <v>1378</v>
      </c>
      <c r="T15">
        <v>488</v>
      </c>
      <c r="U15">
        <f t="shared" si="5"/>
        <v>2384</v>
      </c>
      <c r="V15">
        <f t="shared" si="5"/>
        <v>2042.5</v>
      </c>
      <c r="W15">
        <f t="shared" si="5"/>
        <v>415.65</v>
      </c>
      <c r="X15">
        <f t="shared" si="5"/>
        <v>189.36666666666667</v>
      </c>
      <c r="Y15">
        <f t="shared" si="5"/>
        <v>212.79999999999998</v>
      </c>
      <c r="Z15">
        <f t="shared" si="5"/>
        <v>108.93333333333332</v>
      </c>
      <c r="AA15">
        <f t="shared" si="5"/>
        <v>165</v>
      </c>
      <c r="AB15">
        <f t="shared" si="5"/>
        <v>165.6</v>
      </c>
      <c r="AC15">
        <f t="shared" si="5"/>
        <v>77.36666666666666</v>
      </c>
      <c r="AD15">
        <f t="shared" si="5"/>
        <v>110</v>
      </c>
      <c r="AE15">
        <f t="shared" si="5"/>
        <v>34.75</v>
      </c>
      <c r="AF15" s="12">
        <f t="shared" si="6"/>
        <v>0.36124329724549925</v>
      </c>
      <c r="AG15">
        <f t="shared" si="10"/>
        <v>2384</v>
      </c>
      <c r="AH15">
        <f t="shared" si="11"/>
        <v>2020.9999999999998</v>
      </c>
      <c r="AI15">
        <f t="shared" si="12"/>
        <v>400.97999999999996</v>
      </c>
      <c r="AJ15">
        <f t="shared" si="13"/>
        <v>177.84</v>
      </c>
      <c r="AK15">
        <f t="shared" si="14"/>
        <v>194.56</v>
      </c>
      <c r="AL15">
        <f t="shared" si="15"/>
        <v>96.320000000000007</v>
      </c>
      <c r="AM15">
        <f t="shared" si="16"/>
        <v>138</v>
      </c>
      <c r="AN15">
        <f t="shared" si="17"/>
        <v>125.12</v>
      </c>
      <c r="AO15">
        <f t="shared" si="18"/>
        <v>50.64</v>
      </c>
      <c r="AP15">
        <f t="shared" si="19"/>
        <v>44</v>
      </c>
      <c r="AQ15">
        <f t="shared" si="20"/>
        <v>0.34451403755581383</v>
      </c>
    </row>
    <row r="16" spans="1:43" x14ac:dyDescent="0.35">
      <c r="A16" t="s">
        <v>17</v>
      </c>
      <c r="B16" t="s">
        <v>18</v>
      </c>
      <c r="C16">
        <f>VLOOKUP(CONCATENATE("2024",'2024_60'!A16),aktivnepesseg!$C$2:$D$2226,2,FALSE)</f>
        <v>19558</v>
      </c>
      <c r="D16">
        <f t="shared" si="8"/>
        <v>15309</v>
      </c>
      <c r="E16">
        <f t="shared" si="9"/>
        <v>4249</v>
      </c>
      <c r="F16">
        <v>2038</v>
      </c>
      <c r="G16">
        <v>586</v>
      </c>
      <c r="H16">
        <v>304</v>
      </c>
      <c r="I16">
        <v>339</v>
      </c>
      <c r="J16">
        <v>261</v>
      </c>
      <c r="K16">
        <v>432</v>
      </c>
      <c r="L16">
        <v>762</v>
      </c>
      <c r="M16">
        <v>256</v>
      </c>
      <c r="N16">
        <v>502</v>
      </c>
      <c r="O16">
        <v>549</v>
      </c>
      <c r="P16">
        <v>2164</v>
      </c>
      <c r="Q16">
        <v>1870</v>
      </c>
      <c r="R16">
        <v>4284</v>
      </c>
      <c r="S16">
        <v>889</v>
      </c>
      <c r="T16">
        <v>73</v>
      </c>
      <c r="U16">
        <f t="shared" si="5"/>
        <v>4249</v>
      </c>
      <c r="V16">
        <f t="shared" si="5"/>
        <v>1936.1</v>
      </c>
      <c r="W16">
        <f t="shared" si="5"/>
        <v>498.09999999999997</v>
      </c>
      <c r="X16">
        <f t="shared" si="5"/>
        <v>233.06666666666669</v>
      </c>
      <c r="Y16">
        <f t="shared" si="5"/>
        <v>237.29999999999998</v>
      </c>
      <c r="Z16">
        <f t="shared" si="5"/>
        <v>165.29999999999998</v>
      </c>
      <c r="AA16">
        <f t="shared" si="5"/>
        <v>237.60000000000002</v>
      </c>
      <c r="AB16">
        <f t="shared" si="5"/>
        <v>342.90000000000003</v>
      </c>
      <c r="AC16">
        <f t="shared" si="5"/>
        <v>93.86666666666666</v>
      </c>
      <c r="AD16">
        <f t="shared" si="5"/>
        <v>125.5</v>
      </c>
      <c r="AE16">
        <f t="shared" si="5"/>
        <v>45.75</v>
      </c>
      <c r="AF16" s="12">
        <f t="shared" si="6"/>
        <v>0.41744980741043741</v>
      </c>
      <c r="AG16">
        <f t="shared" si="10"/>
        <v>4249</v>
      </c>
      <c r="AH16">
        <f t="shared" si="11"/>
        <v>1915.7199999999998</v>
      </c>
      <c r="AI16">
        <f t="shared" si="12"/>
        <v>480.52</v>
      </c>
      <c r="AJ16">
        <f t="shared" si="13"/>
        <v>218.88</v>
      </c>
      <c r="AK16">
        <f t="shared" si="14"/>
        <v>216.96</v>
      </c>
      <c r="AL16">
        <f t="shared" si="15"/>
        <v>146.16000000000003</v>
      </c>
      <c r="AM16">
        <f t="shared" si="16"/>
        <v>198.72</v>
      </c>
      <c r="AN16">
        <f t="shared" si="17"/>
        <v>259.08000000000004</v>
      </c>
      <c r="AO16">
        <f t="shared" si="18"/>
        <v>61.44</v>
      </c>
      <c r="AP16">
        <f t="shared" si="19"/>
        <v>50.2</v>
      </c>
      <c r="AQ16">
        <f t="shared" si="20"/>
        <v>0.39864403313222208</v>
      </c>
    </row>
    <row r="17" spans="1:43" x14ac:dyDescent="0.35">
      <c r="A17" t="s">
        <v>19</v>
      </c>
      <c r="B17" t="s">
        <v>20</v>
      </c>
      <c r="C17">
        <f>VLOOKUP(CONCATENATE("2024",'2024_60'!A17),aktivnepesseg!$C$2:$D$2226,2,FALSE)</f>
        <v>14743</v>
      </c>
      <c r="D17">
        <f t="shared" si="8"/>
        <v>9763</v>
      </c>
      <c r="E17">
        <f t="shared" si="9"/>
        <v>4980</v>
      </c>
      <c r="F17">
        <v>1455</v>
      </c>
      <c r="G17">
        <v>494</v>
      </c>
      <c r="H17">
        <v>236</v>
      </c>
      <c r="I17">
        <v>213</v>
      </c>
      <c r="J17">
        <v>205</v>
      </c>
      <c r="K17">
        <v>341</v>
      </c>
      <c r="L17">
        <v>586</v>
      </c>
      <c r="M17">
        <v>154</v>
      </c>
      <c r="N17">
        <v>289</v>
      </c>
      <c r="O17">
        <v>250</v>
      </c>
      <c r="P17">
        <v>1232</v>
      </c>
      <c r="Q17">
        <v>1086</v>
      </c>
      <c r="R17">
        <v>2663</v>
      </c>
      <c r="S17">
        <v>515</v>
      </c>
      <c r="T17">
        <v>44</v>
      </c>
      <c r="U17">
        <f t="shared" si="5"/>
        <v>4980</v>
      </c>
      <c r="V17">
        <f t="shared" si="5"/>
        <v>1382.25</v>
      </c>
      <c r="W17">
        <f t="shared" si="5"/>
        <v>419.9</v>
      </c>
      <c r="X17">
        <f t="shared" si="5"/>
        <v>180.93333333333334</v>
      </c>
      <c r="Y17">
        <f t="shared" si="5"/>
        <v>149.1</v>
      </c>
      <c r="Z17">
        <f t="shared" si="5"/>
        <v>129.83333333333331</v>
      </c>
      <c r="AA17">
        <f t="shared" si="5"/>
        <v>187.55</v>
      </c>
      <c r="AB17">
        <f t="shared" si="5"/>
        <v>263.7</v>
      </c>
      <c r="AC17">
        <f t="shared" si="5"/>
        <v>56.466666666666661</v>
      </c>
      <c r="AD17">
        <f t="shared" si="5"/>
        <v>72.25</v>
      </c>
      <c r="AE17">
        <f t="shared" si="5"/>
        <v>20.833333333333332</v>
      </c>
      <c r="AF17" s="12">
        <f t="shared" si="6"/>
        <v>0.53196884397115007</v>
      </c>
      <c r="AG17">
        <f t="shared" si="10"/>
        <v>4980</v>
      </c>
      <c r="AH17">
        <f t="shared" si="11"/>
        <v>1367.6999999999998</v>
      </c>
      <c r="AI17">
        <f t="shared" si="12"/>
        <v>405.08</v>
      </c>
      <c r="AJ17">
        <f t="shared" si="13"/>
        <v>169.92</v>
      </c>
      <c r="AK17">
        <f t="shared" si="14"/>
        <v>136.32</v>
      </c>
      <c r="AL17">
        <f t="shared" si="15"/>
        <v>114.80000000000001</v>
      </c>
      <c r="AM17">
        <f t="shared" si="16"/>
        <v>156.86000000000001</v>
      </c>
      <c r="AN17">
        <f t="shared" si="17"/>
        <v>199.24</v>
      </c>
      <c r="AO17">
        <f t="shared" si="18"/>
        <v>36.96</v>
      </c>
      <c r="AP17">
        <f t="shared" si="19"/>
        <v>28.900000000000002</v>
      </c>
      <c r="AQ17">
        <f t="shared" si="20"/>
        <v>0.51521264328834016</v>
      </c>
    </row>
    <row r="18" spans="1:43" x14ac:dyDescent="0.35">
      <c r="A18" t="s">
        <v>21</v>
      </c>
      <c r="B18" t="s">
        <v>22</v>
      </c>
      <c r="C18">
        <f>VLOOKUP(CONCATENATE("2024",'2024_60'!A18),aktivnepesseg!$C$2:$D$2226,2,FALSE)</f>
        <v>12365</v>
      </c>
      <c r="D18">
        <f t="shared" si="8"/>
        <v>9138</v>
      </c>
      <c r="E18">
        <f t="shared" si="9"/>
        <v>3227</v>
      </c>
      <c r="F18">
        <v>862</v>
      </c>
      <c r="G18">
        <v>387</v>
      </c>
      <c r="H18">
        <v>187</v>
      </c>
      <c r="I18">
        <v>224</v>
      </c>
      <c r="J18">
        <v>159</v>
      </c>
      <c r="K18">
        <v>262</v>
      </c>
      <c r="L18">
        <v>426</v>
      </c>
      <c r="M18">
        <v>177</v>
      </c>
      <c r="N18">
        <v>355</v>
      </c>
      <c r="O18">
        <v>342</v>
      </c>
      <c r="P18">
        <v>1145</v>
      </c>
      <c r="Q18">
        <v>990</v>
      </c>
      <c r="R18">
        <v>2736</v>
      </c>
      <c r="S18">
        <v>828</v>
      </c>
      <c r="T18">
        <v>58</v>
      </c>
      <c r="U18">
        <f t="shared" si="5"/>
        <v>3227</v>
      </c>
      <c r="V18">
        <f t="shared" si="5"/>
        <v>818.9</v>
      </c>
      <c r="W18">
        <f t="shared" si="5"/>
        <v>328.95</v>
      </c>
      <c r="X18">
        <f t="shared" si="5"/>
        <v>143.36666666666667</v>
      </c>
      <c r="Y18">
        <f t="shared" si="5"/>
        <v>156.79999999999998</v>
      </c>
      <c r="Z18">
        <f t="shared" si="5"/>
        <v>100.69999999999999</v>
      </c>
      <c r="AA18">
        <f t="shared" si="5"/>
        <v>144.10000000000002</v>
      </c>
      <c r="AB18">
        <f t="shared" si="5"/>
        <v>191.70000000000002</v>
      </c>
      <c r="AC18">
        <f t="shared" si="5"/>
        <v>64.899999999999991</v>
      </c>
      <c r="AD18">
        <f t="shared" si="5"/>
        <v>88.75</v>
      </c>
      <c r="AE18">
        <f t="shared" si="5"/>
        <v>28.5</v>
      </c>
      <c r="AF18" s="12">
        <f t="shared" si="6"/>
        <v>0.42811699689985178</v>
      </c>
      <c r="AG18">
        <f t="shared" si="10"/>
        <v>3227</v>
      </c>
      <c r="AH18">
        <f t="shared" si="11"/>
        <v>810.28</v>
      </c>
      <c r="AI18">
        <f t="shared" si="12"/>
        <v>317.33999999999997</v>
      </c>
      <c r="AJ18">
        <f t="shared" si="13"/>
        <v>134.63999999999999</v>
      </c>
      <c r="AK18">
        <f t="shared" si="14"/>
        <v>143.36000000000001</v>
      </c>
      <c r="AL18">
        <f t="shared" si="15"/>
        <v>89.04</v>
      </c>
      <c r="AM18">
        <f t="shared" si="16"/>
        <v>120.52000000000001</v>
      </c>
      <c r="AN18">
        <f t="shared" si="17"/>
        <v>144.84</v>
      </c>
      <c r="AO18">
        <f t="shared" si="18"/>
        <v>42.48</v>
      </c>
      <c r="AP18">
        <f t="shared" si="19"/>
        <v>35.5</v>
      </c>
      <c r="AQ18">
        <f t="shared" si="20"/>
        <v>0.40962393853619083</v>
      </c>
    </row>
    <row r="19" spans="1:43" x14ac:dyDescent="0.35">
      <c r="A19" t="s">
        <v>23</v>
      </c>
      <c r="B19" t="s">
        <v>24</v>
      </c>
      <c r="C19">
        <f>VLOOKUP(CONCATENATE("2024",'2024_60'!A19),aktivnepesseg!$C$2:$D$2226,2,FALSE)</f>
        <v>49367</v>
      </c>
      <c r="D19">
        <f t="shared" si="8"/>
        <v>40277</v>
      </c>
      <c r="E19">
        <f t="shared" si="9"/>
        <v>9090</v>
      </c>
      <c r="F19">
        <v>5210</v>
      </c>
      <c r="G19">
        <v>1122</v>
      </c>
      <c r="H19">
        <v>662</v>
      </c>
      <c r="I19">
        <v>772</v>
      </c>
      <c r="J19">
        <v>470</v>
      </c>
      <c r="K19">
        <v>757</v>
      </c>
      <c r="L19">
        <v>1226</v>
      </c>
      <c r="M19">
        <v>614</v>
      </c>
      <c r="N19">
        <v>1145</v>
      </c>
      <c r="O19">
        <v>1138</v>
      </c>
      <c r="P19">
        <v>5105</v>
      </c>
      <c r="Q19">
        <v>4570</v>
      </c>
      <c r="R19">
        <v>13307</v>
      </c>
      <c r="S19">
        <v>3605</v>
      </c>
      <c r="T19">
        <v>574</v>
      </c>
      <c r="U19">
        <f t="shared" si="5"/>
        <v>9090</v>
      </c>
      <c r="V19">
        <f t="shared" si="5"/>
        <v>4949.5</v>
      </c>
      <c r="W19">
        <f t="shared" si="5"/>
        <v>953.69999999999993</v>
      </c>
      <c r="X19">
        <f t="shared" si="5"/>
        <v>507.53333333333336</v>
      </c>
      <c r="Y19">
        <f t="shared" si="5"/>
        <v>540.4</v>
      </c>
      <c r="Z19">
        <f t="shared" si="5"/>
        <v>297.66666666666663</v>
      </c>
      <c r="AA19">
        <f t="shared" si="5"/>
        <v>416.35</v>
      </c>
      <c r="AB19">
        <f t="shared" si="5"/>
        <v>551.70000000000005</v>
      </c>
      <c r="AC19">
        <f t="shared" si="5"/>
        <v>225.13333333333333</v>
      </c>
      <c r="AD19">
        <f t="shared" si="5"/>
        <v>286.25</v>
      </c>
      <c r="AE19">
        <f t="shared" si="5"/>
        <v>94.833333333333329</v>
      </c>
      <c r="AF19" s="12">
        <f t="shared" si="6"/>
        <v>0.36285507862877359</v>
      </c>
      <c r="AG19">
        <f t="shared" si="10"/>
        <v>9090</v>
      </c>
      <c r="AH19">
        <f t="shared" si="11"/>
        <v>4897.3999999999996</v>
      </c>
      <c r="AI19">
        <f t="shared" si="12"/>
        <v>920.04</v>
      </c>
      <c r="AJ19">
        <f t="shared" si="13"/>
        <v>476.64</v>
      </c>
      <c r="AK19">
        <f t="shared" si="14"/>
        <v>494.08</v>
      </c>
      <c r="AL19">
        <f t="shared" si="15"/>
        <v>263.20000000000005</v>
      </c>
      <c r="AM19">
        <f t="shared" si="16"/>
        <v>348.22</v>
      </c>
      <c r="AN19">
        <f t="shared" si="17"/>
        <v>416.84000000000003</v>
      </c>
      <c r="AO19">
        <f t="shared" si="18"/>
        <v>147.35999999999999</v>
      </c>
      <c r="AP19">
        <f t="shared" si="19"/>
        <v>114.5</v>
      </c>
      <c r="AQ19">
        <f t="shared" si="20"/>
        <v>0.34776834727652073</v>
      </c>
    </row>
    <row r="20" spans="1:43" x14ac:dyDescent="0.35">
      <c r="A20" t="s">
        <v>25</v>
      </c>
      <c r="B20" t="s">
        <v>26</v>
      </c>
      <c r="C20">
        <f>VLOOKUP(CONCATENATE("2024",'2024_60'!A20),aktivnepesseg!$C$2:$D$2226,2,FALSE)</f>
        <v>22050</v>
      </c>
      <c r="D20">
        <f t="shared" si="8"/>
        <v>17400</v>
      </c>
      <c r="E20">
        <f t="shared" si="9"/>
        <v>4650</v>
      </c>
      <c r="F20">
        <v>2453</v>
      </c>
      <c r="G20">
        <v>594</v>
      </c>
      <c r="H20">
        <v>332</v>
      </c>
      <c r="I20">
        <v>341</v>
      </c>
      <c r="J20">
        <v>249</v>
      </c>
      <c r="K20">
        <v>417</v>
      </c>
      <c r="L20">
        <v>729</v>
      </c>
      <c r="M20">
        <v>320</v>
      </c>
      <c r="N20">
        <v>608</v>
      </c>
      <c r="O20">
        <v>598</v>
      </c>
      <c r="P20">
        <v>2443</v>
      </c>
      <c r="Q20">
        <v>2121</v>
      </c>
      <c r="R20">
        <v>5016</v>
      </c>
      <c r="S20">
        <v>1060</v>
      </c>
      <c r="T20">
        <v>119</v>
      </c>
      <c r="U20">
        <f t="shared" si="5"/>
        <v>4650</v>
      </c>
      <c r="V20">
        <f t="shared" si="5"/>
        <v>2330.35</v>
      </c>
      <c r="W20">
        <f t="shared" si="5"/>
        <v>504.9</v>
      </c>
      <c r="X20">
        <f t="shared" si="5"/>
        <v>254.53333333333336</v>
      </c>
      <c r="Y20">
        <f t="shared" si="5"/>
        <v>238.7</v>
      </c>
      <c r="Z20">
        <f t="shared" si="5"/>
        <v>157.69999999999999</v>
      </c>
      <c r="AA20">
        <f t="shared" si="5"/>
        <v>229.35000000000002</v>
      </c>
      <c r="AB20">
        <f t="shared" si="5"/>
        <v>328.05</v>
      </c>
      <c r="AC20">
        <f t="shared" si="5"/>
        <v>117.33333333333333</v>
      </c>
      <c r="AD20">
        <f t="shared" si="5"/>
        <v>152</v>
      </c>
      <c r="AE20">
        <f t="shared" si="5"/>
        <v>49.833333333333329</v>
      </c>
      <c r="AF20" s="12">
        <f t="shared" si="6"/>
        <v>0.40874149659863945</v>
      </c>
      <c r="AG20">
        <f t="shared" si="10"/>
        <v>4650</v>
      </c>
      <c r="AH20">
        <f t="shared" si="11"/>
        <v>2305.8199999999997</v>
      </c>
      <c r="AI20">
        <f t="shared" si="12"/>
        <v>487.08</v>
      </c>
      <c r="AJ20">
        <f t="shared" si="13"/>
        <v>239.04</v>
      </c>
      <c r="AK20">
        <f t="shared" si="14"/>
        <v>218.24</v>
      </c>
      <c r="AL20">
        <f t="shared" si="15"/>
        <v>139.44000000000003</v>
      </c>
      <c r="AM20">
        <f t="shared" si="16"/>
        <v>191.82000000000002</v>
      </c>
      <c r="AN20">
        <f t="shared" si="17"/>
        <v>247.86</v>
      </c>
      <c r="AO20">
        <f t="shared" si="18"/>
        <v>76.8</v>
      </c>
      <c r="AP20">
        <f t="shared" si="19"/>
        <v>60.800000000000004</v>
      </c>
      <c r="AQ20">
        <f t="shared" si="20"/>
        <v>0.3907891156462584</v>
      </c>
    </row>
    <row r="21" spans="1:43" x14ac:dyDescent="0.35">
      <c r="A21" t="s">
        <v>27</v>
      </c>
      <c r="B21" t="s">
        <v>28</v>
      </c>
      <c r="C21">
        <f>VLOOKUP(CONCATENATE("2024",'2024_60'!A21),aktivnepesseg!$C$2:$D$2226,2,FALSE)</f>
        <v>5259</v>
      </c>
      <c r="D21">
        <f t="shared" si="8"/>
        <v>4055</v>
      </c>
      <c r="E21">
        <f t="shared" si="9"/>
        <v>1204</v>
      </c>
      <c r="F21">
        <v>469</v>
      </c>
      <c r="G21">
        <v>135</v>
      </c>
      <c r="H21">
        <v>77</v>
      </c>
      <c r="I21">
        <v>81</v>
      </c>
      <c r="J21">
        <v>58</v>
      </c>
      <c r="K21">
        <v>93</v>
      </c>
      <c r="L21">
        <v>251</v>
      </c>
      <c r="M21">
        <v>55</v>
      </c>
      <c r="N21">
        <v>129</v>
      </c>
      <c r="O21">
        <v>121</v>
      </c>
      <c r="P21">
        <v>471</v>
      </c>
      <c r="Q21">
        <v>468</v>
      </c>
      <c r="R21">
        <v>1365</v>
      </c>
      <c r="S21">
        <v>258</v>
      </c>
      <c r="T21">
        <v>24</v>
      </c>
      <c r="U21">
        <f t="shared" si="5"/>
        <v>1204</v>
      </c>
      <c r="V21">
        <f t="shared" si="5"/>
        <v>445.54999999999995</v>
      </c>
      <c r="W21">
        <f t="shared" si="5"/>
        <v>114.75</v>
      </c>
      <c r="X21">
        <f t="shared" si="5"/>
        <v>59.033333333333339</v>
      </c>
      <c r="Y21">
        <f t="shared" si="5"/>
        <v>56.699999999999996</v>
      </c>
      <c r="Z21">
        <f t="shared" si="5"/>
        <v>36.733333333333334</v>
      </c>
      <c r="AA21">
        <f t="shared" si="5"/>
        <v>51.150000000000006</v>
      </c>
      <c r="AB21">
        <f t="shared" si="5"/>
        <v>112.95</v>
      </c>
      <c r="AC21">
        <f t="shared" si="5"/>
        <v>20.166666666666664</v>
      </c>
      <c r="AD21">
        <f t="shared" si="5"/>
        <v>32.25</v>
      </c>
      <c r="AE21">
        <f t="shared" si="5"/>
        <v>10.083333333333332</v>
      </c>
      <c r="AF21" s="12">
        <f t="shared" si="6"/>
        <v>0.4075616403625531</v>
      </c>
      <c r="AG21">
        <f t="shared" si="10"/>
        <v>1204</v>
      </c>
      <c r="AH21">
        <f t="shared" si="11"/>
        <v>440.85999999999996</v>
      </c>
      <c r="AI21">
        <f t="shared" si="12"/>
        <v>110.69999999999999</v>
      </c>
      <c r="AJ21">
        <f t="shared" si="13"/>
        <v>55.44</v>
      </c>
      <c r="AK21">
        <f t="shared" si="14"/>
        <v>51.84</v>
      </c>
      <c r="AL21">
        <f t="shared" si="15"/>
        <v>32.480000000000004</v>
      </c>
      <c r="AM21">
        <f t="shared" si="16"/>
        <v>42.78</v>
      </c>
      <c r="AN21">
        <f t="shared" si="17"/>
        <v>85.34</v>
      </c>
      <c r="AO21">
        <f t="shared" si="18"/>
        <v>13.2</v>
      </c>
      <c r="AP21">
        <f t="shared" si="19"/>
        <v>12.9</v>
      </c>
      <c r="AQ21">
        <f t="shared" si="20"/>
        <v>0.38972047917855107</v>
      </c>
    </row>
    <row r="22" spans="1:43" x14ac:dyDescent="0.35">
      <c r="A22" t="s">
        <v>29</v>
      </c>
      <c r="B22" t="s">
        <v>30</v>
      </c>
      <c r="C22">
        <f>VLOOKUP(CONCATENATE("2024",'2024_60'!A22),aktivnepesseg!$C$2:$D$2226,2,FALSE)</f>
        <v>29613</v>
      </c>
      <c r="D22">
        <f t="shared" si="8"/>
        <v>20527</v>
      </c>
      <c r="E22">
        <f t="shared" si="9"/>
        <v>9086</v>
      </c>
      <c r="F22">
        <v>3115</v>
      </c>
      <c r="G22">
        <v>750</v>
      </c>
      <c r="H22">
        <v>425</v>
      </c>
      <c r="I22">
        <v>452</v>
      </c>
      <c r="J22">
        <v>340</v>
      </c>
      <c r="K22">
        <v>587</v>
      </c>
      <c r="L22">
        <v>1371</v>
      </c>
      <c r="M22">
        <v>325</v>
      </c>
      <c r="N22">
        <v>596</v>
      </c>
      <c r="O22">
        <v>622</v>
      </c>
      <c r="P22">
        <v>2541</v>
      </c>
      <c r="Q22">
        <v>2112</v>
      </c>
      <c r="R22">
        <v>5692</v>
      </c>
      <c r="S22">
        <v>1436</v>
      </c>
      <c r="T22">
        <v>163</v>
      </c>
      <c r="U22">
        <f t="shared" si="5"/>
        <v>9086</v>
      </c>
      <c r="V22">
        <f t="shared" si="5"/>
        <v>2959.25</v>
      </c>
      <c r="W22">
        <f t="shared" si="5"/>
        <v>637.5</v>
      </c>
      <c r="X22">
        <f t="shared" si="5"/>
        <v>325.83333333333337</v>
      </c>
      <c r="Y22">
        <f t="shared" si="5"/>
        <v>316.39999999999998</v>
      </c>
      <c r="Z22">
        <f t="shared" si="5"/>
        <v>215.33333333333331</v>
      </c>
      <c r="AA22">
        <f t="shared" si="5"/>
        <v>322.85000000000002</v>
      </c>
      <c r="AB22">
        <f t="shared" si="5"/>
        <v>616.95000000000005</v>
      </c>
      <c r="AC22">
        <f t="shared" si="5"/>
        <v>119.16666666666666</v>
      </c>
      <c r="AD22">
        <f t="shared" si="5"/>
        <v>149</v>
      </c>
      <c r="AE22">
        <f t="shared" si="5"/>
        <v>51.833333333333329</v>
      </c>
      <c r="AF22" s="12">
        <f t="shared" si="6"/>
        <v>0.49978444151780194</v>
      </c>
      <c r="AG22">
        <f t="shared" si="10"/>
        <v>9086</v>
      </c>
      <c r="AH22">
        <f t="shared" si="11"/>
        <v>2928.1</v>
      </c>
      <c r="AI22">
        <f t="shared" si="12"/>
        <v>615</v>
      </c>
      <c r="AJ22">
        <f t="shared" si="13"/>
        <v>306</v>
      </c>
      <c r="AK22">
        <f t="shared" si="14"/>
        <v>289.28000000000003</v>
      </c>
      <c r="AL22">
        <f t="shared" si="15"/>
        <v>190.4</v>
      </c>
      <c r="AM22">
        <f t="shared" si="16"/>
        <v>270.02000000000004</v>
      </c>
      <c r="AN22">
        <f t="shared" si="17"/>
        <v>466.14000000000004</v>
      </c>
      <c r="AO22">
        <f t="shared" si="18"/>
        <v>78</v>
      </c>
      <c r="AP22">
        <f t="shared" si="19"/>
        <v>59.6</v>
      </c>
      <c r="AQ22">
        <f t="shared" si="20"/>
        <v>0.48250903319488064</v>
      </c>
    </row>
    <row r="23" spans="1:43" x14ac:dyDescent="0.35">
      <c r="A23" t="s">
        <v>31</v>
      </c>
      <c r="B23" t="s">
        <v>32</v>
      </c>
      <c r="C23">
        <f>VLOOKUP(CONCATENATE("2024",'2024_60'!A23),aktivnepesseg!$C$2:$D$2226,2,FALSE)</f>
        <v>25444</v>
      </c>
      <c r="D23">
        <f t="shared" si="8"/>
        <v>20132</v>
      </c>
      <c r="E23">
        <f t="shared" si="9"/>
        <v>5312</v>
      </c>
      <c r="F23">
        <v>1863</v>
      </c>
      <c r="G23">
        <v>539</v>
      </c>
      <c r="H23">
        <v>333</v>
      </c>
      <c r="I23">
        <v>330</v>
      </c>
      <c r="J23">
        <v>266</v>
      </c>
      <c r="K23">
        <v>388</v>
      </c>
      <c r="L23">
        <v>514</v>
      </c>
      <c r="M23">
        <v>289</v>
      </c>
      <c r="N23">
        <v>616</v>
      </c>
      <c r="O23">
        <v>573</v>
      </c>
      <c r="P23">
        <v>2414</v>
      </c>
      <c r="Q23">
        <v>1914</v>
      </c>
      <c r="R23">
        <v>7057</v>
      </c>
      <c r="S23">
        <v>2586</v>
      </c>
      <c r="T23">
        <v>450</v>
      </c>
      <c r="U23">
        <f t="shared" si="5"/>
        <v>5312</v>
      </c>
      <c r="V23">
        <f t="shared" si="5"/>
        <v>1769.85</v>
      </c>
      <c r="W23">
        <f t="shared" si="5"/>
        <v>458.15</v>
      </c>
      <c r="X23">
        <f t="shared" si="5"/>
        <v>255.3</v>
      </c>
      <c r="Y23">
        <f t="shared" si="5"/>
        <v>230.99999999999997</v>
      </c>
      <c r="Z23">
        <f t="shared" si="5"/>
        <v>168.46666666666667</v>
      </c>
      <c r="AA23">
        <f t="shared" si="5"/>
        <v>213.4</v>
      </c>
      <c r="AB23">
        <f t="shared" si="5"/>
        <v>231.3</v>
      </c>
      <c r="AC23">
        <f t="shared" si="5"/>
        <v>105.96666666666665</v>
      </c>
      <c r="AD23">
        <f t="shared" si="5"/>
        <v>154</v>
      </c>
      <c r="AE23">
        <f t="shared" si="5"/>
        <v>47.75</v>
      </c>
      <c r="AF23" s="12">
        <f t="shared" si="6"/>
        <v>0.35164216842215579</v>
      </c>
      <c r="AG23">
        <f t="shared" si="10"/>
        <v>5312</v>
      </c>
      <c r="AH23">
        <f t="shared" si="11"/>
        <v>1751.2199999999998</v>
      </c>
      <c r="AI23">
        <f t="shared" si="12"/>
        <v>441.97999999999996</v>
      </c>
      <c r="AJ23">
        <f t="shared" si="13"/>
        <v>239.76</v>
      </c>
      <c r="AK23">
        <f t="shared" si="14"/>
        <v>211.20000000000002</v>
      </c>
      <c r="AL23">
        <f t="shared" si="15"/>
        <v>148.96</v>
      </c>
      <c r="AM23">
        <f t="shared" si="16"/>
        <v>178.48000000000002</v>
      </c>
      <c r="AN23">
        <f t="shared" si="17"/>
        <v>174.76000000000002</v>
      </c>
      <c r="AO23">
        <f t="shared" si="18"/>
        <v>69.36</v>
      </c>
      <c r="AP23">
        <f t="shared" si="19"/>
        <v>61.6</v>
      </c>
      <c r="AQ23">
        <f t="shared" si="20"/>
        <v>0.3375774249331866</v>
      </c>
    </row>
    <row r="24" spans="1:43" x14ac:dyDescent="0.35">
      <c r="A24" t="s">
        <v>33</v>
      </c>
      <c r="B24" t="s">
        <v>34</v>
      </c>
      <c r="C24">
        <f>VLOOKUP(CONCATENATE("2024",'2024_60'!A24),aktivnepesseg!$C$2:$D$2226,2,FALSE)</f>
        <v>7466</v>
      </c>
      <c r="D24">
        <f t="shared" si="8"/>
        <v>5365</v>
      </c>
      <c r="E24">
        <f t="shared" si="9"/>
        <v>2101</v>
      </c>
      <c r="F24">
        <v>696</v>
      </c>
      <c r="G24">
        <v>162</v>
      </c>
      <c r="H24">
        <v>87</v>
      </c>
      <c r="I24">
        <v>64</v>
      </c>
      <c r="J24">
        <v>54</v>
      </c>
      <c r="K24">
        <v>98</v>
      </c>
      <c r="L24">
        <v>159</v>
      </c>
      <c r="M24">
        <v>103</v>
      </c>
      <c r="N24">
        <v>167</v>
      </c>
      <c r="O24">
        <v>178</v>
      </c>
      <c r="P24">
        <v>664</v>
      </c>
      <c r="Q24">
        <v>684</v>
      </c>
      <c r="R24">
        <v>1790</v>
      </c>
      <c r="S24">
        <v>384</v>
      </c>
      <c r="T24">
        <v>75</v>
      </c>
      <c r="U24">
        <f t="shared" si="5"/>
        <v>2101</v>
      </c>
      <c r="V24">
        <f t="shared" si="5"/>
        <v>661.19999999999993</v>
      </c>
      <c r="W24">
        <f t="shared" si="5"/>
        <v>137.69999999999999</v>
      </c>
      <c r="X24">
        <f t="shared" si="5"/>
        <v>66.7</v>
      </c>
      <c r="Y24">
        <f t="shared" si="5"/>
        <v>44.8</v>
      </c>
      <c r="Z24">
        <f t="shared" si="5"/>
        <v>34.199999999999996</v>
      </c>
      <c r="AA24">
        <f t="shared" si="5"/>
        <v>53.900000000000006</v>
      </c>
      <c r="AB24">
        <f t="shared" si="5"/>
        <v>71.55</v>
      </c>
      <c r="AC24">
        <f t="shared" si="5"/>
        <v>37.766666666666666</v>
      </c>
      <c r="AD24">
        <f t="shared" si="5"/>
        <v>41.75</v>
      </c>
      <c r="AE24">
        <f t="shared" si="5"/>
        <v>14.833333333333332</v>
      </c>
      <c r="AF24" s="12">
        <f t="shared" si="6"/>
        <v>0.43736940798285562</v>
      </c>
      <c r="AG24">
        <f t="shared" si="10"/>
        <v>2101</v>
      </c>
      <c r="AH24">
        <f t="shared" si="11"/>
        <v>654.24</v>
      </c>
      <c r="AI24">
        <f t="shared" si="12"/>
        <v>132.84</v>
      </c>
      <c r="AJ24">
        <f t="shared" si="13"/>
        <v>62.64</v>
      </c>
      <c r="AK24">
        <f t="shared" si="14"/>
        <v>40.96</v>
      </c>
      <c r="AL24">
        <f t="shared" si="15"/>
        <v>30.240000000000002</v>
      </c>
      <c r="AM24">
        <f t="shared" si="16"/>
        <v>45.080000000000005</v>
      </c>
      <c r="AN24">
        <f t="shared" si="17"/>
        <v>54.06</v>
      </c>
      <c r="AO24">
        <f t="shared" si="18"/>
        <v>24.72</v>
      </c>
      <c r="AP24">
        <f t="shared" si="19"/>
        <v>16.7</v>
      </c>
      <c r="AQ24">
        <f t="shared" si="20"/>
        <v>0.42358424859362431</v>
      </c>
    </row>
    <row r="25" spans="1:43" x14ac:dyDescent="0.35">
      <c r="A25" t="s">
        <v>35</v>
      </c>
      <c r="B25" t="s">
        <v>36</v>
      </c>
      <c r="C25">
        <f>VLOOKUP(CONCATENATE("2024",'2024_60'!A25),aktivnepesseg!$C$2:$D$2226,2,FALSE)</f>
        <v>18450</v>
      </c>
      <c r="D25">
        <f t="shared" si="8"/>
        <v>13439</v>
      </c>
      <c r="E25">
        <f t="shared" si="9"/>
        <v>5011</v>
      </c>
      <c r="F25">
        <v>1859</v>
      </c>
      <c r="G25">
        <v>428</v>
      </c>
      <c r="H25">
        <v>190</v>
      </c>
      <c r="I25">
        <v>271</v>
      </c>
      <c r="J25">
        <v>162</v>
      </c>
      <c r="K25">
        <v>262</v>
      </c>
      <c r="L25">
        <v>487</v>
      </c>
      <c r="M25">
        <v>234</v>
      </c>
      <c r="N25">
        <v>444</v>
      </c>
      <c r="O25">
        <v>494</v>
      </c>
      <c r="P25">
        <v>2090</v>
      </c>
      <c r="Q25">
        <v>1634</v>
      </c>
      <c r="R25">
        <v>3806</v>
      </c>
      <c r="S25">
        <v>957</v>
      </c>
      <c r="T25">
        <v>121</v>
      </c>
      <c r="U25">
        <f t="shared" si="5"/>
        <v>5011</v>
      </c>
      <c r="V25">
        <f t="shared" si="5"/>
        <v>1766.05</v>
      </c>
      <c r="W25">
        <f t="shared" si="5"/>
        <v>363.8</v>
      </c>
      <c r="X25">
        <f t="shared" si="5"/>
        <v>145.66666666666669</v>
      </c>
      <c r="Y25">
        <f t="shared" si="5"/>
        <v>189.7</v>
      </c>
      <c r="Z25">
        <f t="shared" si="5"/>
        <v>102.6</v>
      </c>
      <c r="AA25">
        <f t="shared" si="5"/>
        <v>144.10000000000002</v>
      </c>
      <c r="AB25">
        <f t="shared" si="5"/>
        <v>219.15</v>
      </c>
      <c r="AC25">
        <f t="shared" si="5"/>
        <v>85.8</v>
      </c>
      <c r="AD25">
        <f t="shared" si="5"/>
        <v>111</v>
      </c>
      <c r="AE25">
        <f t="shared" si="5"/>
        <v>41.166666666666664</v>
      </c>
      <c r="AF25" s="12">
        <f t="shared" si="6"/>
        <v>0.44336224028906962</v>
      </c>
      <c r="AG25">
        <f t="shared" si="10"/>
        <v>5011</v>
      </c>
      <c r="AH25">
        <f t="shared" si="11"/>
        <v>1747.4599999999998</v>
      </c>
      <c r="AI25">
        <f t="shared" si="12"/>
        <v>350.96</v>
      </c>
      <c r="AJ25">
        <f t="shared" si="13"/>
        <v>136.79999999999998</v>
      </c>
      <c r="AK25">
        <f t="shared" si="14"/>
        <v>173.44</v>
      </c>
      <c r="AL25">
        <f t="shared" si="15"/>
        <v>90.720000000000013</v>
      </c>
      <c r="AM25">
        <f t="shared" si="16"/>
        <v>120.52000000000001</v>
      </c>
      <c r="AN25">
        <f t="shared" si="17"/>
        <v>165.58</v>
      </c>
      <c r="AO25">
        <f t="shared" si="18"/>
        <v>56.16</v>
      </c>
      <c r="AP25">
        <f t="shared" si="19"/>
        <v>44.400000000000006</v>
      </c>
      <c r="AQ25">
        <f t="shared" si="20"/>
        <v>0.42802384823848239</v>
      </c>
    </row>
    <row r="26" spans="1:43" x14ac:dyDescent="0.35">
      <c r="A26" t="s">
        <v>37</v>
      </c>
      <c r="B26" t="s">
        <v>38</v>
      </c>
      <c r="C26">
        <f>VLOOKUP(CONCATENATE("2024",'2024_60'!A26),aktivnepesseg!$C$2:$D$2226,2,FALSE)</f>
        <v>63969</v>
      </c>
      <c r="D26">
        <f t="shared" si="8"/>
        <v>52496</v>
      </c>
      <c r="E26">
        <f t="shared" si="9"/>
        <v>11473</v>
      </c>
      <c r="F26">
        <v>5235</v>
      </c>
      <c r="G26">
        <v>1372</v>
      </c>
      <c r="H26">
        <v>706</v>
      </c>
      <c r="I26">
        <v>1003</v>
      </c>
      <c r="J26">
        <v>670</v>
      </c>
      <c r="K26">
        <v>959</v>
      </c>
      <c r="L26">
        <v>1156</v>
      </c>
      <c r="M26">
        <v>810</v>
      </c>
      <c r="N26">
        <v>1349</v>
      </c>
      <c r="O26">
        <v>1438</v>
      </c>
      <c r="P26">
        <v>5943</v>
      </c>
      <c r="Q26">
        <v>3880</v>
      </c>
      <c r="R26">
        <v>14898</v>
      </c>
      <c r="S26">
        <v>8694</v>
      </c>
      <c r="T26">
        <v>4383</v>
      </c>
      <c r="U26">
        <f t="shared" si="5"/>
        <v>11473</v>
      </c>
      <c r="V26">
        <f t="shared" si="5"/>
        <v>4973.25</v>
      </c>
      <c r="W26">
        <f t="shared" si="5"/>
        <v>1166.2</v>
      </c>
      <c r="X26">
        <f t="shared" si="5"/>
        <v>541.26666666666665</v>
      </c>
      <c r="Y26">
        <f t="shared" si="5"/>
        <v>702.09999999999991</v>
      </c>
      <c r="Z26">
        <f t="shared" si="5"/>
        <v>424.33333333333331</v>
      </c>
      <c r="AA26">
        <f t="shared" si="5"/>
        <v>527.45000000000005</v>
      </c>
      <c r="AB26">
        <f t="shared" si="5"/>
        <v>520.20000000000005</v>
      </c>
      <c r="AC26">
        <f t="shared" si="5"/>
        <v>297</v>
      </c>
      <c r="AD26">
        <f t="shared" si="5"/>
        <v>337.25</v>
      </c>
      <c r="AE26">
        <f t="shared" si="5"/>
        <v>119.83333333333333</v>
      </c>
      <c r="AF26" s="12">
        <f t="shared" si="6"/>
        <v>0.32956405967473823</v>
      </c>
      <c r="AG26">
        <f t="shared" si="10"/>
        <v>11473</v>
      </c>
      <c r="AH26">
        <f t="shared" si="11"/>
        <v>4920.8999999999996</v>
      </c>
      <c r="AI26">
        <f t="shared" si="12"/>
        <v>1125.04</v>
      </c>
      <c r="AJ26">
        <f t="shared" si="13"/>
        <v>508.32</v>
      </c>
      <c r="AK26">
        <f t="shared" si="14"/>
        <v>641.91999999999996</v>
      </c>
      <c r="AL26">
        <f t="shared" si="15"/>
        <v>375.20000000000005</v>
      </c>
      <c r="AM26">
        <f t="shared" si="16"/>
        <v>441.14000000000004</v>
      </c>
      <c r="AN26">
        <f t="shared" si="17"/>
        <v>393.04</v>
      </c>
      <c r="AO26">
        <f t="shared" si="18"/>
        <v>194.4</v>
      </c>
      <c r="AP26">
        <f t="shared" si="19"/>
        <v>134.9</v>
      </c>
      <c r="AQ26">
        <f t="shared" si="20"/>
        <v>0.31590082696306032</v>
      </c>
    </row>
    <row r="27" spans="1:43" x14ac:dyDescent="0.35">
      <c r="A27" t="s">
        <v>39</v>
      </c>
      <c r="B27" t="s">
        <v>40</v>
      </c>
      <c r="C27">
        <f>VLOOKUP(CONCATENATE("2024",'2024_60'!A27),aktivnepesseg!$C$2:$D$2226,2,FALSE)</f>
        <v>1056928</v>
      </c>
      <c r="D27">
        <f t="shared" si="8"/>
        <v>880732</v>
      </c>
      <c r="E27">
        <f t="shared" si="9"/>
        <v>176196</v>
      </c>
      <c r="F27">
        <v>86047</v>
      </c>
      <c r="G27">
        <v>25152</v>
      </c>
      <c r="H27">
        <v>14700</v>
      </c>
      <c r="I27">
        <v>19727</v>
      </c>
      <c r="J27">
        <v>12581</v>
      </c>
      <c r="K27">
        <v>17304</v>
      </c>
      <c r="L27">
        <v>22918</v>
      </c>
      <c r="M27">
        <v>13928</v>
      </c>
      <c r="N27">
        <v>25278</v>
      </c>
      <c r="O27">
        <v>25083</v>
      </c>
      <c r="P27">
        <v>96167</v>
      </c>
      <c r="Q27">
        <v>62738</v>
      </c>
      <c r="R27">
        <v>255504</v>
      </c>
      <c r="S27">
        <v>150736</v>
      </c>
      <c r="T27">
        <v>52869</v>
      </c>
      <c r="U27">
        <f t="shared" si="5"/>
        <v>176196</v>
      </c>
      <c r="V27">
        <f t="shared" si="5"/>
        <v>81744.649999999994</v>
      </c>
      <c r="W27">
        <f t="shared" si="5"/>
        <v>21379.200000000001</v>
      </c>
      <c r="X27">
        <f t="shared" si="5"/>
        <v>11270</v>
      </c>
      <c r="Y27">
        <f t="shared" si="5"/>
        <v>13808.9</v>
      </c>
      <c r="Z27">
        <f t="shared" si="5"/>
        <v>7967.9666666666662</v>
      </c>
      <c r="AA27">
        <f t="shared" si="5"/>
        <v>9517.2000000000007</v>
      </c>
      <c r="AB27">
        <f t="shared" si="5"/>
        <v>10313.1</v>
      </c>
      <c r="AC27">
        <f t="shared" si="5"/>
        <v>5106.9333333333334</v>
      </c>
      <c r="AD27">
        <f t="shared" si="5"/>
        <v>6319.5</v>
      </c>
      <c r="AE27">
        <f t="shared" si="5"/>
        <v>2090.25</v>
      </c>
      <c r="AF27" s="12">
        <f t="shared" si="6"/>
        <v>0.32709295240546188</v>
      </c>
      <c r="AG27">
        <f t="shared" si="10"/>
        <v>176196</v>
      </c>
      <c r="AH27">
        <f t="shared" si="11"/>
        <v>80884.179999999993</v>
      </c>
      <c r="AI27">
        <f t="shared" si="12"/>
        <v>20624.64</v>
      </c>
      <c r="AJ27">
        <f t="shared" si="13"/>
        <v>10584</v>
      </c>
      <c r="AK27">
        <f t="shared" si="14"/>
        <v>12625.28</v>
      </c>
      <c r="AL27">
        <f t="shared" si="15"/>
        <v>7045.3600000000006</v>
      </c>
      <c r="AM27">
        <f t="shared" si="16"/>
        <v>7959.84</v>
      </c>
      <c r="AN27">
        <f t="shared" si="17"/>
        <v>7792.1200000000008</v>
      </c>
      <c r="AO27">
        <f t="shared" si="18"/>
        <v>3342.72</v>
      </c>
      <c r="AP27">
        <f t="shared" si="19"/>
        <v>2527.8000000000002</v>
      </c>
      <c r="AQ27">
        <f t="shared" si="20"/>
        <v>0.31183007735626267</v>
      </c>
    </row>
    <row r="28" spans="1:43" x14ac:dyDescent="0.35">
      <c r="A28" t="s">
        <v>41</v>
      </c>
      <c r="B28" t="s">
        <v>42</v>
      </c>
      <c r="C28">
        <f>VLOOKUP(CONCATENATE("2024",'2024_60'!A28),aktivnepesseg!$C$2:$D$2226,2,FALSE)</f>
        <v>15800</v>
      </c>
      <c r="D28">
        <f t="shared" si="8"/>
        <v>13248</v>
      </c>
      <c r="E28">
        <f t="shared" si="9"/>
        <v>2552</v>
      </c>
      <c r="F28">
        <v>1627</v>
      </c>
      <c r="G28">
        <v>372</v>
      </c>
      <c r="H28">
        <v>190</v>
      </c>
      <c r="I28">
        <v>296</v>
      </c>
      <c r="J28">
        <v>204</v>
      </c>
      <c r="K28">
        <v>255</v>
      </c>
      <c r="L28">
        <v>270</v>
      </c>
      <c r="M28">
        <v>220</v>
      </c>
      <c r="N28">
        <v>369</v>
      </c>
      <c r="O28">
        <v>354</v>
      </c>
      <c r="P28">
        <v>1403</v>
      </c>
      <c r="Q28">
        <v>783</v>
      </c>
      <c r="R28">
        <v>3238</v>
      </c>
      <c r="S28">
        <v>2429</v>
      </c>
      <c r="T28">
        <v>1238</v>
      </c>
      <c r="U28">
        <f t="shared" si="5"/>
        <v>2552</v>
      </c>
      <c r="V28">
        <f t="shared" si="5"/>
        <v>1545.6499999999999</v>
      </c>
      <c r="W28">
        <f t="shared" si="5"/>
        <v>316.2</v>
      </c>
      <c r="X28">
        <f t="shared" si="5"/>
        <v>145.66666666666669</v>
      </c>
      <c r="Y28">
        <f t="shared" si="5"/>
        <v>207.2</v>
      </c>
      <c r="Z28">
        <f t="shared" si="5"/>
        <v>129.19999999999999</v>
      </c>
      <c r="AA28">
        <f t="shared" si="5"/>
        <v>140.25</v>
      </c>
      <c r="AB28">
        <f t="shared" si="5"/>
        <v>121.5</v>
      </c>
      <c r="AC28">
        <f t="shared" si="5"/>
        <v>80.666666666666657</v>
      </c>
      <c r="AD28">
        <f t="shared" si="5"/>
        <v>92.25</v>
      </c>
      <c r="AE28">
        <f t="shared" si="5"/>
        <v>29.5</v>
      </c>
      <c r="AF28" s="12">
        <f t="shared" si="6"/>
        <v>0.33924578059071731</v>
      </c>
      <c r="AG28">
        <f t="shared" si="10"/>
        <v>2552</v>
      </c>
      <c r="AH28">
        <f t="shared" si="11"/>
        <v>1529.3799999999999</v>
      </c>
      <c r="AI28">
        <f t="shared" si="12"/>
        <v>305.03999999999996</v>
      </c>
      <c r="AJ28">
        <f t="shared" si="13"/>
        <v>136.79999999999998</v>
      </c>
      <c r="AK28">
        <f t="shared" si="14"/>
        <v>189.44</v>
      </c>
      <c r="AL28">
        <f t="shared" si="15"/>
        <v>114.24000000000001</v>
      </c>
      <c r="AM28">
        <f t="shared" si="16"/>
        <v>117.30000000000001</v>
      </c>
      <c r="AN28">
        <f t="shared" si="17"/>
        <v>91.800000000000011</v>
      </c>
      <c r="AO28">
        <f t="shared" si="18"/>
        <v>52.8</v>
      </c>
      <c r="AP28">
        <f t="shared" si="19"/>
        <v>36.9</v>
      </c>
      <c r="AQ28">
        <f t="shared" si="20"/>
        <v>0.32441139240506328</v>
      </c>
    </row>
    <row r="29" spans="1:43" x14ac:dyDescent="0.35">
      <c r="A29" t="s">
        <v>43</v>
      </c>
      <c r="B29" t="s">
        <v>44</v>
      </c>
      <c r="C29">
        <f>VLOOKUP(CONCATENATE("2024",'2024_60'!A29),aktivnepesseg!$C$2:$D$2226,2,FALSE)</f>
        <v>49760</v>
      </c>
      <c r="D29">
        <f t="shared" si="8"/>
        <v>42499</v>
      </c>
      <c r="E29">
        <f t="shared" si="9"/>
        <v>7261</v>
      </c>
      <c r="F29">
        <v>5543</v>
      </c>
      <c r="G29">
        <v>1087</v>
      </c>
      <c r="H29">
        <v>585</v>
      </c>
      <c r="I29">
        <v>842</v>
      </c>
      <c r="J29">
        <v>603</v>
      </c>
      <c r="K29">
        <v>822</v>
      </c>
      <c r="L29">
        <v>926</v>
      </c>
      <c r="M29">
        <v>661</v>
      </c>
      <c r="N29">
        <v>1147</v>
      </c>
      <c r="O29">
        <v>1101</v>
      </c>
      <c r="P29">
        <v>4146</v>
      </c>
      <c r="Q29">
        <v>2548</v>
      </c>
      <c r="R29">
        <v>9563</v>
      </c>
      <c r="S29">
        <v>7715</v>
      </c>
      <c r="T29">
        <v>5210</v>
      </c>
      <c r="U29">
        <f t="shared" si="5"/>
        <v>7261</v>
      </c>
      <c r="V29">
        <f t="shared" si="5"/>
        <v>5265.8499999999995</v>
      </c>
      <c r="W29">
        <f t="shared" si="5"/>
        <v>923.94999999999993</v>
      </c>
      <c r="X29">
        <f t="shared" si="5"/>
        <v>448.50000000000006</v>
      </c>
      <c r="Y29">
        <f t="shared" si="5"/>
        <v>589.4</v>
      </c>
      <c r="Z29">
        <f t="shared" si="5"/>
        <v>381.9</v>
      </c>
      <c r="AA29">
        <f t="shared" si="5"/>
        <v>452.1</v>
      </c>
      <c r="AB29">
        <f t="shared" si="5"/>
        <v>416.7</v>
      </c>
      <c r="AC29">
        <f t="shared" si="5"/>
        <v>242.36666666666665</v>
      </c>
      <c r="AD29">
        <f t="shared" si="5"/>
        <v>286.75</v>
      </c>
      <c r="AE29">
        <f t="shared" si="5"/>
        <v>91.75</v>
      </c>
      <c r="AF29" s="12">
        <f t="shared" si="6"/>
        <v>0.32878349410503749</v>
      </c>
      <c r="AG29">
        <f t="shared" si="10"/>
        <v>7261</v>
      </c>
      <c r="AH29">
        <f t="shared" si="11"/>
        <v>5210.42</v>
      </c>
      <c r="AI29">
        <f t="shared" si="12"/>
        <v>891.33999999999992</v>
      </c>
      <c r="AJ29">
        <f t="shared" si="13"/>
        <v>421.2</v>
      </c>
      <c r="AK29">
        <f t="shared" si="14"/>
        <v>538.88</v>
      </c>
      <c r="AL29">
        <f t="shared" si="15"/>
        <v>337.68</v>
      </c>
      <c r="AM29">
        <f t="shared" si="16"/>
        <v>378.12</v>
      </c>
      <c r="AN29">
        <f t="shared" si="17"/>
        <v>314.84000000000003</v>
      </c>
      <c r="AO29">
        <f t="shared" si="18"/>
        <v>158.63999999999999</v>
      </c>
      <c r="AP29">
        <f t="shared" si="19"/>
        <v>114.7</v>
      </c>
      <c r="AQ29">
        <f t="shared" si="20"/>
        <v>0.3140438102893891</v>
      </c>
    </row>
    <row r="30" spans="1:43" x14ac:dyDescent="0.35">
      <c r="A30" t="s">
        <v>45</v>
      </c>
      <c r="B30" t="s">
        <v>46</v>
      </c>
      <c r="C30">
        <f>VLOOKUP(CONCATENATE("2024",'2024_60'!A30),aktivnepesseg!$C$2:$D$2226,2,FALSE)</f>
        <v>77449</v>
      </c>
      <c r="D30">
        <f t="shared" si="8"/>
        <v>66869</v>
      </c>
      <c r="E30">
        <f t="shared" si="9"/>
        <v>10580</v>
      </c>
      <c r="F30">
        <v>6623</v>
      </c>
      <c r="G30">
        <v>1962</v>
      </c>
      <c r="H30">
        <v>1064</v>
      </c>
      <c r="I30">
        <v>1366</v>
      </c>
      <c r="J30">
        <v>972</v>
      </c>
      <c r="K30">
        <v>1210</v>
      </c>
      <c r="L30">
        <v>1641</v>
      </c>
      <c r="M30">
        <v>975</v>
      </c>
      <c r="N30">
        <v>1836</v>
      </c>
      <c r="O30">
        <v>1772</v>
      </c>
      <c r="P30">
        <v>6992</v>
      </c>
      <c r="Q30">
        <v>4588</v>
      </c>
      <c r="R30">
        <v>19606</v>
      </c>
      <c r="S30">
        <v>11809</v>
      </c>
      <c r="T30">
        <v>4453</v>
      </c>
      <c r="U30">
        <f t="shared" si="5"/>
        <v>10580</v>
      </c>
      <c r="V30">
        <f t="shared" si="5"/>
        <v>6291.8499999999995</v>
      </c>
      <c r="W30">
        <f t="shared" si="5"/>
        <v>1667.7</v>
      </c>
      <c r="X30">
        <f t="shared" si="5"/>
        <v>815.73333333333335</v>
      </c>
      <c r="Y30">
        <f t="shared" si="5"/>
        <v>956.19999999999993</v>
      </c>
      <c r="Z30">
        <f t="shared" si="5"/>
        <v>615.6</v>
      </c>
      <c r="AA30">
        <f t="shared" si="5"/>
        <v>665.5</v>
      </c>
      <c r="AB30">
        <f t="shared" si="5"/>
        <v>738.45</v>
      </c>
      <c r="AC30">
        <f t="shared" si="5"/>
        <v>357.5</v>
      </c>
      <c r="AD30">
        <f t="shared" si="5"/>
        <v>459</v>
      </c>
      <c r="AE30">
        <f t="shared" si="5"/>
        <v>147.66666666666666</v>
      </c>
      <c r="AF30" s="12">
        <f t="shared" si="6"/>
        <v>0.30078115921445081</v>
      </c>
      <c r="AG30">
        <f t="shared" si="10"/>
        <v>10580</v>
      </c>
      <c r="AH30">
        <f t="shared" si="11"/>
        <v>6225.62</v>
      </c>
      <c r="AI30">
        <f t="shared" si="12"/>
        <v>1608.84</v>
      </c>
      <c r="AJ30">
        <f t="shared" si="13"/>
        <v>766.07999999999993</v>
      </c>
      <c r="AK30">
        <f t="shared" si="14"/>
        <v>874.24</v>
      </c>
      <c r="AL30">
        <f t="shared" si="15"/>
        <v>544.32000000000005</v>
      </c>
      <c r="AM30">
        <f t="shared" si="16"/>
        <v>556.6</v>
      </c>
      <c r="AN30">
        <f t="shared" si="17"/>
        <v>557.94000000000005</v>
      </c>
      <c r="AO30">
        <f t="shared" si="18"/>
        <v>234</v>
      </c>
      <c r="AP30">
        <f t="shared" si="19"/>
        <v>183.60000000000002</v>
      </c>
      <c r="AQ30">
        <f t="shared" si="20"/>
        <v>0.28575243063177058</v>
      </c>
    </row>
    <row r="31" spans="1:43" x14ac:dyDescent="0.35">
      <c r="A31" t="s">
        <v>47</v>
      </c>
      <c r="B31" t="s">
        <v>48</v>
      </c>
      <c r="C31">
        <f>VLOOKUP(CONCATENATE("2024",'2024_60'!A31),aktivnepesseg!$C$2:$D$2226,2,FALSE)</f>
        <v>59988</v>
      </c>
      <c r="D31">
        <f t="shared" si="8"/>
        <v>50349</v>
      </c>
      <c r="E31">
        <f t="shared" si="9"/>
        <v>9639</v>
      </c>
      <c r="F31">
        <v>4128</v>
      </c>
      <c r="G31">
        <v>1332</v>
      </c>
      <c r="H31">
        <v>837</v>
      </c>
      <c r="I31">
        <v>1019</v>
      </c>
      <c r="J31">
        <v>637</v>
      </c>
      <c r="K31">
        <v>880</v>
      </c>
      <c r="L31">
        <v>1350</v>
      </c>
      <c r="M31">
        <v>790</v>
      </c>
      <c r="N31">
        <v>1357</v>
      </c>
      <c r="O31">
        <v>1389</v>
      </c>
      <c r="P31">
        <v>5215</v>
      </c>
      <c r="Q31">
        <v>3895</v>
      </c>
      <c r="R31">
        <v>16586</v>
      </c>
      <c r="S31">
        <v>8803</v>
      </c>
      <c r="T31">
        <v>2131</v>
      </c>
      <c r="U31">
        <f t="shared" si="5"/>
        <v>9639</v>
      </c>
      <c r="V31">
        <f t="shared" si="5"/>
        <v>3921.6</v>
      </c>
      <c r="W31">
        <f t="shared" ref="W31:AE59" si="21">G31*G$5</f>
        <v>1132.2</v>
      </c>
      <c r="X31">
        <f t="shared" si="21"/>
        <v>641.70000000000005</v>
      </c>
      <c r="Y31">
        <f t="shared" si="21"/>
        <v>713.3</v>
      </c>
      <c r="Z31">
        <f t="shared" si="21"/>
        <v>403.43333333333334</v>
      </c>
      <c r="AA31">
        <f t="shared" si="21"/>
        <v>484.00000000000006</v>
      </c>
      <c r="AB31">
        <f t="shared" si="21"/>
        <v>607.5</v>
      </c>
      <c r="AC31">
        <f t="shared" si="21"/>
        <v>289.66666666666663</v>
      </c>
      <c r="AD31">
        <f t="shared" si="21"/>
        <v>339.25</v>
      </c>
      <c r="AE31">
        <f t="shared" si="21"/>
        <v>115.75</v>
      </c>
      <c r="AF31" s="12">
        <f t="shared" si="6"/>
        <v>0.30485097019403884</v>
      </c>
      <c r="AG31">
        <f t="shared" si="10"/>
        <v>9639</v>
      </c>
      <c r="AH31">
        <f t="shared" si="11"/>
        <v>3880.3199999999997</v>
      </c>
      <c r="AI31">
        <f t="shared" si="12"/>
        <v>1092.24</v>
      </c>
      <c r="AJ31">
        <f t="shared" si="13"/>
        <v>602.64</v>
      </c>
      <c r="AK31">
        <f t="shared" si="14"/>
        <v>652.16</v>
      </c>
      <c r="AL31">
        <f t="shared" si="15"/>
        <v>356.72</v>
      </c>
      <c r="AM31">
        <f t="shared" si="16"/>
        <v>404.8</v>
      </c>
      <c r="AN31">
        <f t="shared" si="17"/>
        <v>459.00000000000006</v>
      </c>
      <c r="AO31">
        <f t="shared" si="18"/>
        <v>189.6</v>
      </c>
      <c r="AP31">
        <f t="shared" si="19"/>
        <v>135.70000000000002</v>
      </c>
      <c r="AQ31">
        <f t="shared" si="20"/>
        <v>0.29026105221044202</v>
      </c>
    </row>
    <row r="32" spans="1:43" x14ac:dyDescent="0.35">
      <c r="A32" t="s">
        <v>49</v>
      </c>
      <c r="B32" t="s">
        <v>50</v>
      </c>
      <c r="C32">
        <f>VLOOKUP(CONCATENATE("2024",'2024_60'!A32),aktivnepesseg!$C$2:$D$2226,2,FALSE)</f>
        <v>16637</v>
      </c>
      <c r="D32">
        <f t="shared" si="8"/>
        <v>12717</v>
      </c>
      <c r="E32">
        <f t="shared" si="9"/>
        <v>3920</v>
      </c>
      <c r="F32">
        <v>1513</v>
      </c>
      <c r="G32">
        <v>391</v>
      </c>
      <c r="H32">
        <v>238</v>
      </c>
      <c r="I32">
        <v>320</v>
      </c>
      <c r="J32">
        <v>199</v>
      </c>
      <c r="K32">
        <v>283</v>
      </c>
      <c r="L32">
        <v>337</v>
      </c>
      <c r="M32">
        <v>243</v>
      </c>
      <c r="N32">
        <v>447</v>
      </c>
      <c r="O32">
        <v>355</v>
      </c>
      <c r="P32">
        <v>1439</v>
      </c>
      <c r="Q32">
        <v>846</v>
      </c>
      <c r="R32">
        <v>2967</v>
      </c>
      <c r="S32">
        <v>2072</v>
      </c>
      <c r="T32">
        <v>1067</v>
      </c>
      <c r="U32">
        <f t="shared" ref="U32:Y63" si="22">E32*E$5</f>
        <v>3920</v>
      </c>
      <c r="V32">
        <f t="shared" si="22"/>
        <v>1437.35</v>
      </c>
      <c r="W32">
        <f t="shared" si="21"/>
        <v>332.34999999999997</v>
      </c>
      <c r="X32">
        <f t="shared" si="21"/>
        <v>182.46666666666667</v>
      </c>
      <c r="Y32">
        <f t="shared" si="21"/>
        <v>224</v>
      </c>
      <c r="Z32">
        <f t="shared" si="21"/>
        <v>126.03333333333333</v>
      </c>
      <c r="AA32">
        <f t="shared" si="21"/>
        <v>155.65</v>
      </c>
      <c r="AB32">
        <f t="shared" si="21"/>
        <v>151.65</v>
      </c>
      <c r="AC32">
        <f t="shared" si="21"/>
        <v>89.1</v>
      </c>
      <c r="AD32">
        <f t="shared" si="21"/>
        <v>111.75</v>
      </c>
      <c r="AE32">
        <f t="shared" si="21"/>
        <v>29.583333333333332</v>
      </c>
      <c r="AF32" s="12">
        <f t="shared" si="6"/>
        <v>0.40631924826190619</v>
      </c>
      <c r="AG32">
        <f t="shared" si="10"/>
        <v>3920</v>
      </c>
      <c r="AH32">
        <f t="shared" si="11"/>
        <v>1422.22</v>
      </c>
      <c r="AI32">
        <f t="shared" si="12"/>
        <v>320.62</v>
      </c>
      <c r="AJ32">
        <f t="shared" si="13"/>
        <v>171.35999999999999</v>
      </c>
      <c r="AK32">
        <f t="shared" si="14"/>
        <v>204.8</v>
      </c>
      <c r="AL32">
        <f t="shared" si="15"/>
        <v>111.44000000000001</v>
      </c>
      <c r="AM32">
        <f t="shared" si="16"/>
        <v>130.18</v>
      </c>
      <c r="AN32">
        <f t="shared" si="17"/>
        <v>114.58000000000001</v>
      </c>
      <c r="AO32">
        <f t="shared" si="18"/>
        <v>58.32</v>
      </c>
      <c r="AP32">
        <f t="shared" si="19"/>
        <v>44.7</v>
      </c>
      <c r="AQ32">
        <f t="shared" si="20"/>
        <v>0.39058844743643684</v>
      </c>
    </row>
    <row r="33" spans="1:43" x14ac:dyDescent="0.35">
      <c r="A33" t="s">
        <v>51</v>
      </c>
      <c r="B33" t="s">
        <v>52</v>
      </c>
      <c r="C33">
        <f>VLOOKUP(CONCATENATE("2024",'2024_60'!A33),aktivnepesseg!$C$2:$D$2226,2,FALSE)</f>
        <v>25435</v>
      </c>
      <c r="D33">
        <f t="shared" si="8"/>
        <v>18179</v>
      </c>
      <c r="E33">
        <f t="shared" si="9"/>
        <v>7256</v>
      </c>
      <c r="F33">
        <v>2004</v>
      </c>
      <c r="G33">
        <v>568</v>
      </c>
      <c r="H33">
        <v>347</v>
      </c>
      <c r="I33">
        <v>484</v>
      </c>
      <c r="J33">
        <v>312</v>
      </c>
      <c r="K33">
        <v>415</v>
      </c>
      <c r="L33">
        <v>507</v>
      </c>
      <c r="M33">
        <v>291</v>
      </c>
      <c r="N33">
        <v>588</v>
      </c>
      <c r="O33">
        <v>569</v>
      </c>
      <c r="P33">
        <v>2158</v>
      </c>
      <c r="Q33">
        <v>1218</v>
      </c>
      <c r="R33">
        <v>4592</v>
      </c>
      <c r="S33">
        <v>2928</v>
      </c>
      <c r="T33">
        <v>1198</v>
      </c>
      <c r="U33">
        <f t="shared" si="22"/>
        <v>7256</v>
      </c>
      <c r="V33">
        <f t="shared" si="22"/>
        <v>1903.8</v>
      </c>
      <c r="W33">
        <f t="shared" si="21"/>
        <v>482.8</v>
      </c>
      <c r="X33">
        <f t="shared" si="21"/>
        <v>266.03333333333336</v>
      </c>
      <c r="Y33">
        <f t="shared" si="21"/>
        <v>338.79999999999995</v>
      </c>
      <c r="Z33">
        <f t="shared" si="21"/>
        <v>197.6</v>
      </c>
      <c r="AA33">
        <f t="shared" si="21"/>
        <v>228.25000000000003</v>
      </c>
      <c r="AB33">
        <f t="shared" si="21"/>
        <v>228.15</v>
      </c>
      <c r="AC33">
        <f t="shared" si="21"/>
        <v>106.69999999999999</v>
      </c>
      <c r="AD33">
        <f t="shared" si="21"/>
        <v>147</v>
      </c>
      <c r="AE33">
        <f t="shared" si="21"/>
        <v>47.416666666666664</v>
      </c>
      <c r="AF33" s="12">
        <f t="shared" si="6"/>
        <v>0.44043837232160399</v>
      </c>
      <c r="AG33">
        <f t="shared" si="10"/>
        <v>7256</v>
      </c>
      <c r="AH33">
        <f t="shared" si="11"/>
        <v>1883.76</v>
      </c>
      <c r="AI33">
        <f t="shared" si="12"/>
        <v>465.76</v>
      </c>
      <c r="AJ33">
        <f t="shared" si="13"/>
        <v>249.84</v>
      </c>
      <c r="AK33">
        <f t="shared" si="14"/>
        <v>309.76</v>
      </c>
      <c r="AL33">
        <f t="shared" si="15"/>
        <v>174.72000000000003</v>
      </c>
      <c r="AM33">
        <f t="shared" si="16"/>
        <v>190.9</v>
      </c>
      <c r="AN33">
        <f t="shared" si="17"/>
        <v>172.38000000000002</v>
      </c>
      <c r="AO33">
        <f t="shared" si="18"/>
        <v>69.84</v>
      </c>
      <c r="AP33">
        <f t="shared" si="19"/>
        <v>58.800000000000004</v>
      </c>
      <c r="AQ33">
        <f t="shared" si="20"/>
        <v>0.42586042854334571</v>
      </c>
    </row>
    <row r="34" spans="1:43" x14ac:dyDescent="0.35">
      <c r="A34" t="s">
        <v>53</v>
      </c>
      <c r="B34" t="s">
        <v>54</v>
      </c>
      <c r="C34">
        <f>VLOOKUP(CONCATENATE("2024",'2024_60'!A34),aktivnepesseg!$C$2:$D$2226,2,FALSE)</f>
        <v>34562</v>
      </c>
      <c r="D34">
        <f t="shared" si="8"/>
        <v>24980</v>
      </c>
      <c r="E34">
        <f t="shared" si="9"/>
        <v>9582</v>
      </c>
      <c r="F34">
        <v>2573</v>
      </c>
      <c r="G34">
        <v>823</v>
      </c>
      <c r="H34">
        <v>535</v>
      </c>
      <c r="I34">
        <v>655</v>
      </c>
      <c r="J34">
        <v>416</v>
      </c>
      <c r="K34">
        <v>608</v>
      </c>
      <c r="L34">
        <v>785</v>
      </c>
      <c r="M34">
        <v>427</v>
      </c>
      <c r="N34">
        <v>882</v>
      </c>
      <c r="O34">
        <v>823</v>
      </c>
      <c r="P34">
        <v>2906</v>
      </c>
      <c r="Q34">
        <v>1680</v>
      </c>
      <c r="R34">
        <v>6749</v>
      </c>
      <c r="S34">
        <v>4037</v>
      </c>
      <c r="T34">
        <v>1081</v>
      </c>
      <c r="U34">
        <f t="shared" si="22"/>
        <v>9582</v>
      </c>
      <c r="V34">
        <f t="shared" si="22"/>
        <v>2444.35</v>
      </c>
      <c r="W34">
        <f t="shared" si="21"/>
        <v>699.55</v>
      </c>
      <c r="X34">
        <f t="shared" si="21"/>
        <v>410.16666666666669</v>
      </c>
      <c r="Y34">
        <f t="shared" si="21"/>
        <v>458.49999999999994</v>
      </c>
      <c r="Z34">
        <f t="shared" si="21"/>
        <v>263.46666666666664</v>
      </c>
      <c r="AA34">
        <f t="shared" si="21"/>
        <v>334.40000000000003</v>
      </c>
      <c r="AB34">
        <f t="shared" si="21"/>
        <v>353.25</v>
      </c>
      <c r="AC34">
        <f t="shared" si="21"/>
        <v>156.56666666666666</v>
      </c>
      <c r="AD34">
        <f t="shared" si="21"/>
        <v>220.5</v>
      </c>
      <c r="AE34">
        <f t="shared" si="21"/>
        <v>68.583333333333329</v>
      </c>
      <c r="AF34" s="12">
        <f t="shared" si="6"/>
        <v>0.43375190478946052</v>
      </c>
      <c r="AG34">
        <f t="shared" si="10"/>
        <v>9582</v>
      </c>
      <c r="AH34">
        <f t="shared" si="11"/>
        <v>2418.62</v>
      </c>
      <c r="AI34">
        <f t="shared" si="12"/>
        <v>674.86</v>
      </c>
      <c r="AJ34">
        <f t="shared" si="13"/>
        <v>385.2</v>
      </c>
      <c r="AK34">
        <f t="shared" si="14"/>
        <v>419.2</v>
      </c>
      <c r="AL34">
        <f t="shared" si="15"/>
        <v>232.96000000000004</v>
      </c>
      <c r="AM34">
        <f t="shared" si="16"/>
        <v>279.68</v>
      </c>
      <c r="AN34">
        <f t="shared" si="17"/>
        <v>266.90000000000003</v>
      </c>
      <c r="AO34">
        <f t="shared" si="18"/>
        <v>102.47999999999999</v>
      </c>
      <c r="AP34">
        <f t="shared" si="19"/>
        <v>88.2</v>
      </c>
      <c r="AQ34">
        <f t="shared" si="20"/>
        <v>0.4180921242983624</v>
      </c>
    </row>
    <row r="35" spans="1:43" x14ac:dyDescent="0.35">
      <c r="A35" t="s">
        <v>55</v>
      </c>
      <c r="B35" t="s">
        <v>56</v>
      </c>
      <c r="C35">
        <f>VLOOKUP(CONCATENATE("2024",'2024_60'!A35),aktivnepesseg!$C$2:$D$2226,2,FALSE)</f>
        <v>49245</v>
      </c>
      <c r="D35">
        <f t="shared" si="8"/>
        <v>36598</v>
      </c>
      <c r="E35">
        <f t="shared" si="9"/>
        <v>12647</v>
      </c>
      <c r="F35">
        <v>3775</v>
      </c>
      <c r="G35">
        <v>1516</v>
      </c>
      <c r="H35">
        <v>852</v>
      </c>
      <c r="I35">
        <v>1100</v>
      </c>
      <c r="J35">
        <v>739</v>
      </c>
      <c r="K35">
        <v>969</v>
      </c>
      <c r="L35">
        <v>1283</v>
      </c>
      <c r="M35">
        <v>644</v>
      </c>
      <c r="N35">
        <v>1231</v>
      </c>
      <c r="O35">
        <v>1261</v>
      </c>
      <c r="P35">
        <v>4050</v>
      </c>
      <c r="Q35">
        <v>2604</v>
      </c>
      <c r="R35">
        <v>9614</v>
      </c>
      <c r="S35">
        <v>5461</v>
      </c>
      <c r="T35">
        <v>1499</v>
      </c>
      <c r="U35">
        <f t="shared" si="22"/>
        <v>12647</v>
      </c>
      <c r="V35">
        <f t="shared" si="22"/>
        <v>3586.25</v>
      </c>
      <c r="W35">
        <f t="shared" si="21"/>
        <v>1288.5999999999999</v>
      </c>
      <c r="X35">
        <f t="shared" si="21"/>
        <v>653.20000000000005</v>
      </c>
      <c r="Y35">
        <f t="shared" si="21"/>
        <v>770</v>
      </c>
      <c r="Z35">
        <f t="shared" si="21"/>
        <v>468.0333333333333</v>
      </c>
      <c r="AA35">
        <f t="shared" si="21"/>
        <v>532.95000000000005</v>
      </c>
      <c r="AB35">
        <f t="shared" si="21"/>
        <v>577.35</v>
      </c>
      <c r="AC35">
        <f t="shared" si="21"/>
        <v>236.13333333333333</v>
      </c>
      <c r="AD35">
        <f t="shared" si="21"/>
        <v>307.75</v>
      </c>
      <c r="AE35">
        <f t="shared" si="21"/>
        <v>105.08333333333333</v>
      </c>
      <c r="AF35" s="12">
        <f t="shared" si="6"/>
        <v>0.42993908010965576</v>
      </c>
      <c r="AG35">
        <f t="shared" si="10"/>
        <v>12647</v>
      </c>
      <c r="AH35">
        <f t="shared" si="11"/>
        <v>3548.5</v>
      </c>
      <c r="AI35">
        <f t="shared" si="12"/>
        <v>1243.1199999999999</v>
      </c>
      <c r="AJ35">
        <f t="shared" si="13"/>
        <v>613.43999999999994</v>
      </c>
      <c r="AK35">
        <f t="shared" si="14"/>
        <v>704</v>
      </c>
      <c r="AL35">
        <f t="shared" si="15"/>
        <v>413.84000000000003</v>
      </c>
      <c r="AM35">
        <f t="shared" si="16"/>
        <v>445.74</v>
      </c>
      <c r="AN35">
        <f t="shared" si="17"/>
        <v>436.22</v>
      </c>
      <c r="AO35">
        <f t="shared" si="18"/>
        <v>154.56</v>
      </c>
      <c r="AP35">
        <f t="shared" si="19"/>
        <v>123.10000000000001</v>
      </c>
      <c r="AQ35">
        <f t="shared" si="20"/>
        <v>0.41282404305005588</v>
      </c>
    </row>
    <row r="36" spans="1:43" x14ac:dyDescent="0.35">
      <c r="A36" t="s">
        <v>57</v>
      </c>
      <c r="B36" t="s">
        <v>58</v>
      </c>
      <c r="C36">
        <f>VLOOKUP(CONCATENATE("2024",'2024_60'!A36),aktivnepesseg!$C$2:$D$2226,2,FALSE)</f>
        <v>37110</v>
      </c>
      <c r="D36">
        <f t="shared" si="8"/>
        <v>29544</v>
      </c>
      <c r="E36">
        <f t="shared" si="9"/>
        <v>7566</v>
      </c>
      <c r="F36">
        <v>2702</v>
      </c>
      <c r="G36">
        <v>915</v>
      </c>
      <c r="H36">
        <v>537</v>
      </c>
      <c r="I36">
        <v>672</v>
      </c>
      <c r="J36">
        <v>429</v>
      </c>
      <c r="K36">
        <v>605</v>
      </c>
      <c r="L36">
        <v>731</v>
      </c>
      <c r="M36">
        <v>458</v>
      </c>
      <c r="N36">
        <v>915</v>
      </c>
      <c r="O36">
        <v>856</v>
      </c>
      <c r="P36">
        <v>2946</v>
      </c>
      <c r="Q36">
        <v>1876</v>
      </c>
      <c r="R36">
        <v>8227</v>
      </c>
      <c r="S36">
        <v>5723</v>
      </c>
      <c r="T36">
        <v>1952</v>
      </c>
      <c r="U36">
        <f t="shared" si="22"/>
        <v>7566</v>
      </c>
      <c r="V36">
        <f t="shared" si="22"/>
        <v>2566.9</v>
      </c>
      <c r="W36">
        <f t="shared" si="21"/>
        <v>777.75</v>
      </c>
      <c r="X36">
        <f t="shared" si="21"/>
        <v>411.70000000000005</v>
      </c>
      <c r="Y36">
        <f t="shared" si="21"/>
        <v>470.4</v>
      </c>
      <c r="Z36">
        <f t="shared" si="21"/>
        <v>271.7</v>
      </c>
      <c r="AA36">
        <f t="shared" si="21"/>
        <v>332.75</v>
      </c>
      <c r="AB36">
        <f t="shared" si="21"/>
        <v>328.95</v>
      </c>
      <c r="AC36">
        <f t="shared" si="21"/>
        <v>167.93333333333331</v>
      </c>
      <c r="AD36">
        <f t="shared" si="21"/>
        <v>228.75</v>
      </c>
      <c r="AE36">
        <f t="shared" si="21"/>
        <v>71.333333333333329</v>
      </c>
      <c r="AF36" s="12">
        <f t="shared" si="6"/>
        <v>0.35554208209826643</v>
      </c>
      <c r="AG36">
        <f t="shared" si="10"/>
        <v>7566</v>
      </c>
      <c r="AH36">
        <f t="shared" si="11"/>
        <v>2539.8799999999997</v>
      </c>
      <c r="AI36">
        <f t="shared" si="12"/>
        <v>750.3</v>
      </c>
      <c r="AJ36">
        <f t="shared" si="13"/>
        <v>386.64</v>
      </c>
      <c r="AK36">
        <f t="shared" si="14"/>
        <v>430.08</v>
      </c>
      <c r="AL36">
        <f t="shared" si="15"/>
        <v>240.24</v>
      </c>
      <c r="AM36">
        <f t="shared" si="16"/>
        <v>278.3</v>
      </c>
      <c r="AN36">
        <f t="shared" si="17"/>
        <v>248.54000000000002</v>
      </c>
      <c r="AO36">
        <f t="shared" si="18"/>
        <v>109.92</v>
      </c>
      <c r="AP36">
        <f t="shared" si="19"/>
        <v>91.5</v>
      </c>
      <c r="AQ36">
        <f t="shared" si="20"/>
        <v>0.34064672594987866</v>
      </c>
    </row>
    <row r="37" spans="1:43" x14ac:dyDescent="0.35">
      <c r="A37" t="s">
        <v>59</v>
      </c>
      <c r="B37" t="s">
        <v>60</v>
      </c>
      <c r="C37">
        <f>VLOOKUP(CONCATENATE("2024",'2024_60'!A37),aktivnepesseg!$C$2:$D$2226,2,FALSE)</f>
        <v>46122</v>
      </c>
      <c r="D37">
        <f t="shared" si="8"/>
        <v>39154</v>
      </c>
      <c r="E37">
        <f t="shared" si="9"/>
        <v>6968</v>
      </c>
      <c r="F37">
        <v>3380</v>
      </c>
      <c r="G37">
        <v>1187</v>
      </c>
      <c r="H37">
        <v>717</v>
      </c>
      <c r="I37">
        <v>982</v>
      </c>
      <c r="J37">
        <v>566</v>
      </c>
      <c r="K37">
        <v>864</v>
      </c>
      <c r="L37">
        <v>1206</v>
      </c>
      <c r="M37">
        <v>644</v>
      </c>
      <c r="N37">
        <v>1243</v>
      </c>
      <c r="O37">
        <v>1269</v>
      </c>
      <c r="P37">
        <v>4793</v>
      </c>
      <c r="Q37">
        <v>3112</v>
      </c>
      <c r="R37">
        <v>12331</v>
      </c>
      <c r="S37">
        <v>5795</v>
      </c>
      <c r="T37">
        <v>1065</v>
      </c>
      <c r="U37">
        <f t="shared" si="22"/>
        <v>6968</v>
      </c>
      <c r="V37">
        <f t="shared" si="22"/>
        <v>3211</v>
      </c>
      <c r="W37">
        <f t="shared" si="21"/>
        <v>1008.9499999999999</v>
      </c>
      <c r="X37">
        <f t="shared" si="21"/>
        <v>549.70000000000005</v>
      </c>
      <c r="Y37">
        <f t="shared" si="21"/>
        <v>687.4</v>
      </c>
      <c r="Z37">
        <f t="shared" si="21"/>
        <v>358.46666666666664</v>
      </c>
      <c r="AA37">
        <f t="shared" si="21"/>
        <v>475.20000000000005</v>
      </c>
      <c r="AB37">
        <f t="shared" si="21"/>
        <v>542.70000000000005</v>
      </c>
      <c r="AC37">
        <f t="shared" si="21"/>
        <v>236.13333333333333</v>
      </c>
      <c r="AD37">
        <f t="shared" si="21"/>
        <v>310.75</v>
      </c>
      <c r="AE37">
        <f t="shared" si="21"/>
        <v>105.75</v>
      </c>
      <c r="AF37" s="12">
        <f t="shared" si="6"/>
        <v>0.31338732058453672</v>
      </c>
      <c r="AG37">
        <f t="shared" si="10"/>
        <v>6968</v>
      </c>
      <c r="AH37">
        <f t="shared" si="11"/>
        <v>3177.2</v>
      </c>
      <c r="AI37">
        <f t="shared" si="12"/>
        <v>973.33999999999992</v>
      </c>
      <c r="AJ37">
        <f t="shared" si="13"/>
        <v>516.24</v>
      </c>
      <c r="AK37">
        <f t="shared" si="14"/>
        <v>628.48</v>
      </c>
      <c r="AL37">
        <f t="shared" si="15"/>
        <v>316.96000000000004</v>
      </c>
      <c r="AM37">
        <f t="shared" si="16"/>
        <v>397.44</v>
      </c>
      <c r="AN37">
        <f t="shared" si="17"/>
        <v>410.04</v>
      </c>
      <c r="AO37">
        <f t="shared" si="18"/>
        <v>154.56</v>
      </c>
      <c r="AP37">
        <f t="shared" si="19"/>
        <v>124.30000000000001</v>
      </c>
      <c r="AQ37">
        <f t="shared" si="20"/>
        <v>0.29631325614674126</v>
      </c>
    </row>
    <row r="38" spans="1:43" x14ac:dyDescent="0.35">
      <c r="A38" t="s">
        <v>61</v>
      </c>
      <c r="B38" t="s">
        <v>62</v>
      </c>
      <c r="C38">
        <f>VLOOKUP(CONCATENATE("2024",'2024_60'!A38),aktivnepesseg!$C$2:$D$2226,2,FALSE)</f>
        <v>80815</v>
      </c>
      <c r="D38">
        <f t="shared" si="8"/>
        <v>71155</v>
      </c>
      <c r="E38">
        <f t="shared" si="9"/>
        <v>9660</v>
      </c>
      <c r="F38">
        <v>7338</v>
      </c>
      <c r="G38">
        <v>1740</v>
      </c>
      <c r="H38">
        <v>958</v>
      </c>
      <c r="I38">
        <v>1336</v>
      </c>
      <c r="J38">
        <v>936</v>
      </c>
      <c r="K38">
        <v>1231</v>
      </c>
      <c r="L38">
        <v>1592</v>
      </c>
      <c r="M38">
        <v>1011</v>
      </c>
      <c r="N38">
        <v>1873</v>
      </c>
      <c r="O38">
        <v>1916</v>
      </c>
      <c r="P38">
        <v>7111</v>
      </c>
      <c r="Q38">
        <v>4591</v>
      </c>
      <c r="R38">
        <v>19245</v>
      </c>
      <c r="S38">
        <v>14176</v>
      </c>
      <c r="T38">
        <v>6101</v>
      </c>
      <c r="U38">
        <f t="shared" si="22"/>
        <v>9660</v>
      </c>
      <c r="V38">
        <f t="shared" si="22"/>
        <v>6971.0999999999995</v>
      </c>
      <c r="W38">
        <f t="shared" si="21"/>
        <v>1479</v>
      </c>
      <c r="X38">
        <f t="shared" si="21"/>
        <v>734.4666666666667</v>
      </c>
      <c r="Y38">
        <f t="shared" si="21"/>
        <v>935.19999999999993</v>
      </c>
      <c r="Z38">
        <f t="shared" si="21"/>
        <v>592.79999999999995</v>
      </c>
      <c r="AA38">
        <f t="shared" si="21"/>
        <v>677.05000000000007</v>
      </c>
      <c r="AB38">
        <f t="shared" si="21"/>
        <v>716.4</v>
      </c>
      <c r="AC38">
        <f t="shared" si="21"/>
        <v>370.7</v>
      </c>
      <c r="AD38">
        <f t="shared" si="21"/>
        <v>468.25</v>
      </c>
      <c r="AE38">
        <f t="shared" si="21"/>
        <v>159.66666666666666</v>
      </c>
      <c r="AF38" s="12">
        <f t="shared" si="6"/>
        <v>0.28168821794633836</v>
      </c>
      <c r="AG38">
        <f t="shared" si="10"/>
        <v>9660</v>
      </c>
      <c r="AH38">
        <f t="shared" si="11"/>
        <v>6897.7199999999993</v>
      </c>
      <c r="AI38">
        <f t="shared" si="12"/>
        <v>1426.8</v>
      </c>
      <c r="AJ38">
        <f t="shared" si="13"/>
        <v>689.76</v>
      </c>
      <c r="AK38">
        <f t="shared" si="14"/>
        <v>855.04</v>
      </c>
      <c r="AL38">
        <f t="shared" si="15"/>
        <v>524.16000000000008</v>
      </c>
      <c r="AM38">
        <f t="shared" si="16"/>
        <v>566.26</v>
      </c>
      <c r="AN38">
        <f t="shared" si="17"/>
        <v>541.28000000000009</v>
      </c>
      <c r="AO38">
        <f t="shared" si="18"/>
        <v>242.64</v>
      </c>
      <c r="AP38">
        <f t="shared" si="19"/>
        <v>187.3</v>
      </c>
      <c r="AQ38">
        <f t="shared" si="20"/>
        <v>0.2671652539751283</v>
      </c>
    </row>
    <row r="39" spans="1:43" x14ac:dyDescent="0.35">
      <c r="A39" t="s">
        <v>63</v>
      </c>
      <c r="B39" t="s">
        <v>64</v>
      </c>
      <c r="C39">
        <f>VLOOKUP(CONCATENATE("2024",'2024_60'!A39),aktivnepesseg!$C$2:$D$2226,2,FALSE)</f>
        <v>32637</v>
      </c>
      <c r="D39">
        <f t="shared" si="8"/>
        <v>27780</v>
      </c>
      <c r="E39">
        <f t="shared" si="9"/>
        <v>4857</v>
      </c>
      <c r="F39">
        <v>3360</v>
      </c>
      <c r="G39">
        <v>690</v>
      </c>
      <c r="H39">
        <v>414</v>
      </c>
      <c r="I39">
        <v>564</v>
      </c>
      <c r="J39">
        <v>414</v>
      </c>
      <c r="K39">
        <v>529</v>
      </c>
      <c r="L39">
        <v>612</v>
      </c>
      <c r="M39">
        <v>393</v>
      </c>
      <c r="N39">
        <v>656</v>
      </c>
      <c r="O39">
        <v>663</v>
      </c>
      <c r="P39">
        <v>2669</v>
      </c>
      <c r="Q39">
        <v>1702</v>
      </c>
      <c r="R39">
        <v>6563</v>
      </c>
      <c r="S39">
        <v>5313</v>
      </c>
      <c r="T39">
        <v>3238</v>
      </c>
      <c r="U39">
        <f t="shared" si="22"/>
        <v>4857</v>
      </c>
      <c r="V39">
        <f t="shared" si="22"/>
        <v>3192</v>
      </c>
      <c r="W39">
        <f t="shared" si="21"/>
        <v>586.5</v>
      </c>
      <c r="X39">
        <f t="shared" si="21"/>
        <v>317.40000000000003</v>
      </c>
      <c r="Y39">
        <f t="shared" si="21"/>
        <v>394.79999999999995</v>
      </c>
      <c r="Z39">
        <f t="shared" si="21"/>
        <v>262.2</v>
      </c>
      <c r="AA39">
        <f t="shared" si="21"/>
        <v>290.95000000000005</v>
      </c>
      <c r="AB39">
        <f t="shared" si="21"/>
        <v>275.40000000000003</v>
      </c>
      <c r="AC39">
        <f t="shared" si="21"/>
        <v>144.1</v>
      </c>
      <c r="AD39">
        <f t="shared" si="21"/>
        <v>164</v>
      </c>
      <c r="AE39">
        <f t="shared" si="21"/>
        <v>55.25</v>
      </c>
      <c r="AF39" s="12">
        <f t="shared" si="6"/>
        <v>0.32293409320709626</v>
      </c>
      <c r="AG39">
        <f t="shared" si="10"/>
        <v>4857</v>
      </c>
      <c r="AH39">
        <f t="shared" si="11"/>
        <v>3158.3999999999996</v>
      </c>
      <c r="AI39">
        <f t="shared" si="12"/>
        <v>565.79999999999995</v>
      </c>
      <c r="AJ39">
        <f t="shared" si="13"/>
        <v>298.08</v>
      </c>
      <c r="AK39">
        <f t="shared" si="14"/>
        <v>360.96</v>
      </c>
      <c r="AL39">
        <f t="shared" si="15"/>
        <v>231.84000000000003</v>
      </c>
      <c r="AM39">
        <f t="shared" si="16"/>
        <v>243.34</v>
      </c>
      <c r="AN39">
        <f t="shared" si="17"/>
        <v>208.08</v>
      </c>
      <c r="AO39">
        <f t="shared" si="18"/>
        <v>94.32</v>
      </c>
      <c r="AP39">
        <f t="shared" si="19"/>
        <v>65.600000000000009</v>
      </c>
      <c r="AQ39">
        <f t="shared" si="20"/>
        <v>0.3089567055795569</v>
      </c>
    </row>
    <row r="40" spans="1:43" x14ac:dyDescent="0.35">
      <c r="A40" t="s">
        <v>65</v>
      </c>
      <c r="B40" t="s">
        <v>66</v>
      </c>
      <c r="C40">
        <f>VLOOKUP(CONCATENATE("2024",'2024_60'!A40),aktivnepesseg!$C$2:$D$2226,2,FALSE)</f>
        <v>78705</v>
      </c>
      <c r="D40">
        <f t="shared" si="8"/>
        <v>67009</v>
      </c>
      <c r="E40">
        <f t="shared" si="9"/>
        <v>11696</v>
      </c>
      <c r="F40">
        <v>6027</v>
      </c>
      <c r="G40">
        <v>1728</v>
      </c>
      <c r="H40">
        <v>983</v>
      </c>
      <c r="I40">
        <v>1369</v>
      </c>
      <c r="J40">
        <v>880</v>
      </c>
      <c r="K40">
        <v>1217</v>
      </c>
      <c r="L40">
        <v>1541</v>
      </c>
      <c r="M40">
        <v>1039</v>
      </c>
      <c r="N40">
        <v>1773</v>
      </c>
      <c r="O40">
        <v>1809</v>
      </c>
      <c r="P40">
        <v>6817</v>
      </c>
      <c r="Q40">
        <v>4418</v>
      </c>
      <c r="R40">
        <v>18316</v>
      </c>
      <c r="S40">
        <v>13691</v>
      </c>
      <c r="T40">
        <v>5401</v>
      </c>
      <c r="U40">
        <f t="shared" si="22"/>
        <v>11696</v>
      </c>
      <c r="V40">
        <f t="shared" si="22"/>
        <v>5725.65</v>
      </c>
      <c r="W40">
        <f t="shared" si="21"/>
        <v>1468.8</v>
      </c>
      <c r="X40">
        <f t="shared" si="21"/>
        <v>753.63333333333344</v>
      </c>
      <c r="Y40">
        <f t="shared" si="21"/>
        <v>958.3</v>
      </c>
      <c r="Z40">
        <f t="shared" si="21"/>
        <v>557.33333333333326</v>
      </c>
      <c r="AA40">
        <f t="shared" si="21"/>
        <v>669.35</v>
      </c>
      <c r="AB40">
        <f t="shared" si="21"/>
        <v>693.45</v>
      </c>
      <c r="AC40">
        <f t="shared" si="21"/>
        <v>380.96666666666664</v>
      </c>
      <c r="AD40">
        <f t="shared" si="21"/>
        <v>443.25</v>
      </c>
      <c r="AE40">
        <f t="shared" si="21"/>
        <v>150.75</v>
      </c>
      <c r="AF40" s="12">
        <f t="shared" si="6"/>
        <v>0.29855134150731633</v>
      </c>
      <c r="AG40">
        <f t="shared" si="10"/>
        <v>11696</v>
      </c>
      <c r="AH40">
        <f t="shared" si="11"/>
        <v>5665.38</v>
      </c>
      <c r="AI40">
        <f t="shared" si="12"/>
        <v>1416.9599999999998</v>
      </c>
      <c r="AJ40">
        <f t="shared" si="13"/>
        <v>707.76</v>
      </c>
      <c r="AK40">
        <f t="shared" si="14"/>
        <v>876.16</v>
      </c>
      <c r="AL40">
        <f t="shared" si="15"/>
        <v>492.80000000000007</v>
      </c>
      <c r="AM40">
        <f t="shared" si="16"/>
        <v>559.82000000000005</v>
      </c>
      <c r="AN40">
        <f t="shared" si="17"/>
        <v>523.94000000000005</v>
      </c>
      <c r="AO40">
        <f t="shared" si="18"/>
        <v>249.35999999999999</v>
      </c>
      <c r="AP40">
        <f t="shared" si="19"/>
        <v>177.3</v>
      </c>
      <c r="AQ40">
        <f t="shared" si="20"/>
        <v>0.28416847722508093</v>
      </c>
    </row>
    <row r="41" spans="1:43" x14ac:dyDescent="0.35">
      <c r="A41" t="s">
        <v>67</v>
      </c>
      <c r="B41" t="s">
        <v>68</v>
      </c>
      <c r="C41">
        <f>VLOOKUP(CONCATENATE("2024",'2024_60'!A41),aktivnepesseg!$C$2:$D$2226,2,FALSE)</f>
        <v>71787</v>
      </c>
      <c r="D41">
        <f t="shared" si="8"/>
        <v>61110</v>
      </c>
      <c r="E41">
        <f t="shared" si="9"/>
        <v>10677</v>
      </c>
      <c r="F41">
        <v>5788</v>
      </c>
      <c r="G41">
        <v>1813</v>
      </c>
      <c r="H41">
        <v>1072</v>
      </c>
      <c r="I41">
        <v>1255</v>
      </c>
      <c r="J41">
        <v>838</v>
      </c>
      <c r="K41">
        <v>1177</v>
      </c>
      <c r="L41">
        <v>1481</v>
      </c>
      <c r="M41">
        <v>887</v>
      </c>
      <c r="N41">
        <v>1659</v>
      </c>
      <c r="O41">
        <v>1667</v>
      </c>
      <c r="P41">
        <v>6131</v>
      </c>
      <c r="Q41">
        <v>3947</v>
      </c>
      <c r="R41">
        <v>17542</v>
      </c>
      <c r="S41">
        <v>11804</v>
      </c>
      <c r="T41">
        <v>4049</v>
      </c>
      <c r="U41">
        <f t="shared" si="22"/>
        <v>10677</v>
      </c>
      <c r="V41">
        <f t="shared" si="22"/>
        <v>5498.5999999999995</v>
      </c>
      <c r="W41">
        <f t="shared" si="21"/>
        <v>1541.05</v>
      </c>
      <c r="X41">
        <f t="shared" si="21"/>
        <v>821.86666666666667</v>
      </c>
      <c r="Y41">
        <f t="shared" si="21"/>
        <v>878.5</v>
      </c>
      <c r="Z41">
        <f t="shared" si="21"/>
        <v>530.73333333333335</v>
      </c>
      <c r="AA41">
        <f t="shared" si="21"/>
        <v>647.35</v>
      </c>
      <c r="AB41">
        <f t="shared" si="21"/>
        <v>666.45</v>
      </c>
      <c r="AC41">
        <f t="shared" si="21"/>
        <v>325.23333333333329</v>
      </c>
      <c r="AD41">
        <f t="shared" si="21"/>
        <v>414.75</v>
      </c>
      <c r="AE41">
        <f t="shared" si="21"/>
        <v>138.91666666666666</v>
      </c>
      <c r="AF41" s="12">
        <f t="shared" si="6"/>
        <v>0.30841865518826522</v>
      </c>
      <c r="AG41">
        <f t="shared" si="10"/>
        <v>10677</v>
      </c>
      <c r="AH41">
        <f t="shared" si="11"/>
        <v>5440.7199999999993</v>
      </c>
      <c r="AI41">
        <f t="shared" si="12"/>
        <v>1486.6599999999999</v>
      </c>
      <c r="AJ41">
        <f t="shared" si="13"/>
        <v>771.83999999999992</v>
      </c>
      <c r="AK41">
        <f t="shared" si="14"/>
        <v>803.2</v>
      </c>
      <c r="AL41">
        <f t="shared" si="15"/>
        <v>469.28000000000003</v>
      </c>
      <c r="AM41">
        <f t="shared" si="16"/>
        <v>541.42000000000007</v>
      </c>
      <c r="AN41">
        <f t="shared" si="17"/>
        <v>503.54</v>
      </c>
      <c r="AO41">
        <f t="shared" si="18"/>
        <v>212.88</v>
      </c>
      <c r="AP41">
        <f t="shared" si="19"/>
        <v>165.9</v>
      </c>
      <c r="AQ41">
        <f t="shared" si="20"/>
        <v>0.29354117040689814</v>
      </c>
    </row>
    <row r="42" spans="1:43" x14ac:dyDescent="0.35">
      <c r="A42" t="s">
        <v>69</v>
      </c>
      <c r="B42" t="s">
        <v>70</v>
      </c>
      <c r="C42">
        <f>VLOOKUP(CONCATENATE("2024",'2024_60'!A42),aktivnepesseg!$C$2:$D$2226,2,FALSE)</f>
        <v>48532</v>
      </c>
      <c r="D42">
        <f t="shared" si="8"/>
        <v>40218</v>
      </c>
      <c r="E42">
        <f t="shared" si="9"/>
        <v>8314</v>
      </c>
      <c r="F42">
        <v>3472</v>
      </c>
      <c r="G42">
        <v>1187</v>
      </c>
      <c r="H42">
        <v>660</v>
      </c>
      <c r="I42">
        <v>1009</v>
      </c>
      <c r="J42">
        <v>607</v>
      </c>
      <c r="K42">
        <v>841</v>
      </c>
      <c r="L42">
        <v>1244</v>
      </c>
      <c r="M42">
        <v>698</v>
      </c>
      <c r="N42">
        <v>1156</v>
      </c>
      <c r="O42">
        <v>1241</v>
      </c>
      <c r="P42">
        <v>4920</v>
      </c>
      <c r="Q42">
        <v>3250</v>
      </c>
      <c r="R42">
        <v>13153</v>
      </c>
      <c r="S42">
        <v>5627</v>
      </c>
      <c r="T42">
        <v>1153</v>
      </c>
      <c r="U42">
        <f t="shared" si="22"/>
        <v>8314</v>
      </c>
      <c r="V42">
        <f t="shared" si="22"/>
        <v>3298.3999999999996</v>
      </c>
      <c r="W42">
        <f t="shared" si="21"/>
        <v>1008.9499999999999</v>
      </c>
      <c r="X42">
        <f t="shared" si="21"/>
        <v>506.00000000000006</v>
      </c>
      <c r="Y42">
        <f t="shared" si="21"/>
        <v>706.3</v>
      </c>
      <c r="Z42">
        <f t="shared" si="21"/>
        <v>384.43333333333334</v>
      </c>
      <c r="AA42">
        <f t="shared" si="21"/>
        <v>462.55</v>
      </c>
      <c r="AB42">
        <f t="shared" si="21"/>
        <v>559.80000000000007</v>
      </c>
      <c r="AC42">
        <f t="shared" si="21"/>
        <v>255.93333333333331</v>
      </c>
      <c r="AD42">
        <f t="shared" si="21"/>
        <v>289</v>
      </c>
      <c r="AE42">
        <f t="shared" si="21"/>
        <v>103.41666666666666</v>
      </c>
      <c r="AF42" s="12">
        <f t="shared" si="6"/>
        <v>0.327387771642078</v>
      </c>
      <c r="AG42">
        <f t="shared" si="10"/>
        <v>8314</v>
      </c>
      <c r="AH42">
        <f t="shared" si="11"/>
        <v>3263.68</v>
      </c>
      <c r="AI42">
        <f t="shared" si="12"/>
        <v>973.33999999999992</v>
      </c>
      <c r="AJ42">
        <f t="shared" si="13"/>
        <v>475.2</v>
      </c>
      <c r="AK42">
        <f t="shared" si="14"/>
        <v>645.76</v>
      </c>
      <c r="AL42">
        <f t="shared" si="15"/>
        <v>339.92</v>
      </c>
      <c r="AM42">
        <f t="shared" si="16"/>
        <v>386.86</v>
      </c>
      <c r="AN42">
        <f t="shared" si="17"/>
        <v>422.96000000000004</v>
      </c>
      <c r="AO42">
        <f t="shared" si="18"/>
        <v>167.51999999999998</v>
      </c>
      <c r="AP42">
        <f t="shared" si="19"/>
        <v>115.60000000000001</v>
      </c>
      <c r="AQ42">
        <f t="shared" si="20"/>
        <v>0.31123464930355232</v>
      </c>
    </row>
    <row r="43" spans="1:43" x14ac:dyDescent="0.35">
      <c r="A43" t="s">
        <v>71</v>
      </c>
      <c r="B43" t="s">
        <v>72</v>
      </c>
      <c r="C43">
        <f>VLOOKUP(CONCATENATE("2024",'2024_60'!A43),aktivnepesseg!$C$2:$D$2226,2,FALSE)</f>
        <v>44927</v>
      </c>
      <c r="D43">
        <f t="shared" si="8"/>
        <v>38513</v>
      </c>
      <c r="E43">
        <f t="shared" si="9"/>
        <v>6414</v>
      </c>
      <c r="F43">
        <v>3964</v>
      </c>
      <c r="G43">
        <v>1002</v>
      </c>
      <c r="H43">
        <v>566</v>
      </c>
      <c r="I43">
        <v>856</v>
      </c>
      <c r="J43">
        <v>462</v>
      </c>
      <c r="K43">
        <v>729</v>
      </c>
      <c r="L43">
        <v>1037</v>
      </c>
      <c r="M43">
        <v>642</v>
      </c>
      <c r="N43">
        <v>1087</v>
      </c>
      <c r="O43">
        <v>959</v>
      </c>
      <c r="P43">
        <v>4385</v>
      </c>
      <c r="Q43">
        <v>2717</v>
      </c>
      <c r="R43">
        <v>10803</v>
      </c>
      <c r="S43">
        <v>6663</v>
      </c>
      <c r="T43">
        <v>2641</v>
      </c>
      <c r="U43">
        <f t="shared" si="22"/>
        <v>6414</v>
      </c>
      <c r="V43">
        <f t="shared" si="22"/>
        <v>3765.7999999999997</v>
      </c>
      <c r="W43">
        <f t="shared" si="21"/>
        <v>851.69999999999993</v>
      </c>
      <c r="X43">
        <f t="shared" si="21"/>
        <v>433.93333333333334</v>
      </c>
      <c r="Y43">
        <f t="shared" si="21"/>
        <v>599.19999999999993</v>
      </c>
      <c r="Z43">
        <f t="shared" si="21"/>
        <v>292.59999999999997</v>
      </c>
      <c r="AA43">
        <f t="shared" si="21"/>
        <v>400.95000000000005</v>
      </c>
      <c r="AB43">
        <f t="shared" si="21"/>
        <v>466.65000000000003</v>
      </c>
      <c r="AC43">
        <f t="shared" si="21"/>
        <v>235.39999999999998</v>
      </c>
      <c r="AD43">
        <f t="shared" si="21"/>
        <v>271.75</v>
      </c>
      <c r="AE43">
        <f t="shared" si="21"/>
        <v>79.916666666666657</v>
      </c>
      <c r="AF43" s="12">
        <f t="shared" si="6"/>
        <v>0.30742983061410734</v>
      </c>
      <c r="AG43">
        <f t="shared" si="10"/>
        <v>6414</v>
      </c>
      <c r="AH43">
        <f t="shared" si="11"/>
        <v>3726.16</v>
      </c>
      <c r="AI43">
        <f t="shared" si="12"/>
        <v>821.64</v>
      </c>
      <c r="AJ43">
        <f t="shared" si="13"/>
        <v>407.52</v>
      </c>
      <c r="AK43">
        <f t="shared" si="14"/>
        <v>547.84</v>
      </c>
      <c r="AL43">
        <f t="shared" si="15"/>
        <v>258.72000000000003</v>
      </c>
      <c r="AM43">
        <f t="shared" si="16"/>
        <v>335.34000000000003</v>
      </c>
      <c r="AN43">
        <f t="shared" si="17"/>
        <v>352.58000000000004</v>
      </c>
      <c r="AO43">
        <f t="shared" si="18"/>
        <v>154.07999999999998</v>
      </c>
      <c r="AP43">
        <f t="shared" si="19"/>
        <v>108.7</v>
      </c>
      <c r="AQ43">
        <f t="shared" si="20"/>
        <v>0.29217575177510186</v>
      </c>
    </row>
    <row r="44" spans="1:43" x14ac:dyDescent="0.35">
      <c r="A44" t="s">
        <v>73</v>
      </c>
      <c r="B44" t="s">
        <v>74</v>
      </c>
      <c r="C44">
        <f>VLOOKUP(CONCATENATE("2024",'2024_60'!A44),aktivnepesseg!$C$2:$D$2226,2,FALSE)</f>
        <v>54824</v>
      </c>
      <c r="D44">
        <f t="shared" si="8"/>
        <v>46346</v>
      </c>
      <c r="E44">
        <f t="shared" si="9"/>
        <v>8478</v>
      </c>
      <c r="F44">
        <v>4205</v>
      </c>
      <c r="G44">
        <v>1199</v>
      </c>
      <c r="H44">
        <v>794</v>
      </c>
      <c r="I44">
        <v>1020</v>
      </c>
      <c r="J44">
        <v>581</v>
      </c>
      <c r="K44">
        <v>842</v>
      </c>
      <c r="L44">
        <v>1226</v>
      </c>
      <c r="M44">
        <v>720</v>
      </c>
      <c r="N44">
        <v>1247</v>
      </c>
      <c r="O44">
        <v>1312</v>
      </c>
      <c r="P44">
        <v>5389</v>
      </c>
      <c r="Q44">
        <v>3731</v>
      </c>
      <c r="R44">
        <v>14599</v>
      </c>
      <c r="S44">
        <v>7534</v>
      </c>
      <c r="T44">
        <v>1947</v>
      </c>
      <c r="U44">
        <f t="shared" si="22"/>
        <v>8478</v>
      </c>
      <c r="V44">
        <f t="shared" si="22"/>
        <v>3994.75</v>
      </c>
      <c r="W44">
        <f t="shared" si="21"/>
        <v>1019.15</v>
      </c>
      <c r="X44">
        <f t="shared" si="21"/>
        <v>608.73333333333335</v>
      </c>
      <c r="Y44">
        <f t="shared" si="21"/>
        <v>714</v>
      </c>
      <c r="Z44">
        <f t="shared" si="21"/>
        <v>367.96666666666664</v>
      </c>
      <c r="AA44">
        <f t="shared" si="21"/>
        <v>463.1</v>
      </c>
      <c r="AB44">
        <f t="shared" si="21"/>
        <v>551.70000000000005</v>
      </c>
      <c r="AC44">
        <f t="shared" si="21"/>
        <v>264</v>
      </c>
      <c r="AD44">
        <f t="shared" si="21"/>
        <v>311.75</v>
      </c>
      <c r="AE44">
        <f t="shared" si="21"/>
        <v>109.33333333333333</v>
      </c>
      <c r="AF44" s="12">
        <f t="shared" si="6"/>
        <v>0.30793964930200884</v>
      </c>
      <c r="AG44">
        <f t="shared" si="10"/>
        <v>8478</v>
      </c>
      <c r="AH44">
        <f t="shared" si="11"/>
        <v>3952.7</v>
      </c>
      <c r="AI44">
        <f t="shared" si="12"/>
        <v>983.18</v>
      </c>
      <c r="AJ44">
        <f t="shared" si="13"/>
        <v>571.67999999999995</v>
      </c>
      <c r="AK44">
        <f t="shared" si="14"/>
        <v>652.80000000000007</v>
      </c>
      <c r="AL44">
        <f t="shared" si="15"/>
        <v>325.36</v>
      </c>
      <c r="AM44">
        <f t="shared" si="16"/>
        <v>387.32</v>
      </c>
      <c r="AN44">
        <f t="shared" si="17"/>
        <v>416.84000000000003</v>
      </c>
      <c r="AO44">
        <f t="shared" si="18"/>
        <v>172.79999999999998</v>
      </c>
      <c r="AP44">
        <f t="shared" si="19"/>
        <v>124.7</v>
      </c>
      <c r="AQ44">
        <f t="shared" si="20"/>
        <v>0.29303553188384651</v>
      </c>
    </row>
    <row r="45" spans="1:43" x14ac:dyDescent="0.35">
      <c r="A45" t="s">
        <v>75</v>
      </c>
      <c r="B45" t="s">
        <v>76</v>
      </c>
      <c r="C45">
        <f>VLOOKUP(CONCATENATE("2024",'2024_60'!A45),aktivnepesseg!$C$2:$D$2226,2,FALSE)</f>
        <v>63782</v>
      </c>
      <c r="D45">
        <f t="shared" si="8"/>
        <v>52855</v>
      </c>
      <c r="E45">
        <f t="shared" si="9"/>
        <v>10927</v>
      </c>
      <c r="F45">
        <v>4875</v>
      </c>
      <c r="G45">
        <v>1451</v>
      </c>
      <c r="H45">
        <v>830</v>
      </c>
      <c r="I45">
        <v>1215</v>
      </c>
      <c r="J45">
        <v>714</v>
      </c>
      <c r="K45">
        <v>1000</v>
      </c>
      <c r="L45">
        <v>1326</v>
      </c>
      <c r="M45">
        <v>860</v>
      </c>
      <c r="N45">
        <v>1516</v>
      </c>
      <c r="O45">
        <v>1534</v>
      </c>
      <c r="P45">
        <v>6082</v>
      </c>
      <c r="Q45">
        <v>4149</v>
      </c>
      <c r="R45">
        <v>16838</v>
      </c>
      <c r="S45">
        <v>8266</v>
      </c>
      <c r="T45">
        <v>2199</v>
      </c>
      <c r="U45">
        <f t="shared" si="22"/>
        <v>10927</v>
      </c>
      <c r="V45">
        <f t="shared" si="22"/>
        <v>4631.25</v>
      </c>
      <c r="W45">
        <f t="shared" si="21"/>
        <v>1233.3499999999999</v>
      </c>
      <c r="X45">
        <f t="shared" si="21"/>
        <v>636.33333333333337</v>
      </c>
      <c r="Y45">
        <f t="shared" si="21"/>
        <v>850.5</v>
      </c>
      <c r="Z45">
        <f t="shared" si="21"/>
        <v>452.2</v>
      </c>
      <c r="AA45">
        <f t="shared" si="21"/>
        <v>550</v>
      </c>
      <c r="AB45">
        <f t="shared" si="21"/>
        <v>596.70000000000005</v>
      </c>
      <c r="AC45">
        <f t="shared" si="21"/>
        <v>315.33333333333331</v>
      </c>
      <c r="AD45">
        <f t="shared" si="21"/>
        <v>379</v>
      </c>
      <c r="AE45">
        <f t="shared" si="21"/>
        <v>127.83333333333333</v>
      </c>
      <c r="AF45" s="12">
        <f t="shared" si="6"/>
        <v>0.32453513530463135</v>
      </c>
      <c r="AG45">
        <f t="shared" si="10"/>
        <v>10927</v>
      </c>
      <c r="AH45">
        <f t="shared" si="11"/>
        <v>4582.5</v>
      </c>
      <c r="AI45">
        <f t="shared" si="12"/>
        <v>1189.82</v>
      </c>
      <c r="AJ45">
        <f t="shared" si="13"/>
        <v>597.6</v>
      </c>
      <c r="AK45">
        <f t="shared" si="14"/>
        <v>777.6</v>
      </c>
      <c r="AL45">
        <f t="shared" si="15"/>
        <v>399.84000000000003</v>
      </c>
      <c r="AM45">
        <f t="shared" si="16"/>
        <v>460</v>
      </c>
      <c r="AN45">
        <f t="shared" si="17"/>
        <v>450.84000000000003</v>
      </c>
      <c r="AO45">
        <f t="shared" si="18"/>
        <v>206.4</v>
      </c>
      <c r="AP45">
        <f t="shared" si="19"/>
        <v>151.6</v>
      </c>
      <c r="AQ45">
        <f t="shared" si="20"/>
        <v>0.30954187701859454</v>
      </c>
    </row>
    <row r="46" spans="1:43" x14ac:dyDescent="0.35">
      <c r="A46" t="s">
        <v>77</v>
      </c>
      <c r="B46" t="s">
        <v>78</v>
      </c>
      <c r="C46">
        <f>VLOOKUP(CONCATENATE("2024",'2024_60'!A46),aktivnepesseg!$C$2:$D$2226,2,FALSE)</f>
        <v>34943</v>
      </c>
      <c r="D46">
        <f t="shared" si="8"/>
        <v>30815</v>
      </c>
      <c r="E46">
        <f t="shared" si="9"/>
        <v>4128</v>
      </c>
      <c r="F46">
        <v>3017</v>
      </c>
      <c r="G46">
        <v>984</v>
      </c>
      <c r="H46">
        <v>606</v>
      </c>
      <c r="I46">
        <v>820</v>
      </c>
      <c r="J46">
        <v>515</v>
      </c>
      <c r="K46">
        <v>650</v>
      </c>
      <c r="L46">
        <v>827</v>
      </c>
      <c r="M46">
        <v>512</v>
      </c>
      <c r="N46">
        <v>1005</v>
      </c>
      <c r="O46">
        <v>991</v>
      </c>
      <c r="P46">
        <v>3608</v>
      </c>
      <c r="Q46">
        <v>2289</v>
      </c>
      <c r="R46">
        <v>9470</v>
      </c>
      <c r="S46">
        <v>4527</v>
      </c>
      <c r="T46">
        <v>994</v>
      </c>
      <c r="U46">
        <f t="shared" si="22"/>
        <v>4128</v>
      </c>
      <c r="V46">
        <f t="shared" si="22"/>
        <v>2866.15</v>
      </c>
      <c r="W46">
        <f t="shared" si="21"/>
        <v>836.4</v>
      </c>
      <c r="X46">
        <f t="shared" si="21"/>
        <v>464.6</v>
      </c>
      <c r="Y46">
        <f t="shared" si="21"/>
        <v>574</v>
      </c>
      <c r="Z46">
        <f t="shared" si="21"/>
        <v>326.16666666666663</v>
      </c>
      <c r="AA46">
        <f t="shared" si="21"/>
        <v>357.50000000000006</v>
      </c>
      <c r="AB46">
        <f t="shared" si="21"/>
        <v>372.15000000000003</v>
      </c>
      <c r="AC46">
        <f t="shared" si="21"/>
        <v>187.73333333333332</v>
      </c>
      <c r="AD46">
        <f t="shared" si="21"/>
        <v>251.25</v>
      </c>
      <c r="AE46">
        <f t="shared" si="21"/>
        <v>82.583333333333329</v>
      </c>
      <c r="AF46" s="12">
        <f t="shared" si="6"/>
        <v>0.29895925745738294</v>
      </c>
      <c r="AG46">
        <f t="shared" si="10"/>
        <v>4128</v>
      </c>
      <c r="AH46">
        <f t="shared" si="11"/>
        <v>2835.98</v>
      </c>
      <c r="AI46">
        <f t="shared" si="12"/>
        <v>806.88</v>
      </c>
      <c r="AJ46">
        <f t="shared" si="13"/>
        <v>436.32</v>
      </c>
      <c r="AK46">
        <f t="shared" si="14"/>
        <v>524.79999999999995</v>
      </c>
      <c r="AL46">
        <f t="shared" si="15"/>
        <v>288.40000000000003</v>
      </c>
      <c r="AM46">
        <f t="shared" si="16"/>
        <v>299</v>
      </c>
      <c r="AN46">
        <f t="shared" si="17"/>
        <v>281.18</v>
      </c>
      <c r="AO46">
        <f t="shared" si="18"/>
        <v>122.88</v>
      </c>
      <c r="AP46">
        <f t="shared" si="19"/>
        <v>100.5</v>
      </c>
      <c r="AQ46">
        <f t="shared" si="20"/>
        <v>0.28114185959991983</v>
      </c>
    </row>
    <row r="47" spans="1:43" x14ac:dyDescent="0.35">
      <c r="A47" t="s">
        <v>79</v>
      </c>
      <c r="B47" t="s">
        <v>80</v>
      </c>
      <c r="C47">
        <f>VLOOKUP(CONCATENATE("2024",'2024_60'!A47),aktivnepesseg!$C$2:$D$2226,2,FALSE)</f>
        <v>39328</v>
      </c>
      <c r="D47">
        <f t="shared" si="8"/>
        <v>32236</v>
      </c>
      <c r="E47">
        <f t="shared" si="9"/>
        <v>7092</v>
      </c>
      <c r="F47">
        <v>2870</v>
      </c>
      <c r="G47">
        <v>1040</v>
      </c>
      <c r="H47">
        <v>607</v>
      </c>
      <c r="I47">
        <v>781</v>
      </c>
      <c r="J47">
        <v>497</v>
      </c>
      <c r="K47">
        <v>660</v>
      </c>
      <c r="L47">
        <v>956</v>
      </c>
      <c r="M47">
        <v>548</v>
      </c>
      <c r="N47">
        <v>1004</v>
      </c>
      <c r="O47">
        <v>938</v>
      </c>
      <c r="P47">
        <v>3912</v>
      </c>
      <c r="Q47">
        <v>2575</v>
      </c>
      <c r="R47">
        <v>10406</v>
      </c>
      <c r="S47">
        <v>4482</v>
      </c>
      <c r="T47">
        <v>960</v>
      </c>
      <c r="U47">
        <f t="shared" si="22"/>
        <v>7092</v>
      </c>
      <c r="V47">
        <f t="shared" si="22"/>
        <v>2726.5</v>
      </c>
      <c r="W47">
        <f t="shared" si="21"/>
        <v>884</v>
      </c>
      <c r="X47">
        <f t="shared" si="21"/>
        <v>465.36666666666667</v>
      </c>
      <c r="Y47">
        <f t="shared" si="21"/>
        <v>546.69999999999993</v>
      </c>
      <c r="Z47">
        <f t="shared" si="21"/>
        <v>314.76666666666665</v>
      </c>
      <c r="AA47">
        <f t="shared" si="21"/>
        <v>363.00000000000006</v>
      </c>
      <c r="AB47">
        <f t="shared" si="21"/>
        <v>430.2</v>
      </c>
      <c r="AC47">
        <f t="shared" si="21"/>
        <v>200.93333333333331</v>
      </c>
      <c r="AD47">
        <f t="shared" si="21"/>
        <v>251</v>
      </c>
      <c r="AE47">
        <f t="shared" si="21"/>
        <v>78.166666666666657</v>
      </c>
      <c r="AF47" s="12">
        <f t="shared" si="6"/>
        <v>0.33951976539191753</v>
      </c>
      <c r="AG47">
        <f t="shared" si="10"/>
        <v>7092</v>
      </c>
      <c r="AH47">
        <f t="shared" si="11"/>
        <v>2697.7999999999997</v>
      </c>
      <c r="AI47">
        <f t="shared" si="12"/>
        <v>852.8</v>
      </c>
      <c r="AJ47">
        <f t="shared" si="13"/>
        <v>437.03999999999996</v>
      </c>
      <c r="AK47">
        <f t="shared" si="14"/>
        <v>499.84000000000003</v>
      </c>
      <c r="AL47">
        <f t="shared" si="15"/>
        <v>278.32000000000005</v>
      </c>
      <c r="AM47">
        <f t="shared" si="16"/>
        <v>303.60000000000002</v>
      </c>
      <c r="AN47">
        <f t="shared" si="17"/>
        <v>325.04000000000002</v>
      </c>
      <c r="AO47">
        <f t="shared" si="18"/>
        <v>131.51999999999998</v>
      </c>
      <c r="AP47">
        <f t="shared" si="19"/>
        <v>100.4</v>
      </c>
      <c r="AQ47">
        <f t="shared" si="20"/>
        <v>0.32339198535394631</v>
      </c>
    </row>
    <row r="48" spans="1:43" x14ac:dyDescent="0.35">
      <c r="A48" t="s">
        <v>81</v>
      </c>
      <c r="B48" t="s">
        <v>82</v>
      </c>
      <c r="C48">
        <f>VLOOKUP(CONCATENATE("2024",'2024_60'!A48),aktivnepesseg!$C$2:$D$2226,2,FALSE)</f>
        <v>44735</v>
      </c>
      <c r="D48">
        <f t="shared" si="8"/>
        <v>36573</v>
      </c>
      <c r="E48">
        <f t="shared" si="9"/>
        <v>8162</v>
      </c>
      <c r="F48">
        <v>3256</v>
      </c>
      <c r="G48">
        <v>1045</v>
      </c>
      <c r="H48">
        <v>632</v>
      </c>
      <c r="I48">
        <v>854</v>
      </c>
      <c r="J48">
        <v>477</v>
      </c>
      <c r="K48">
        <v>735</v>
      </c>
      <c r="L48">
        <v>1003</v>
      </c>
      <c r="M48">
        <v>591</v>
      </c>
      <c r="N48">
        <v>1078</v>
      </c>
      <c r="O48">
        <v>1118</v>
      </c>
      <c r="P48">
        <v>4261</v>
      </c>
      <c r="Q48">
        <v>3127</v>
      </c>
      <c r="R48">
        <v>12312</v>
      </c>
      <c r="S48">
        <v>5140</v>
      </c>
      <c r="T48">
        <v>944</v>
      </c>
      <c r="U48">
        <f t="shared" si="22"/>
        <v>8162</v>
      </c>
      <c r="V48">
        <f t="shared" si="22"/>
        <v>3093.2</v>
      </c>
      <c r="W48">
        <f t="shared" si="21"/>
        <v>888.25</v>
      </c>
      <c r="X48">
        <f t="shared" si="21"/>
        <v>484.53333333333336</v>
      </c>
      <c r="Y48">
        <f t="shared" si="21"/>
        <v>597.79999999999995</v>
      </c>
      <c r="Z48">
        <f t="shared" si="21"/>
        <v>302.09999999999997</v>
      </c>
      <c r="AA48">
        <f t="shared" si="21"/>
        <v>404.25000000000006</v>
      </c>
      <c r="AB48">
        <f t="shared" si="21"/>
        <v>451.35</v>
      </c>
      <c r="AC48">
        <f t="shared" si="21"/>
        <v>216.7</v>
      </c>
      <c r="AD48">
        <f t="shared" si="21"/>
        <v>269.5</v>
      </c>
      <c r="AE48">
        <f t="shared" si="21"/>
        <v>93.166666666666657</v>
      </c>
      <c r="AF48" s="12">
        <f t="shared" si="6"/>
        <v>0.33447747848440817</v>
      </c>
      <c r="AG48">
        <f t="shared" si="10"/>
        <v>8162</v>
      </c>
      <c r="AH48">
        <f t="shared" si="11"/>
        <v>3060.64</v>
      </c>
      <c r="AI48">
        <f t="shared" si="12"/>
        <v>856.9</v>
      </c>
      <c r="AJ48">
        <f t="shared" si="13"/>
        <v>455.03999999999996</v>
      </c>
      <c r="AK48">
        <f t="shared" si="14"/>
        <v>546.56000000000006</v>
      </c>
      <c r="AL48">
        <f t="shared" si="15"/>
        <v>267.12</v>
      </c>
      <c r="AM48">
        <f t="shared" si="16"/>
        <v>338.1</v>
      </c>
      <c r="AN48">
        <f t="shared" si="17"/>
        <v>341.02000000000004</v>
      </c>
      <c r="AO48">
        <f t="shared" si="18"/>
        <v>141.84</v>
      </c>
      <c r="AP48">
        <f t="shared" si="19"/>
        <v>107.80000000000001</v>
      </c>
      <c r="AQ48">
        <f t="shared" si="20"/>
        <v>0.31914652956298195</v>
      </c>
    </row>
    <row r="49" spans="1:43" x14ac:dyDescent="0.35">
      <c r="A49" t="s">
        <v>83</v>
      </c>
      <c r="B49" t="s">
        <v>84</v>
      </c>
      <c r="C49">
        <f>VLOOKUP(CONCATENATE("2024",'2024_60'!A49),aktivnepesseg!$C$2:$D$2226,2,FALSE)</f>
        <v>34793</v>
      </c>
      <c r="D49">
        <f t="shared" si="8"/>
        <v>29471</v>
      </c>
      <c r="E49">
        <f t="shared" si="9"/>
        <v>5322</v>
      </c>
      <c r="F49">
        <v>2934</v>
      </c>
      <c r="G49">
        <v>740</v>
      </c>
      <c r="H49">
        <v>450</v>
      </c>
      <c r="I49">
        <v>586</v>
      </c>
      <c r="J49">
        <v>393</v>
      </c>
      <c r="K49">
        <v>531</v>
      </c>
      <c r="L49">
        <v>677</v>
      </c>
      <c r="M49">
        <v>460</v>
      </c>
      <c r="N49">
        <v>815</v>
      </c>
      <c r="O49">
        <v>787</v>
      </c>
      <c r="P49">
        <v>3247</v>
      </c>
      <c r="Q49">
        <v>2128</v>
      </c>
      <c r="R49">
        <v>8767</v>
      </c>
      <c r="S49">
        <v>5009</v>
      </c>
      <c r="T49">
        <v>1947</v>
      </c>
      <c r="U49">
        <f t="shared" si="22"/>
        <v>5322</v>
      </c>
      <c r="V49">
        <f t="shared" si="22"/>
        <v>2787.2999999999997</v>
      </c>
      <c r="W49">
        <f t="shared" si="21"/>
        <v>629</v>
      </c>
      <c r="X49">
        <f t="shared" si="21"/>
        <v>345</v>
      </c>
      <c r="Y49">
        <f t="shared" si="21"/>
        <v>410.2</v>
      </c>
      <c r="Z49">
        <f t="shared" si="21"/>
        <v>248.89999999999998</v>
      </c>
      <c r="AA49">
        <f t="shared" si="21"/>
        <v>292.05</v>
      </c>
      <c r="AB49">
        <f t="shared" si="21"/>
        <v>304.65000000000003</v>
      </c>
      <c r="AC49">
        <f t="shared" si="21"/>
        <v>168.66666666666666</v>
      </c>
      <c r="AD49">
        <f t="shared" si="21"/>
        <v>203.75</v>
      </c>
      <c r="AE49">
        <f t="shared" si="21"/>
        <v>65.583333333333329</v>
      </c>
      <c r="AF49" s="12">
        <f t="shared" si="6"/>
        <v>0.30974908746012125</v>
      </c>
      <c r="AG49">
        <f t="shared" si="10"/>
        <v>5322</v>
      </c>
      <c r="AH49">
        <f t="shared" si="11"/>
        <v>2757.96</v>
      </c>
      <c r="AI49">
        <f t="shared" si="12"/>
        <v>606.79999999999995</v>
      </c>
      <c r="AJ49">
        <f t="shared" si="13"/>
        <v>324</v>
      </c>
      <c r="AK49">
        <f t="shared" si="14"/>
        <v>375.04</v>
      </c>
      <c r="AL49">
        <f t="shared" si="15"/>
        <v>220.08</v>
      </c>
      <c r="AM49">
        <f t="shared" si="16"/>
        <v>244.26000000000002</v>
      </c>
      <c r="AN49">
        <f t="shared" si="17"/>
        <v>230.18</v>
      </c>
      <c r="AO49">
        <f t="shared" si="18"/>
        <v>110.39999999999999</v>
      </c>
      <c r="AP49">
        <f t="shared" si="19"/>
        <v>81.5</v>
      </c>
      <c r="AQ49">
        <f t="shared" si="20"/>
        <v>0.29523812261087001</v>
      </c>
    </row>
    <row r="50" spans="1:43" x14ac:dyDescent="0.35">
      <c r="A50" t="s">
        <v>85</v>
      </c>
      <c r="B50" t="s">
        <v>86</v>
      </c>
      <c r="C50">
        <f>VLOOKUP(CONCATENATE("2024",'2024_60'!A50),aktivnepesseg!$C$2:$D$2226,2,FALSE)</f>
        <v>15013</v>
      </c>
      <c r="D50">
        <f t="shared" si="8"/>
        <v>12514</v>
      </c>
      <c r="E50">
        <f t="shared" si="9"/>
        <v>2499</v>
      </c>
      <c r="F50">
        <v>1073</v>
      </c>
      <c r="G50">
        <v>380</v>
      </c>
      <c r="H50">
        <v>226</v>
      </c>
      <c r="I50">
        <v>326</v>
      </c>
      <c r="J50">
        <v>190</v>
      </c>
      <c r="K50">
        <v>251</v>
      </c>
      <c r="L50">
        <v>360</v>
      </c>
      <c r="M50">
        <v>214</v>
      </c>
      <c r="N50">
        <v>394</v>
      </c>
      <c r="O50">
        <v>399</v>
      </c>
      <c r="P50">
        <v>1587</v>
      </c>
      <c r="Q50">
        <v>964</v>
      </c>
      <c r="R50">
        <v>4017</v>
      </c>
      <c r="S50">
        <v>1732</v>
      </c>
      <c r="T50">
        <v>401</v>
      </c>
      <c r="U50">
        <f t="shared" si="22"/>
        <v>2499</v>
      </c>
      <c r="V50">
        <f t="shared" si="22"/>
        <v>1019.3499999999999</v>
      </c>
      <c r="W50">
        <f t="shared" si="21"/>
        <v>323</v>
      </c>
      <c r="X50">
        <f t="shared" si="21"/>
        <v>173.26666666666668</v>
      </c>
      <c r="Y50">
        <f t="shared" si="21"/>
        <v>228.2</v>
      </c>
      <c r="Z50">
        <f t="shared" si="21"/>
        <v>120.33333333333333</v>
      </c>
      <c r="AA50">
        <f t="shared" si="21"/>
        <v>138.05000000000001</v>
      </c>
      <c r="AB50">
        <f t="shared" si="21"/>
        <v>162</v>
      </c>
      <c r="AC50">
        <f t="shared" si="21"/>
        <v>78.466666666666654</v>
      </c>
      <c r="AD50">
        <f t="shared" si="21"/>
        <v>98.5</v>
      </c>
      <c r="AE50">
        <f t="shared" si="21"/>
        <v>33.25</v>
      </c>
      <c r="AF50" s="12">
        <f t="shared" si="6"/>
        <v>0.32461311307977525</v>
      </c>
      <c r="AG50">
        <f t="shared" si="10"/>
        <v>2499</v>
      </c>
      <c r="AH50">
        <f t="shared" si="11"/>
        <v>1008.6199999999999</v>
      </c>
      <c r="AI50">
        <f t="shared" si="12"/>
        <v>311.59999999999997</v>
      </c>
      <c r="AJ50">
        <f t="shared" si="13"/>
        <v>162.72</v>
      </c>
      <c r="AK50">
        <f t="shared" si="14"/>
        <v>208.64000000000001</v>
      </c>
      <c r="AL50">
        <f t="shared" si="15"/>
        <v>106.4</v>
      </c>
      <c r="AM50">
        <f t="shared" si="16"/>
        <v>115.46000000000001</v>
      </c>
      <c r="AN50">
        <f t="shared" si="17"/>
        <v>122.4</v>
      </c>
      <c r="AO50">
        <f t="shared" si="18"/>
        <v>51.36</v>
      </c>
      <c r="AP50">
        <f t="shared" si="19"/>
        <v>39.400000000000006</v>
      </c>
      <c r="AQ50">
        <f t="shared" si="20"/>
        <v>0.30810630786651561</v>
      </c>
    </row>
    <row r="51" spans="1:43" x14ac:dyDescent="0.35">
      <c r="A51" t="s">
        <v>87</v>
      </c>
      <c r="B51" t="s">
        <v>88</v>
      </c>
      <c r="C51">
        <f>VLOOKUP(CONCATENATE("2024",'2024_60'!A51),aktivnepesseg!$C$2:$D$2226,2,FALSE)</f>
        <v>59989</v>
      </c>
      <c r="D51">
        <f t="shared" si="8"/>
        <v>47444</v>
      </c>
      <c r="E51">
        <f t="shared" si="9"/>
        <v>12545</v>
      </c>
      <c r="F51">
        <v>4546</v>
      </c>
      <c r="G51">
        <v>1477</v>
      </c>
      <c r="H51">
        <v>793</v>
      </c>
      <c r="I51">
        <v>995</v>
      </c>
      <c r="J51">
        <v>629</v>
      </c>
      <c r="K51">
        <v>949</v>
      </c>
      <c r="L51">
        <v>1554</v>
      </c>
      <c r="M51">
        <v>777</v>
      </c>
      <c r="N51">
        <v>1485</v>
      </c>
      <c r="O51">
        <v>1567</v>
      </c>
      <c r="P51">
        <v>6298</v>
      </c>
      <c r="Q51">
        <v>4872</v>
      </c>
      <c r="R51">
        <v>15980</v>
      </c>
      <c r="S51">
        <v>4958</v>
      </c>
      <c r="T51">
        <v>564</v>
      </c>
      <c r="U51">
        <f t="shared" si="22"/>
        <v>12545</v>
      </c>
      <c r="V51">
        <f t="shared" si="22"/>
        <v>4318.7</v>
      </c>
      <c r="W51">
        <f t="shared" si="21"/>
        <v>1255.45</v>
      </c>
      <c r="X51">
        <f t="shared" si="21"/>
        <v>607.9666666666667</v>
      </c>
      <c r="Y51">
        <f t="shared" si="21"/>
        <v>696.5</v>
      </c>
      <c r="Z51">
        <f t="shared" si="21"/>
        <v>398.36666666666667</v>
      </c>
      <c r="AA51">
        <f t="shared" si="21"/>
        <v>521.95000000000005</v>
      </c>
      <c r="AB51">
        <f t="shared" si="21"/>
        <v>699.30000000000007</v>
      </c>
      <c r="AC51">
        <f t="shared" si="21"/>
        <v>284.89999999999998</v>
      </c>
      <c r="AD51">
        <f t="shared" si="21"/>
        <v>371.25</v>
      </c>
      <c r="AE51">
        <f t="shared" si="21"/>
        <v>130.58333333333331</v>
      </c>
      <c r="AF51" s="12">
        <f t="shared" si="6"/>
        <v>0.36389949268477001</v>
      </c>
      <c r="AG51">
        <f t="shared" si="10"/>
        <v>12545</v>
      </c>
      <c r="AH51">
        <f t="shared" si="11"/>
        <v>4273.24</v>
      </c>
      <c r="AI51">
        <f t="shared" si="12"/>
        <v>1211.1399999999999</v>
      </c>
      <c r="AJ51">
        <f t="shared" si="13"/>
        <v>570.95999999999992</v>
      </c>
      <c r="AK51">
        <f t="shared" si="14"/>
        <v>636.80000000000007</v>
      </c>
      <c r="AL51">
        <f t="shared" si="15"/>
        <v>352.24</v>
      </c>
      <c r="AM51">
        <f t="shared" si="16"/>
        <v>436.54</v>
      </c>
      <c r="AN51">
        <f t="shared" si="17"/>
        <v>528.36</v>
      </c>
      <c r="AO51">
        <f t="shared" si="18"/>
        <v>186.48</v>
      </c>
      <c r="AP51">
        <f t="shared" si="19"/>
        <v>148.5</v>
      </c>
      <c r="AQ51">
        <f t="shared" si="20"/>
        <v>0.34821817333177746</v>
      </c>
    </row>
    <row r="52" spans="1:43" x14ac:dyDescent="0.35">
      <c r="A52" t="s">
        <v>89</v>
      </c>
      <c r="B52" t="s">
        <v>90</v>
      </c>
      <c r="C52">
        <f>VLOOKUP(CONCATENATE("2024",'2024_60'!A52),aktivnepesseg!$C$2:$D$2226,2,FALSE)</f>
        <v>15125</v>
      </c>
      <c r="D52">
        <f t="shared" si="8"/>
        <v>12073</v>
      </c>
      <c r="E52">
        <f t="shared" si="9"/>
        <v>3052</v>
      </c>
      <c r="F52">
        <v>1399</v>
      </c>
      <c r="G52">
        <v>468</v>
      </c>
      <c r="H52">
        <v>201</v>
      </c>
      <c r="I52">
        <v>189</v>
      </c>
      <c r="J52">
        <v>139</v>
      </c>
      <c r="K52">
        <v>205</v>
      </c>
      <c r="L52">
        <v>314</v>
      </c>
      <c r="M52">
        <v>121</v>
      </c>
      <c r="N52">
        <v>301</v>
      </c>
      <c r="O52">
        <v>324</v>
      </c>
      <c r="P52">
        <v>1332</v>
      </c>
      <c r="Q52">
        <v>1318</v>
      </c>
      <c r="R52">
        <v>4551</v>
      </c>
      <c r="S52">
        <v>1132</v>
      </c>
      <c r="T52">
        <v>79</v>
      </c>
      <c r="U52">
        <f t="shared" si="22"/>
        <v>3052</v>
      </c>
      <c r="V52">
        <f t="shared" si="22"/>
        <v>1329.05</v>
      </c>
      <c r="W52">
        <f t="shared" si="21"/>
        <v>397.8</v>
      </c>
      <c r="X52">
        <f t="shared" si="21"/>
        <v>154.10000000000002</v>
      </c>
      <c r="Y52">
        <f t="shared" si="21"/>
        <v>132.29999999999998</v>
      </c>
      <c r="Z52">
        <f t="shared" si="21"/>
        <v>88.033333333333331</v>
      </c>
      <c r="AA52">
        <f t="shared" si="21"/>
        <v>112.75000000000001</v>
      </c>
      <c r="AB52">
        <f t="shared" si="21"/>
        <v>141.30000000000001</v>
      </c>
      <c r="AC52">
        <f t="shared" si="21"/>
        <v>44.36666666666666</v>
      </c>
      <c r="AD52">
        <f t="shared" si="21"/>
        <v>75.25</v>
      </c>
      <c r="AE52">
        <f t="shared" si="21"/>
        <v>27</v>
      </c>
      <c r="AF52" s="12">
        <f t="shared" si="6"/>
        <v>0.36720330578512406</v>
      </c>
      <c r="AG52">
        <f t="shared" si="10"/>
        <v>3052</v>
      </c>
      <c r="AH52">
        <f t="shared" si="11"/>
        <v>1315.06</v>
      </c>
      <c r="AI52">
        <f t="shared" si="12"/>
        <v>383.76</v>
      </c>
      <c r="AJ52">
        <f t="shared" si="13"/>
        <v>144.72</v>
      </c>
      <c r="AK52">
        <f t="shared" si="14"/>
        <v>120.96000000000001</v>
      </c>
      <c r="AL52">
        <f t="shared" si="15"/>
        <v>77.84</v>
      </c>
      <c r="AM52">
        <f t="shared" si="16"/>
        <v>94.3</v>
      </c>
      <c r="AN52">
        <f t="shared" si="17"/>
        <v>106.76</v>
      </c>
      <c r="AO52">
        <f t="shared" si="18"/>
        <v>29.04</v>
      </c>
      <c r="AP52">
        <f t="shared" si="19"/>
        <v>30.1</v>
      </c>
      <c r="AQ52">
        <f t="shared" si="20"/>
        <v>0.35401917355371909</v>
      </c>
    </row>
    <row r="53" spans="1:43" x14ac:dyDescent="0.35">
      <c r="A53" t="s">
        <v>91</v>
      </c>
      <c r="B53" t="s">
        <v>92</v>
      </c>
      <c r="C53">
        <f>VLOOKUP(CONCATENATE("2024",'2024_60'!A53),aktivnepesseg!$C$2:$D$2226,2,FALSE)</f>
        <v>10297</v>
      </c>
      <c r="D53">
        <f t="shared" si="8"/>
        <v>7509</v>
      </c>
      <c r="E53">
        <f t="shared" si="9"/>
        <v>2788</v>
      </c>
      <c r="F53">
        <v>1053</v>
      </c>
      <c r="G53">
        <v>438</v>
      </c>
      <c r="H53">
        <v>219</v>
      </c>
      <c r="I53">
        <v>240</v>
      </c>
      <c r="J53">
        <v>230</v>
      </c>
      <c r="K53">
        <v>382</v>
      </c>
      <c r="L53">
        <v>812</v>
      </c>
      <c r="M53">
        <v>179</v>
      </c>
      <c r="N53">
        <v>283</v>
      </c>
      <c r="O53">
        <v>274</v>
      </c>
      <c r="P53">
        <v>859</v>
      </c>
      <c r="Q53">
        <v>701</v>
      </c>
      <c r="R53">
        <v>1588</v>
      </c>
      <c r="S53">
        <v>247</v>
      </c>
      <c r="T53">
        <v>4</v>
      </c>
      <c r="U53">
        <f t="shared" si="22"/>
        <v>2788</v>
      </c>
      <c r="V53">
        <f t="shared" si="22"/>
        <v>1000.3499999999999</v>
      </c>
      <c r="W53">
        <f t="shared" si="21"/>
        <v>372.3</v>
      </c>
      <c r="X53">
        <f t="shared" si="21"/>
        <v>167.9</v>
      </c>
      <c r="Y53">
        <f t="shared" si="21"/>
        <v>168</v>
      </c>
      <c r="Z53">
        <f t="shared" si="21"/>
        <v>145.66666666666666</v>
      </c>
      <c r="AA53">
        <f t="shared" si="21"/>
        <v>210.10000000000002</v>
      </c>
      <c r="AB53">
        <f t="shared" si="21"/>
        <v>365.40000000000003</v>
      </c>
      <c r="AC53">
        <f t="shared" si="21"/>
        <v>65.633333333333326</v>
      </c>
      <c r="AD53">
        <f t="shared" si="21"/>
        <v>70.75</v>
      </c>
      <c r="AE53">
        <f t="shared" si="21"/>
        <v>22.833333333333332</v>
      </c>
      <c r="AF53" s="12">
        <f t="shared" si="6"/>
        <v>0.52218445501926114</v>
      </c>
      <c r="AG53">
        <f t="shared" si="10"/>
        <v>2788</v>
      </c>
      <c r="AH53">
        <f t="shared" si="11"/>
        <v>989.81999999999994</v>
      </c>
      <c r="AI53">
        <f t="shared" si="12"/>
        <v>359.15999999999997</v>
      </c>
      <c r="AJ53">
        <f t="shared" si="13"/>
        <v>157.68</v>
      </c>
      <c r="AK53">
        <f t="shared" si="14"/>
        <v>153.6</v>
      </c>
      <c r="AL53">
        <f t="shared" si="15"/>
        <v>128.80000000000001</v>
      </c>
      <c r="AM53">
        <f t="shared" si="16"/>
        <v>175.72</v>
      </c>
      <c r="AN53">
        <f t="shared" si="17"/>
        <v>276.08000000000004</v>
      </c>
      <c r="AO53">
        <f t="shared" si="18"/>
        <v>42.96</v>
      </c>
      <c r="AP53">
        <f t="shared" si="19"/>
        <v>28.3</v>
      </c>
      <c r="AQ53">
        <f t="shared" si="20"/>
        <v>0.49530154413906968</v>
      </c>
    </row>
    <row r="54" spans="1:43" x14ac:dyDescent="0.35">
      <c r="A54" t="s">
        <v>93</v>
      </c>
      <c r="B54" t="s">
        <v>94</v>
      </c>
      <c r="C54">
        <f>VLOOKUP(CONCATENATE("2024",'2024_60'!A54),aktivnepesseg!$C$2:$D$2226,2,FALSE)</f>
        <v>9265</v>
      </c>
      <c r="D54">
        <f t="shared" si="8"/>
        <v>6428</v>
      </c>
      <c r="E54">
        <f t="shared" si="9"/>
        <v>2837</v>
      </c>
      <c r="F54">
        <v>1043</v>
      </c>
      <c r="G54">
        <v>305</v>
      </c>
      <c r="H54">
        <v>141</v>
      </c>
      <c r="I54">
        <v>163</v>
      </c>
      <c r="J54">
        <v>130</v>
      </c>
      <c r="K54">
        <v>250</v>
      </c>
      <c r="L54">
        <v>445</v>
      </c>
      <c r="M54">
        <v>129</v>
      </c>
      <c r="N54">
        <v>216</v>
      </c>
      <c r="O54">
        <v>187</v>
      </c>
      <c r="P54">
        <v>890</v>
      </c>
      <c r="Q54">
        <v>741</v>
      </c>
      <c r="R54">
        <v>1509</v>
      </c>
      <c r="S54">
        <v>262</v>
      </c>
      <c r="T54">
        <v>17</v>
      </c>
      <c r="U54">
        <f t="shared" si="22"/>
        <v>2837</v>
      </c>
      <c r="V54">
        <f t="shared" si="22"/>
        <v>990.84999999999991</v>
      </c>
      <c r="W54">
        <f t="shared" si="21"/>
        <v>259.25</v>
      </c>
      <c r="X54">
        <f t="shared" si="21"/>
        <v>108.10000000000001</v>
      </c>
      <c r="Y54">
        <f t="shared" si="21"/>
        <v>114.1</v>
      </c>
      <c r="Z54">
        <f t="shared" si="21"/>
        <v>82.333333333333329</v>
      </c>
      <c r="AA54">
        <f t="shared" si="21"/>
        <v>137.5</v>
      </c>
      <c r="AB54">
        <f t="shared" si="21"/>
        <v>200.25</v>
      </c>
      <c r="AC54">
        <f t="shared" si="21"/>
        <v>47.3</v>
      </c>
      <c r="AD54">
        <f t="shared" si="21"/>
        <v>54</v>
      </c>
      <c r="AE54">
        <f t="shared" si="21"/>
        <v>15.583333333333332</v>
      </c>
      <c r="AF54" s="12">
        <f t="shared" si="6"/>
        <v>0.52307249505306708</v>
      </c>
      <c r="AG54">
        <f t="shared" si="10"/>
        <v>2837</v>
      </c>
      <c r="AH54">
        <f t="shared" si="11"/>
        <v>980.42</v>
      </c>
      <c r="AI54">
        <f t="shared" si="12"/>
        <v>250.1</v>
      </c>
      <c r="AJ54">
        <f t="shared" si="13"/>
        <v>101.52</v>
      </c>
      <c r="AK54">
        <f t="shared" si="14"/>
        <v>104.32000000000001</v>
      </c>
      <c r="AL54">
        <f t="shared" si="15"/>
        <v>72.800000000000011</v>
      </c>
      <c r="AM54">
        <f t="shared" si="16"/>
        <v>115</v>
      </c>
      <c r="AN54">
        <f t="shared" si="17"/>
        <v>151.30000000000001</v>
      </c>
      <c r="AO54">
        <f t="shared" si="18"/>
        <v>30.959999999999997</v>
      </c>
      <c r="AP54">
        <f t="shared" si="19"/>
        <v>21.6</v>
      </c>
      <c r="AQ54">
        <f t="shared" si="20"/>
        <v>0.50350998381003786</v>
      </c>
    </row>
    <row r="55" spans="1:43" x14ac:dyDescent="0.35">
      <c r="A55" t="s">
        <v>95</v>
      </c>
      <c r="B55" t="s">
        <v>96</v>
      </c>
      <c r="C55">
        <f>VLOOKUP(CONCATENATE("2024",'2024_60'!A55),aktivnepesseg!$C$2:$D$2226,2,FALSE)</f>
        <v>13442</v>
      </c>
      <c r="D55">
        <f t="shared" si="8"/>
        <v>10722</v>
      </c>
      <c r="E55">
        <f t="shared" si="9"/>
        <v>2720</v>
      </c>
      <c r="F55">
        <v>1704</v>
      </c>
      <c r="G55">
        <v>319</v>
      </c>
      <c r="H55">
        <v>180</v>
      </c>
      <c r="I55">
        <v>183</v>
      </c>
      <c r="J55">
        <v>142</v>
      </c>
      <c r="K55">
        <v>244</v>
      </c>
      <c r="L55">
        <v>356</v>
      </c>
      <c r="M55">
        <v>184</v>
      </c>
      <c r="N55">
        <v>329</v>
      </c>
      <c r="O55">
        <v>399</v>
      </c>
      <c r="P55">
        <v>1459</v>
      </c>
      <c r="Q55">
        <v>1126</v>
      </c>
      <c r="R55">
        <v>3093</v>
      </c>
      <c r="S55">
        <v>883</v>
      </c>
      <c r="T55">
        <v>121</v>
      </c>
      <c r="U55">
        <f t="shared" si="22"/>
        <v>2720</v>
      </c>
      <c r="V55">
        <f t="shared" si="22"/>
        <v>1618.8</v>
      </c>
      <c r="W55">
        <f t="shared" si="21"/>
        <v>271.14999999999998</v>
      </c>
      <c r="X55">
        <f t="shared" si="21"/>
        <v>138</v>
      </c>
      <c r="Y55">
        <f t="shared" si="21"/>
        <v>128.1</v>
      </c>
      <c r="Z55">
        <f t="shared" si="21"/>
        <v>89.933333333333323</v>
      </c>
      <c r="AA55">
        <f t="shared" si="21"/>
        <v>134.20000000000002</v>
      </c>
      <c r="AB55">
        <f t="shared" si="21"/>
        <v>160.20000000000002</v>
      </c>
      <c r="AC55">
        <f t="shared" si="21"/>
        <v>67.466666666666669</v>
      </c>
      <c r="AD55">
        <f t="shared" si="21"/>
        <v>82.25</v>
      </c>
      <c r="AE55">
        <f t="shared" si="21"/>
        <v>33.25</v>
      </c>
      <c r="AF55" s="12">
        <f t="shared" si="6"/>
        <v>0.40495090016366608</v>
      </c>
      <c r="AG55">
        <f t="shared" si="10"/>
        <v>2720</v>
      </c>
      <c r="AH55">
        <f t="shared" si="11"/>
        <v>1601.76</v>
      </c>
      <c r="AI55">
        <f t="shared" si="12"/>
        <v>261.58</v>
      </c>
      <c r="AJ55">
        <f t="shared" si="13"/>
        <v>129.6</v>
      </c>
      <c r="AK55">
        <f t="shared" si="14"/>
        <v>117.12</v>
      </c>
      <c r="AL55">
        <f t="shared" si="15"/>
        <v>79.52000000000001</v>
      </c>
      <c r="AM55">
        <f t="shared" si="16"/>
        <v>112.24000000000001</v>
      </c>
      <c r="AN55">
        <f t="shared" si="17"/>
        <v>121.04</v>
      </c>
      <c r="AO55">
        <f t="shared" si="18"/>
        <v>44.16</v>
      </c>
      <c r="AP55">
        <f t="shared" si="19"/>
        <v>32.9</v>
      </c>
      <c r="AQ55">
        <f t="shared" si="20"/>
        <v>0.38832911769081985</v>
      </c>
    </row>
    <row r="56" spans="1:43" x14ac:dyDescent="0.35">
      <c r="A56" t="s">
        <v>97</v>
      </c>
      <c r="B56" t="s">
        <v>98</v>
      </c>
      <c r="C56">
        <f>VLOOKUP(CONCATENATE("2024",'2024_60'!A56),aktivnepesseg!$C$2:$D$2226,2,FALSE)</f>
        <v>21396</v>
      </c>
      <c r="D56">
        <f t="shared" si="8"/>
        <v>17053</v>
      </c>
      <c r="E56">
        <f t="shared" si="9"/>
        <v>4343</v>
      </c>
      <c r="F56">
        <v>2452</v>
      </c>
      <c r="G56">
        <v>481</v>
      </c>
      <c r="H56">
        <v>291</v>
      </c>
      <c r="I56">
        <v>258</v>
      </c>
      <c r="J56">
        <v>208</v>
      </c>
      <c r="K56">
        <v>272</v>
      </c>
      <c r="L56">
        <v>334</v>
      </c>
      <c r="M56">
        <v>187</v>
      </c>
      <c r="N56">
        <v>412</v>
      </c>
      <c r="O56">
        <v>494</v>
      </c>
      <c r="P56">
        <v>1908</v>
      </c>
      <c r="Q56">
        <v>1758</v>
      </c>
      <c r="R56">
        <v>5891</v>
      </c>
      <c r="S56">
        <v>1865</v>
      </c>
      <c r="T56">
        <v>242</v>
      </c>
      <c r="U56">
        <f t="shared" si="22"/>
        <v>4343</v>
      </c>
      <c r="V56">
        <f t="shared" si="22"/>
        <v>2329.4</v>
      </c>
      <c r="W56">
        <f t="shared" si="21"/>
        <v>408.84999999999997</v>
      </c>
      <c r="X56">
        <f t="shared" si="21"/>
        <v>223.10000000000002</v>
      </c>
      <c r="Y56">
        <f t="shared" si="21"/>
        <v>180.6</v>
      </c>
      <c r="Z56">
        <f t="shared" si="21"/>
        <v>131.73333333333332</v>
      </c>
      <c r="AA56">
        <f t="shared" si="21"/>
        <v>149.60000000000002</v>
      </c>
      <c r="AB56">
        <f t="shared" si="21"/>
        <v>150.30000000000001</v>
      </c>
      <c r="AC56">
        <f t="shared" si="21"/>
        <v>68.566666666666663</v>
      </c>
      <c r="AD56">
        <f t="shared" si="21"/>
        <v>103</v>
      </c>
      <c r="AE56">
        <f t="shared" si="21"/>
        <v>41.166666666666664</v>
      </c>
      <c r="AF56" s="12">
        <f t="shared" si="6"/>
        <v>0.37994562846638008</v>
      </c>
      <c r="AG56">
        <f t="shared" si="10"/>
        <v>4343</v>
      </c>
      <c r="AH56">
        <f t="shared" si="11"/>
        <v>2304.8799999999997</v>
      </c>
      <c r="AI56">
        <f t="shared" si="12"/>
        <v>394.41999999999996</v>
      </c>
      <c r="AJ56">
        <f t="shared" si="13"/>
        <v>209.51999999999998</v>
      </c>
      <c r="AK56">
        <f t="shared" si="14"/>
        <v>165.12</v>
      </c>
      <c r="AL56">
        <f t="shared" si="15"/>
        <v>116.48000000000002</v>
      </c>
      <c r="AM56">
        <f t="shared" si="16"/>
        <v>125.12</v>
      </c>
      <c r="AN56">
        <f t="shared" si="17"/>
        <v>113.56</v>
      </c>
      <c r="AO56">
        <f t="shared" si="18"/>
        <v>44.879999999999995</v>
      </c>
      <c r="AP56">
        <f t="shared" si="19"/>
        <v>41.2</v>
      </c>
      <c r="AQ56">
        <f t="shared" si="20"/>
        <v>0.36727332211628344</v>
      </c>
    </row>
    <row r="57" spans="1:43" x14ac:dyDescent="0.35">
      <c r="A57" t="s">
        <v>99</v>
      </c>
      <c r="B57" t="s">
        <v>100</v>
      </c>
      <c r="C57">
        <f>VLOOKUP(CONCATENATE("2024",'2024_60'!A57),aktivnepesseg!$C$2:$D$2226,2,FALSE)</f>
        <v>10562</v>
      </c>
      <c r="D57">
        <f t="shared" si="8"/>
        <v>7193</v>
      </c>
      <c r="E57">
        <f t="shared" si="9"/>
        <v>3369</v>
      </c>
      <c r="F57">
        <v>1093</v>
      </c>
      <c r="G57">
        <v>303</v>
      </c>
      <c r="H57">
        <v>133</v>
      </c>
      <c r="I57">
        <v>148</v>
      </c>
      <c r="J57">
        <v>112</v>
      </c>
      <c r="K57">
        <v>234</v>
      </c>
      <c r="L57">
        <v>368</v>
      </c>
      <c r="M57">
        <v>89</v>
      </c>
      <c r="N57">
        <v>203</v>
      </c>
      <c r="O57">
        <v>218</v>
      </c>
      <c r="P57">
        <v>953</v>
      </c>
      <c r="Q57">
        <v>888</v>
      </c>
      <c r="R57">
        <v>2002</v>
      </c>
      <c r="S57">
        <v>417</v>
      </c>
      <c r="T57">
        <v>32</v>
      </c>
      <c r="U57">
        <f t="shared" si="22"/>
        <v>3369</v>
      </c>
      <c r="V57">
        <f t="shared" si="22"/>
        <v>1038.3499999999999</v>
      </c>
      <c r="W57">
        <f t="shared" si="21"/>
        <v>257.55</v>
      </c>
      <c r="X57">
        <f t="shared" si="21"/>
        <v>101.96666666666667</v>
      </c>
      <c r="Y57">
        <f t="shared" si="21"/>
        <v>103.6</v>
      </c>
      <c r="Z57">
        <f t="shared" si="21"/>
        <v>70.933333333333337</v>
      </c>
      <c r="AA57">
        <f t="shared" si="21"/>
        <v>128.70000000000002</v>
      </c>
      <c r="AB57">
        <f t="shared" si="21"/>
        <v>165.6</v>
      </c>
      <c r="AC57">
        <f t="shared" si="21"/>
        <v>32.633333333333333</v>
      </c>
      <c r="AD57">
        <f t="shared" si="21"/>
        <v>50.75</v>
      </c>
      <c r="AE57">
        <f t="shared" si="21"/>
        <v>18.166666666666664</v>
      </c>
      <c r="AF57" s="12">
        <f t="shared" si="6"/>
        <v>0.50532569589092979</v>
      </c>
      <c r="AG57">
        <f t="shared" si="10"/>
        <v>3369</v>
      </c>
      <c r="AH57">
        <f t="shared" si="11"/>
        <v>1027.4199999999998</v>
      </c>
      <c r="AI57">
        <f t="shared" si="12"/>
        <v>248.45999999999998</v>
      </c>
      <c r="AJ57">
        <f t="shared" si="13"/>
        <v>95.759999999999991</v>
      </c>
      <c r="AK57">
        <f t="shared" si="14"/>
        <v>94.72</v>
      </c>
      <c r="AL57">
        <f t="shared" si="15"/>
        <v>62.720000000000006</v>
      </c>
      <c r="AM57">
        <f t="shared" si="16"/>
        <v>107.64</v>
      </c>
      <c r="AN57">
        <f t="shared" si="17"/>
        <v>125.12</v>
      </c>
      <c r="AO57">
        <f t="shared" si="18"/>
        <v>21.36</v>
      </c>
      <c r="AP57">
        <f t="shared" si="19"/>
        <v>20.3</v>
      </c>
      <c r="AQ57">
        <f t="shared" si="20"/>
        <v>0.48972732437038446</v>
      </c>
    </row>
    <row r="58" spans="1:43" x14ac:dyDescent="0.35">
      <c r="A58" t="s">
        <v>101</v>
      </c>
      <c r="B58" t="s">
        <v>102</v>
      </c>
      <c r="C58">
        <f>VLOOKUP(CONCATENATE("2024",'2024_60'!A58),aktivnepesseg!$C$2:$D$2226,2,FALSE)</f>
        <v>35102</v>
      </c>
      <c r="D58">
        <f t="shared" si="8"/>
        <v>28134</v>
      </c>
      <c r="E58">
        <f t="shared" si="9"/>
        <v>6968</v>
      </c>
      <c r="F58">
        <v>2489</v>
      </c>
      <c r="G58">
        <v>820</v>
      </c>
      <c r="H58">
        <v>420</v>
      </c>
      <c r="I58">
        <v>519</v>
      </c>
      <c r="J58">
        <v>363</v>
      </c>
      <c r="K58">
        <v>544</v>
      </c>
      <c r="L58">
        <v>813</v>
      </c>
      <c r="M58">
        <v>450</v>
      </c>
      <c r="N58">
        <v>861</v>
      </c>
      <c r="O58">
        <v>902</v>
      </c>
      <c r="P58">
        <v>4483</v>
      </c>
      <c r="Q58">
        <v>2832</v>
      </c>
      <c r="R58">
        <v>9469</v>
      </c>
      <c r="S58">
        <v>2769</v>
      </c>
      <c r="T58">
        <v>400</v>
      </c>
      <c r="U58">
        <f t="shared" si="22"/>
        <v>6968</v>
      </c>
      <c r="V58">
        <f t="shared" si="22"/>
        <v>2364.5499999999997</v>
      </c>
      <c r="W58">
        <f t="shared" si="21"/>
        <v>697</v>
      </c>
      <c r="X58">
        <f t="shared" si="21"/>
        <v>322</v>
      </c>
      <c r="Y58">
        <f t="shared" si="21"/>
        <v>363.29999999999995</v>
      </c>
      <c r="Z58">
        <f t="shared" si="21"/>
        <v>229.89999999999998</v>
      </c>
      <c r="AA58">
        <f t="shared" si="21"/>
        <v>299.20000000000005</v>
      </c>
      <c r="AB58">
        <f t="shared" si="21"/>
        <v>365.85</v>
      </c>
      <c r="AC58">
        <f t="shared" si="21"/>
        <v>165</v>
      </c>
      <c r="AD58">
        <f t="shared" si="21"/>
        <v>215.25</v>
      </c>
      <c r="AE58">
        <f t="shared" si="21"/>
        <v>75.166666666666657</v>
      </c>
      <c r="AF58" s="12">
        <f t="shared" si="6"/>
        <v>0.34371878145594736</v>
      </c>
      <c r="AG58">
        <f t="shared" si="10"/>
        <v>6968</v>
      </c>
      <c r="AH58">
        <f t="shared" si="11"/>
        <v>2339.66</v>
      </c>
      <c r="AI58">
        <f t="shared" si="12"/>
        <v>672.4</v>
      </c>
      <c r="AJ58">
        <f t="shared" si="13"/>
        <v>302.39999999999998</v>
      </c>
      <c r="AK58">
        <f t="shared" si="14"/>
        <v>332.16</v>
      </c>
      <c r="AL58">
        <f t="shared" si="15"/>
        <v>203.28000000000003</v>
      </c>
      <c r="AM58">
        <f t="shared" si="16"/>
        <v>250.24</v>
      </c>
      <c r="AN58">
        <f t="shared" si="17"/>
        <v>276.42</v>
      </c>
      <c r="AO58">
        <f t="shared" si="18"/>
        <v>108</v>
      </c>
      <c r="AP58">
        <f t="shared" si="19"/>
        <v>86.100000000000009</v>
      </c>
      <c r="AQ58">
        <f t="shared" si="20"/>
        <v>0.32871802176514159</v>
      </c>
    </row>
    <row r="59" spans="1:43" x14ac:dyDescent="0.35">
      <c r="A59" t="s">
        <v>103</v>
      </c>
      <c r="B59" t="s">
        <v>104</v>
      </c>
      <c r="C59">
        <f>VLOOKUP(CONCATENATE("2024",'2024_60'!A59),aktivnepesseg!$C$2:$D$2226,2,FALSE)</f>
        <v>136152</v>
      </c>
      <c r="D59">
        <f t="shared" si="8"/>
        <v>109174</v>
      </c>
      <c r="E59">
        <f t="shared" si="9"/>
        <v>26978</v>
      </c>
      <c r="F59">
        <v>11367</v>
      </c>
      <c r="G59">
        <v>3224</v>
      </c>
      <c r="H59">
        <v>1703</v>
      </c>
      <c r="I59">
        <v>2131</v>
      </c>
      <c r="J59">
        <v>1497</v>
      </c>
      <c r="K59">
        <v>1928</v>
      </c>
      <c r="L59">
        <v>2880</v>
      </c>
      <c r="M59">
        <v>1625</v>
      </c>
      <c r="N59">
        <v>2903</v>
      </c>
      <c r="O59">
        <v>3150</v>
      </c>
      <c r="P59">
        <v>12802</v>
      </c>
      <c r="Q59">
        <v>10172</v>
      </c>
      <c r="R59">
        <v>35386</v>
      </c>
      <c r="S59">
        <v>14596</v>
      </c>
      <c r="T59">
        <v>3810</v>
      </c>
      <c r="U59">
        <f t="shared" si="22"/>
        <v>26978</v>
      </c>
      <c r="V59">
        <f t="shared" si="22"/>
        <v>10798.65</v>
      </c>
      <c r="W59">
        <f t="shared" si="21"/>
        <v>2740.4</v>
      </c>
      <c r="X59">
        <f t="shared" si="21"/>
        <v>1305.6333333333334</v>
      </c>
      <c r="Y59">
        <f t="shared" si="21"/>
        <v>1491.6999999999998</v>
      </c>
      <c r="Z59">
        <f t="shared" ref="Z59:AE90" si="23">J59*J$5</f>
        <v>948.09999999999991</v>
      </c>
      <c r="AA59">
        <f t="shared" si="23"/>
        <v>1060.4000000000001</v>
      </c>
      <c r="AB59">
        <f t="shared" si="23"/>
        <v>1296</v>
      </c>
      <c r="AC59">
        <f t="shared" si="23"/>
        <v>595.83333333333326</v>
      </c>
      <c r="AD59">
        <f t="shared" si="23"/>
        <v>725.75</v>
      </c>
      <c r="AE59">
        <f t="shared" si="23"/>
        <v>262.5</v>
      </c>
      <c r="AF59" s="12">
        <f t="shared" si="6"/>
        <v>0.35403788902599054</v>
      </c>
      <c r="AG59">
        <f t="shared" si="10"/>
        <v>26978</v>
      </c>
      <c r="AH59">
        <f t="shared" si="11"/>
        <v>10684.98</v>
      </c>
      <c r="AI59">
        <f t="shared" si="12"/>
        <v>2643.68</v>
      </c>
      <c r="AJ59">
        <f t="shared" si="13"/>
        <v>1226.1599999999999</v>
      </c>
      <c r="AK59">
        <f t="shared" si="14"/>
        <v>1363.84</v>
      </c>
      <c r="AL59">
        <f t="shared" si="15"/>
        <v>838.32</v>
      </c>
      <c r="AM59">
        <f t="shared" si="16"/>
        <v>886.88</v>
      </c>
      <c r="AN59">
        <f t="shared" si="17"/>
        <v>979.2</v>
      </c>
      <c r="AO59">
        <f t="shared" si="18"/>
        <v>390</v>
      </c>
      <c r="AP59">
        <f t="shared" si="19"/>
        <v>290.3</v>
      </c>
      <c r="AQ59">
        <f t="shared" si="20"/>
        <v>0.33992420236206583</v>
      </c>
    </row>
    <row r="60" spans="1:43" x14ac:dyDescent="0.35">
      <c r="A60" t="s">
        <v>105</v>
      </c>
      <c r="B60" t="s">
        <v>106</v>
      </c>
      <c r="C60">
        <f>VLOOKUP(CONCATENATE("2024",'2024_60'!A60),aktivnepesseg!$C$2:$D$2226,2,FALSE)</f>
        <v>28523</v>
      </c>
      <c r="D60">
        <f t="shared" si="8"/>
        <v>20883</v>
      </c>
      <c r="E60">
        <f t="shared" si="9"/>
        <v>7640</v>
      </c>
      <c r="F60">
        <v>3015</v>
      </c>
      <c r="G60">
        <v>696</v>
      </c>
      <c r="H60">
        <v>403</v>
      </c>
      <c r="I60">
        <v>407</v>
      </c>
      <c r="J60">
        <v>322</v>
      </c>
      <c r="K60">
        <v>526</v>
      </c>
      <c r="L60">
        <v>1057</v>
      </c>
      <c r="M60">
        <v>312</v>
      </c>
      <c r="N60">
        <v>627</v>
      </c>
      <c r="O60">
        <v>722</v>
      </c>
      <c r="P60">
        <v>2995</v>
      </c>
      <c r="Q60">
        <v>2208</v>
      </c>
      <c r="R60">
        <v>6159</v>
      </c>
      <c r="S60">
        <v>1327</v>
      </c>
      <c r="T60">
        <v>107</v>
      </c>
      <c r="U60">
        <f t="shared" si="22"/>
        <v>7640</v>
      </c>
      <c r="V60">
        <f t="shared" si="22"/>
        <v>2864.25</v>
      </c>
      <c r="W60">
        <f t="shared" si="22"/>
        <v>591.6</v>
      </c>
      <c r="X60">
        <f t="shared" si="22"/>
        <v>308.9666666666667</v>
      </c>
      <c r="Y60">
        <f t="shared" si="22"/>
        <v>284.89999999999998</v>
      </c>
      <c r="Z60">
        <f t="shared" si="23"/>
        <v>203.93333333333334</v>
      </c>
      <c r="AA60">
        <f t="shared" si="23"/>
        <v>289.3</v>
      </c>
      <c r="AB60">
        <f t="shared" si="23"/>
        <v>475.65000000000003</v>
      </c>
      <c r="AC60">
        <f t="shared" si="23"/>
        <v>114.39999999999999</v>
      </c>
      <c r="AD60">
        <f t="shared" si="23"/>
        <v>156.75</v>
      </c>
      <c r="AE60">
        <f t="shared" si="23"/>
        <v>60.166666666666664</v>
      </c>
      <c r="AF60" s="12">
        <f t="shared" si="6"/>
        <v>0.4554190185698091</v>
      </c>
      <c r="AG60">
        <f t="shared" si="10"/>
        <v>7640</v>
      </c>
      <c r="AH60">
        <f t="shared" si="11"/>
        <v>2834.1</v>
      </c>
      <c r="AI60">
        <f t="shared" si="12"/>
        <v>570.71999999999991</v>
      </c>
      <c r="AJ60">
        <f t="shared" si="13"/>
        <v>290.15999999999997</v>
      </c>
      <c r="AK60">
        <f t="shared" si="14"/>
        <v>260.48</v>
      </c>
      <c r="AL60">
        <f t="shared" si="15"/>
        <v>180.32000000000002</v>
      </c>
      <c r="AM60">
        <f t="shared" si="16"/>
        <v>241.96</v>
      </c>
      <c r="AN60">
        <f t="shared" si="17"/>
        <v>359.38000000000005</v>
      </c>
      <c r="AO60">
        <f t="shared" si="18"/>
        <v>74.88</v>
      </c>
      <c r="AP60">
        <f t="shared" si="19"/>
        <v>62.7</v>
      </c>
      <c r="AQ60">
        <f t="shared" si="20"/>
        <v>0.43875819514076347</v>
      </c>
    </row>
    <row r="61" spans="1:43" x14ac:dyDescent="0.35">
      <c r="A61" t="s">
        <v>107</v>
      </c>
      <c r="B61" t="s">
        <v>108</v>
      </c>
      <c r="C61">
        <f>VLOOKUP(CONCATENATE("2024",'2024_60'!A61),aktivnepesseg!$C$2:$D$2226,2,FALSE)</f>
        <v>9929</v>
      </c>
      <c r="D61">
        <f t="shared" si="8"/>
        <v>7177</v>
      </c>
      <c r="E61">
        <f t="shared" si="9"/>
        <v>2752</v>
      </c>
      <c r="F61">
        <v>833</v>
      </c>
      <c r="G61">
        <v>266</v>
      </c>
      <c r="H61">
        <v>111</v>
      </c>
      <c r="I61">
        <v>119</v>
      </c>
      <c r="J61">
        <v>98</v>
      </c>
      <c r="K61">
        <v>170</v>
      </c>
      <c r="L61">
        <v>258</v>
      </c>
      <c r="M61">
        <v>109</v>
      </c>
      <c r="N61">
        <v>226</v>
      </c>
      <c r="O61">
        <v>223</v>
      </c>
      <c r="P61">
        <v>924</v>
      </c>
      <c r="Q61">
        <v>1026</v>
      </c>
      <c r="R61">
        <v>2403</v>
      </c>
      <c r="S61">
        <v>388</v>
      </c>
      <c r="T61">
        <v>23</v>
      </c>
      <c r="U61">
        <f t="shared" si="22"/>
        <v>2752</v>
      </c>
      <c r="V61">
        <f t="shared" si="22"/>
        <v>791.34999999999991</v>
      </c>
      <c r="W61">
        <f t="shared" si="22"/>
        <v>226.1</v>
      </c>
      <c r="X61">
        <f t="shared" si="22"/>
        <v>85.100000000000009</v>
      </c>
      <c r="Y61">
        <f t="shared" si="22"/>
        <v>83.3</v>
      </c>
      <c r="Z61">
        <f t="shared" si="23"/>
        <v>62.066666666666663</v>
      </c>
      <c r="AA61">
        <f t="shared" si="23"/>
        <v>93.500000000000014</v>
      </c>
      <c r="AB61">
        <f t="shared" si="23"/>
        <v>116.10000000000001</v>
      </c>
      <c r="AC61">
        <f t="shared" si="23"/>
        <v>39.966666666666661</v>
      </c>
      <c r="AD61">
        <f t="shared" si="23"/>
        <v>56.5</v>
      </c>
      <c r="AE61">
        <f t="shared" si="23"/>
        <v>18.583333333333332</v>
      </c>
      <c r="AF61" s="12">
        <f t="shared" si="6"/>
        <v>0.43554906502836799</v>
      </c>
      <c r="AG61">
        <f t="shared" si="10"/>
        <v>2752</v>
      </c>
      <c r="AH61">
        <f t="shared" si="11"/>
        <v>783.02</v>
      </c>
      <c r="AI61">
        <f t="shared" si="12"/>
        <v>218.11999999999998</v>
      </c>
      <c r="AJ61">
        <f t="shared" si="13"/>
        <v>79.92</v>
      </c>
      <c r="AK61">
        <f t="shared" si="14"/>
        <v>76.16</v>
      </c>
      <c r="AL61">
        <f t="shared" si="15"/>
        <v>54.88</v>
      </c>
      <c r="AM61">
        <f t="shared" si="16"/>
        <v>78.2</v>
      </c>
      <c r="AN61">
        <f t="shared" si="17"/>
        <v>87.720000000000013</v>
      </c>
      <c r="AO61">
        <f t="shared" si="18"/>
        <v>26.16</v>
      </c>
      <c r="AP61">
        <f t="shared" si="19"/>
        <v>22.6</v>
      </c>
      <c r="AQ61">
        <f t="shared" si="20"/>
        <v>0.42086614966260449</v>
      </c>
    </row>
    <row r="62" spans="1:43" x14ac:dyDescent="0.35">
      <c r="A62" t="s">
        <v>109</v>
      </c>
      <c r="B62" t="s">
        <v>110</v>
      </c>
      <c r="C62">
        <f>VLOOKUP(CONCATENATE("2024",'2024_60'!A62),aktivnepesseg!$C$2:$D$2226,2,FALSE)</f>
        <v>19104</v>
      </c>
      <c r="D62">
        <f t="shared" si="8"/>
        <v>13849</v>
      </c>
      <c r="E62">
        <f t="shared" si="9"/>
        <v>5255</v>
      </c>
      <c r="F62">
        <v>1708</v>
      </c>
      <c r="G62">
        <v>468</v>
      </c>
      <c r="H62">
        <v>254</v>
      </c>
      <c r="I62">
        <v>262</v>
      </c>
      <c r="J62">
        <v>227</v>
      </c>
      <c r="K62">
        <v>320</v>
      </c>
      <c r="L62">
        <v>468</v>
      </c>
      <c r="M62">
        <v>222</v>
      </c>
      <c r="N62">
        <v>443</v>
      </c>
      <c r="O62">
        <v>465</v>
      </c>
      <c r="P62">
        <v>1786</v>
      </c>
      <c r="Q62">
        <v>1476</v>
      </c>
      <c r="R62">
        <v>4520</v>
      </c>
      <c r="S62">
        <v>1103</v>
      </c>
      <c r="T62">
        <v>127</v>
      </c>
      <c r="U62">
        <f t="shared" si="22"/>
        <v>5255</v>
      </c>
      <c r="V62">
        <f t="shared" si="22"/>
        <v>1622.6</v>
      </c>
      <c r="W62">
        <f t="shared" si="22"/>
        <v>397.8</v>
      </c>
      <c r="X62">
        <f t="shared" si="22"/>
        <v>194.73333333333335</v>
      </c>
      <c r="Y62">
        <f t="shared" si="22"/>
        <v>183.39999999999998</v>
      </c>
      <c r="Z62">
        <f t="shared" si="23"/>
        <v>143.76666666666665</v>
      </c>
      <c r="AA62">
        <f t="shared" si="23"/>
        <v>176</v>
      </c>
      <c r="AB62">
        <f t="shared" si="23"/>
        <v>210.6</v>
      </c>
      <c r="AC62">
        <f t="shared" si="23"/>
        <v>81.399999999999991</v>
      </c>
      <c r="AD62">
        <f t="shared" si="23"/>
        <v>110.75</v>
      </c>
      <c r="AE62">
        <f t="shared" si="23"/>
        <v>38.75</v>
      </c>
      <c r="AF62" s="12">
        <f t="shared" si="6"/>
        <v>0.4404731993299833</v>
      </c>
      <c r="AG62">
        <f t="shared" si="10"/>
        <v>5255</v>
      </c>
      <c r="AH62">
        <f t="shared" si="11"/>
        <v>1605.52</v>
      </c>
      <c r="AI62">
        <f t="shared" si="12"/>
        <v>383.76</v>
      </c>
      <c r="AJ62">
        <f t="shared" si="13"/>
        <v>182.88</v>
      </c>
      <c r="AK62">
        <f t="shared" si="14"/>
        <v>167.68</v>
      </c>
      <c r="AL62">
        <f t="shared" si="15"/>
        <v>127.12000000000002</v>
      </c>
      <c r="AM62">
        <f t="shared" si="16"/>
        <v>147.20000000000002</v>
      </c>
      <c r="AN62">
        <f t="shared" si="17"/>
        <v>159.12</v>
      </c>
      <c r="AO62">
        <f t="shared" si="18"/>
        <v>53.28</v>
      </c>
      <c r="AP62">
        <f t="shared" si="19"/>
        <v>44.300000000000004</v>
      </c>
      <c r="AQ62">
        <f t="shared" si="20"/>
        <v>0.42534861809045227</v>
      </c>
    </row>
    <row r="63" spans="1:43" x14ac:dyDescent="0.35">
      <c r="A63" t="s">
        <v>111</v>
      </c>
      <c r="B63" t="s">
        <v>112</v>
      </c>
      <c r="C63">
        <f>VLOOKUP(CONCATENATE("2024",'2024_60'!A63),aktivnepesseg!$C$2:$D$2226,2,FALSE)</f>
        <v>57870</v>
      </c>
      <c r="D63">
        <f t="shared" si="8"/>
        <v>48019</v>
      </c>
      <c r="E63">
        <f t="shared" si="9"/>
        <v>9851</v>
      </c>
      <c r="F63">
        <v>4254</v>
      </c>
      <c r="G63">
        <v>1259</v>
      </c>
      <c r="H63">
        <v>695</v>
      </c>
      <c r="I63">
        <v>976</v>
      </c>
      <c r="J63">
        <v>554</v>
      </c>
      <c r="K63">
        <v>803</v>
      </c>
      <c r="L63">
        <v>1175</v>
      </c>
      <c r="M63">
        <v>761</v>
      </c>
      <c r="N63">
        <v>1306</v>
      </c>
      <c r="O63">
        <v>1356</v>
      </c>
      <c r="P63">
        <v>5659</v>
      </c>
      <c r="Q63">
        <v>3693</v>
      </c>
      <c r="R63">
        <v>14216</v>
      </c>
      <c r="S63">
        <v>8452</v>
      </c>
      <c r="T63">
        <v>2860</v>
      </c>
      <c r="U63">
        <f t="shared" si="22"/>
        <v>9851</v>
      </c>
      <c r="V63">
        <f t="shared" si="22"/>
        <v>4041.2999999999997</v>
      </c>
      <c r="W63">
        <f t="shared" si="22"/>
        <v>1070.1499999999999</v>
      </c>
      <c r="X63">
        <f t="shared" si="22"/>
        <v>532.83333333333337</v>
      </c>
      <c r="Y63">
        <f t="shared" si="22"/>
        <v>683.19999999999993</v>
      </c>
      <c r="Z63">
        <f t="shared" si="23"/>
        <v>350.86666666666667</v>
      </c>
      <c r="AA63">
        <f t="shared" si="23"/>
        <v>441.65000000000003</v>
      </c>
      <c r="AB63">
        <f t="shared" si="23"/>
        <v>528.75</v>
      </c>
      <c r="AC63">
        <f t="shared" si="23"/>
        <v>279.0333333333333</v>
      </c>
      <c r="AD63">
        <f t="shared" si="23"/>
        <v>326.5</v>
      </c>
      <c r="AE63">
        <f t="shared" si="23"/>
        <v>113</v>
      </c>
      <c r="AF63" s="12">
        <f t="shared" si="6"/>
        <v>0.31481395080928515</v>
      </c>
      <c r="AG63">
        <f t="shared" si="10"/>
        <v>9851</v>
      </c>
      <c r="AH63">
        <f t="shared" si="11"/>
        <v>3998.7599999999998</v>
      </c>
      <c r="AI63">
        <f t="shared" si="12"/>
        <v>1032.3799999999999</v>
      </c>
      <c r="AJ63">
        <f t="shared" si="13"/>
        <v>500.4</v>
      </c>
      <c r="AK63">
        <f t="shared" si="14"/>
        <v>624.64</v>
      </c>
      <c r="AL63">
        <f t="shared" si="15"/>
        <v>310.24</v>
      </c>
      <c r="AM63">
        <f t="shared" si="16"/>
        <v>369.38</v>
      </c>
      <c r="AN63">
        <f t="shared" si="17"/>
        <v>399.50000000000006</v>
      </c>
      <c r="AO63">
        <f t="shared" si="18"/>
        <v>182.64</v>
      </c>
      <c r="AP63">
        <f t="shared" si="19"/>
        <v>130.6</v>
      </c>
      <c r="AQ63">
        <f t="shared" si="20"/>
        <v>0.30066597546224288</v>
      </c>
    </row>
    <row r="64" spans="1:43" x14ac:dyDescent="0.35">
      <c r="A64" t="s">
        <v>113</v>
      </c>
      <c r="B64" t="s">
        <v>114</v>
      </c>
      <c r="C64">
        <f>VLOOKUP(CONCATENATE("2024",'2024_60'!A64),aktivnepesseg!$C$2:$D$2226,2,FALSE)</f>
        <v>58024</v>
      </c>
      <c r="D64">
        <f t="shared" si="8"/>
        <v>46883</v>
      </c>
      <c r="E64">
        <f t="shared" si="9"/>
        <v>11141</v>
      </c>
      <c r="F64">
        <v>4471</v>
      </c>
      <c r="G64">
        <v>1288</v>
      </c>
      <c r="H64">
        <v>724</v>
      </c>
      <c r="I64">
        <v>755</v>
      </c>
      <c r="J64">
        <v>596</v>
      </c>
      <c r="K64">
        <v>858</v>
      </c>
      <c r="L64">
        <v>1039</v>
      </c>
      <c r="M64">
        <v>619</v>
      </c>
      <c r="N64">
        <v>1297</v>
      </c>
      <c r="O64">
        <v>1412</v>
      </c>
      <c r="P64">
        <v>5113</v>
      </c>
      <c r="Q64">
        <v>4402</v>
      </c>
      <c r="R64">
        <v>17386</v>
      </c>
      <c r="S64">
        <v>6128</v>
      </c>
      <c r="T64">
        <v>795</v>
      </c>
      <c r="U64">
        <f t="shared" ref="U64:AE95" si="24">E64*E$5</f>
        <v>11141</v>
      </c>
      <c r="V64">
        <f t="shared" si="24"/>
        <v>4247.45</v>
      </c>
      <c r="W64">
        <f t="shared" si="24"/>
        <v>1094.8</v>
      </c>
      <c r="X64">
        <f t="shared" si="24"/>
        <v>555.06666666666672</v>
      </c>
      <c r="Y64">
        <f t="shared" si="24"/>
        <v>528.5</v>
      </c>
      <c r="Z64">
        <f t="shared" si="23"/>
        <v>377.46666666666664</v>
      </c>
      <c r="AA64">
        <f t="shared" si="23"/>
        <v>471.90000000000003</v>
      </c>
      <c r="AB64">
        <f t="shared" si="23"/>
        <v>467.55</v>
      </c>
      <c r="AC64">
        <f t="shared" si="23"/>
        <v>226.96666666666664</v>
      </c>
      <c r="AD64">
        <f t="shared" si="23"/>
        <v>324.25</v>
      </c>
      <c r="AE64">
        <f t="shared" si="23"/>
        <v>117.66666666666666</v>
      </c>
      <c r="AF64" s="12">
        <f t="shared" si="6"/>
        <v>0.33697464267659361</v>
      </c>
      <c r="AG64">
        <f t="shared" si="10"/>
        <v>11141</v>
      </c>
      <c r="AH64">
        <f t="shared" si="11"/>
        <v>4202.74</v>
      </c>
      <c r="AI64">
        <f t="shared" si="12"/>
        <v>1056.1599999999999</v>
      </c>
      <c r="AJ64">
        <f t="shared" si="13"/>
        <v>521.28</v>
      </c>
      <c r="AK64">
        <f t="shared" si="14"/>
        <v>483.2</v>
      </c>
      <c r="AL64">
        <f t="shared" si="15"/>
        <v>333.76000000000005</v>
      </c>
      <c r="AM64">
        <f t="shared" si="16"/>
        <v>394.68</v>
      </c>
      <c r="AN64">
        <f t="shared" si="17"/>
        <v>353.26000000000005</v>
      </c>
      <c r="AO64">
        <f t="shared" si="18"/>
        <v>148.56</v>
      </c>
      <c r="AP64">
        <f t="shared" si="19"/>
        <v>129.70000000000002</v>
      </c>
      <c r="AQ64">
        <f t="shared" si="20"/>
        <v>0.32338928719150695</v>
      </c>
    </row>
    <row r="65" spans="1:43" x14ac:dyDescent="0.35">
      <c r="A65" t="s">
        <v>115</v>
      </c>
      <c r="B65" t="s">
        <v>116</v>
      </c>
      <c r="C65">
        <f>VLOOKUP(CONCATENATE("2024",'2024_60'!A65),aktivnepesseg!$C$2:$D$2226,2,FALSE)</f>
        <v>21100</v>
      </c>
      <c r="D65">
        <f t="shared" si="8"/>
        <v>14435</v>
      </c>
      <c r="E65">
        <f t="shared" si="9"/>
        <v>6665</v>
      </c>
      <c r="F65">
        <v>1931</v>
      </c>
      <c r="G65">
        <v>832</v>
      </c>
      <c r="H65">
        <v>419</v>
      </c>
      <c r="I65">
        <v>398</v>
      </c>
      <c r="J65">
        <v>328</v>
      </c>
      <c r="K65">
        <v>591</v>
      </c>
      <c r="L65">
        <v>1284</v>
      </c>
      <c r="M65">
        <v>222</v>
      </c>
      <c r="N65">
        <v>393</v>
      </c>
      <c r="O65">
        <v>411</v>
      </c>
      <c r="P65">
        <v>1715</v>
      </c>
      <c r="Q65">
        <v>1408</v>
      </c>
      <c r="R65">
        <v>3539</v>
      </c>
      <c r="S65">
        <v>897</v>
      </c>
      <c r="T65">
        <v>67</v>
      </c>
      <c r="U65">
        <f t="shared" si="24"/>
        <v>6665</v>
      </c>
      <c r="V65">
        <f t="shared" si="24"/>
        <v>1834.4499999999998</v>
      </c>
      <c r="W65">
        <f t="shared" si="24"/>
        <v>707.19999999999993</v>
      </c>
      <c r="X65">
        <f t="shared" si="24"/>
        <v>321.23333333333335</v>
      </c>
      <c r="Y65">
        <f t="shared" si="24"/>
        <v>278.59999999999997</v>
      </c>
      <c r="Z65">
        <f t="shared" si="23"/>
        <v>207.73333333333332</v>
      </c>
      <c r="AA65">
        <f t="shared" si="23"/>
        <v>325.05</v>
      </c>
      <c r="AB65">
        <f t="shared" si="23"/>
        <v>577.80000000000007</v>
      </c>
      <c r="AC65">
        <f t="shared" si="23"/>
        <v>81.399999999999991</v>
      </c>
      <c r="AD65">
        <f t="shared" si="23"/>
        <v>98.25</v>
      </c>
      <c r="AE65">
        <f t="shared" si="23"/>
        <v>34.25</v>
      </c>
      <c r="AF65" s="12">
        <f t="shared" si="6"/>
        <v>0.52753396524486573</v>
      </c>
      <c r="AG65">
        <f t="shared" si="10"/>
        <v>6665</v>
      </c>
      <c r="AH65">
        <f t="shared" si="11"/>
        <v>1815.1399999999999</v>
      </c>
      <c r="AI65">
        <f t="shared" si="12"/>
        <v>682.24</v>
      </c>
      <c r="AJ65">
        <f t="shared" si="13"/>
        <v>301.68</v>
      </c>
      <c r="AK65">
        <f t="shared" si="14"/>
        <v>254.72</v>
      </c>
      <c r="AL65">
        <f t="shared" si="15"/>
        <v>183.68</v>
      </c>
      <c r="AM65">
        <f t="shared" si="16"/>
        <v>271.86</v>
      </c>
      <c r="AN65">
        <f t="shared" si="17"/>
        <v>436.56000000000006</v>
      </c>
      <c r="AO65">
        <f t="shared" si="18"/>
        <v>53.28</v>
      </c>
      <c r="AP65">
        <f t="shared" si="19"/>
        <v>39.300000000000004</v>
      </c>
      <c r="AQ65">
        <f t="shared" si="20"/>
        <v>0.50727298578199043</v>
      </c>
    </row>
    <row r="66" spans="1:43" x14ac:dyDescent="0.35">
      <c r="A66" t="s">
        <v>117</v>
      </c>
      <c r="B66" t="s">
        <v>118</v>
      </c>
      <c r="C66">
        <f>VLOOKUP(CONCATENATE("2024",'2024_60'!A66),aktivnepesseg!$C$2:$D$2226,2,FALSE)</f>
        <v>52188</v>
      </c>
      <c r="D66">
        <f t="shared" si="8"/>
        <v>42895</v>
      </c>
      <c r="E66">
        <f t="shared" si="9"/>
        <v>9293</v>
      </c>
      <c r="F66">
        <v>4935</v>
      </c>
      <c r="G66">
        <v>1438</v>
      </c>
      <c r="H66">
        <v>707</v>
      </c>
      <c r="I66">
        <v>791</v>
      </c>
      <c r="J66">
        <v>621</v>
      </c>
      <c r="K66">
        <v>807</v>
      </c>
      <c r="L66">
        <v>1229</v>
      </c>
      <c r="M66">
        <v>658</v>
      </c>
      <c r="N66">
        <v>1237</v>
      </c>
      <c r="O66">
        <v>1235</v>
      </c>
      <c r="P66">
        <v>5003</v>
      </c>
      <c r="Q66">
        <v>4333</v>
      </c>
      <c r="R66">
        <v>14052</v>
      </c>
      <c r="S66">
        <v>4834</v>
      </c>
      <c r="T66">
        <v>1015</v>
      </c>
      <c r="U66">
        <f t="shared" si="24"/>
        <v>9293</v>
      </c>
      <c r="V66">
        <f t="shared" si="24"/>
        <v>4688.25</v>
      </c>
      <c r="W66">
        <f t="shared" si="24"/>
        <v>1222.3</v>
      </c>
      <c r="X66">
        <f t="shared" si="24"/>
        <v>542.03333333333342</v>
      </c>
      <c r="Y66">
        <f t="shared" si="24"/>
        <v>553.69999999999993</v>
      </c>
      <c r="Z66">
        <f t="shared" si="23"/>
        <v>393.29999999999995</v>
      </c>
      <c r="AA66">
        <f t="shared" si="23"/>
        <v>443.85</v>
      </c>
      <c r="AB66">
        <f t="shared" si="23"/>
        <v>553.05000000000007</v>
      </c>
      <c r="AC66">
        <f t="shared" si="23"/>
        <v>241.26666666666665</v>
      </c>
      <c r="AD66">
        <f t="shared" si="23"/>
        <v>309.25</v>
      </c>
      <c r="AE66">
        <f t="shared" si="23"/>
        <v>102.91666666666666</v>
      </c>
      <c r="AF66" s="12">
        <f t="shared" si="6"/>
        <v>0.35147767047341655</v>
      </c>
      <c r="AG66">
        <f t="shared" si="10"/>
        <v>9293</v>
      </c>
      <c r="AH66">
        <f t="shared" si="11"/>
        <v>4638.8999999999996</v>
      </c>
      <c r="AI66">
        <f t="shared" si="12"/>
        <v>1179.1599999999999</v>
      </c>
      <c r="AJ66">
        <f t="shared" si="13"/>
        <v>509.03999999999996</v>
      </c>
      <c r="AK66">
        <f t="shared" si="14"/>
        <v>506.24</v>
      </c>
      <c r="AL66">
        <f t="shared" si="15"/>
        <v>347.76000000000005</v>
      </c>
      <c r="AM66">
        <f t="shared" si="16"/>
        <v>371.22</v>
      </c>
      <c r="AN66">
        <f t="shared" si="17"/>
        <v>417.86</v>
      </c>
      <c r="AO66">
        <f t="shared" si="18"/>
        <v>157.91999999999999</v>
      </c>
      <c r="AP66">
        <f t="shared" si="19"/>
        <v>123.7</v>
      </c>
      <c r="AQ66">
        <f t="shared" si="20"/>
        <v>0.33618456350118797</v>
      </c>
    </row>
    <row r="67" spans="1:43" x14ac:dyDescent="0.35">
      <c r="A67" t="s">
        <v>119</v>
      </c>
      <c r="B67" t="s">
        <v>120</v>
      </c>
      <c r="C67">
        <f>VLOOKUP(CONCATENATE("2024",'2024_60'!A67),aktivnepesseg!$C$2:$D$2226,2,FALSE)</f>
        <v>13966</v>
      </c>
      <c r="D67">
        <f t="shared" si="8"/>
        <v>9521</v>
      </c>
      <c r="E67">
        <f t="shared" si="9"/>
        <v>4445</v>
      </c>
      <c r="F67">
        <v>1379</v>
      </c>
      <c r="G67">
        <v>505</v>
      </c>
      <c r="H67">
        <v>290</v>
      </c>
      <c r="I67">
        <v>324</v>
      </c>
      <c r="J67">
        <v>259</v>
      </c>
      <c r="K67">
        <v>413</v>
      </c>
      <c r="L67">
        <v>776</v>
      </c>
      <c r="M67">
        <v>148</v>
      </c>
      <c r="N67">
        <v>277</v>
      </c>
      <c r="O67">
        <v>284</v>
      </c>
      <c r="P67">
        <v>1111</v>
      </c>
      <c r="Q67">
        <v>846</v>
      </c>
      <c r="R67">
        <v>2419</v>
      </c>
      <c r="S67">
        <v>464</v>
      </c>
      <c r="T67">
        <v>26</v>
      </c>
      <c r="U67">
        <f t="shared" si="24"/>
        <v>4445</v>
      </c>
      <c r="V67">
        <f t="shared" si="24"/>
        <v>1310.05</v>
      </c>
      <c r="W67">
        <f t="shared" si="24"/>
        <v>429.25</v>
      </c>
      <c r="X67">
        <f t="shared" si="24"/>
        <v>222.33333333333334</v>
      </c>
      <c r="Y67">
        <f t="shared" si="24"/>
        <v>226.79999999999998</v>
      </c>
      <c r="Z67">
        <f t="shared" si="23"/>
        <v>164.03333333333333</v>
      </c>
      <c r="AA67">
        <f t="shared" si="23"/>
        <v>227.15</v>
      </c>
      <c r="AB67">
        <f t="shared" si="23"/>
        <v>349.2</v>
      </c>
      <c r="AC67">
        <f t="shared" si="23"/>
        <v>54.266666666666666</v>
      </c>
      <c r="AD67">
        <f t="shared" si="23"/>
        <v>69.25</v>
      </c>
      <c r="AE67">
        <f t="shared" si="23"/>
        <v>23.666666666666664</v>
      </c>
      <c r="AF67" s="12">
        <f t="shared" si="6"/>
        <v>0.53852212516110554</v>
      </c>
      <c r="AG67">
        <f t="shared" si="10"/>
        <v>4445</v>
      </c>
      <c r="AH67">
        <f t="shared" si="11"/>
        <v>1296.26</v>
      </c>
      <c r="AI67">
        <f t="shared" si="12"/>
        <v>414.09999999999997</v>
      </c>
      <c r="AJ67">
        <f t="shared" si="13"/>
        <v>208.79999999999998</v>
      </c>
      <c r="AK67">
        <f t="shared" si="14"/>
        <v>207.36</v>
      </c>
      <c r="AL67">
        <f t="shared" si="15"/>
        <v>145.04000000000002</v>
      </c>
      <c r="AM67">
        <f t="shared" si="16"/>
        <v>189.98000000000002</v>
      </c>
      <c r="AN67">
        <f t="shared" si="17"/>
        <v>263.84000000000003</v>
      </c>
      <c r="AO67">
        <f t="shared" si="18"/>
        <v>35.519999999999996</v>
      </c>
      <c r="AP67">
        <f t="shared" si="19"/>
        <v>27.700000000000003</v>
      </c>
      <c r="AQ67">
        <f t="shared" si="20"/>
        <v>0.51794357725905782</v>
      </c>
    </row>
    <row r="68" spans="1:43" x14ac:dyDescent="0.35">
      <c r="A68" t="s">
        <v>121</v>
      </c>
      <c r="B68" t="s">
        <v>122</v>
      </c>
      <c r="C68">
        <f>VLOOKUP(CONCATENATE("2024",'2024_60'!A68),aktivnepesseg!$C$2:$D$2226,2,FALSE)</f>
        <v>13535</v>
      </c>
      <c r="D68">
        <f t="shared" si="8"/>
        <v>10807</v>
      </c>
      <c r="E68">
        <f t="shared" si="9"/>
        <v>2728</v>
      </c>
      <c r="F68">
        <v>1310</v>
      </c>
      <c r="G68">
        <v>373</v>
      </c>
      <c r="H68">
        <v>169</v>
      </c>
      <c r="I68">
        <v>204</v>
      </c>
      <c r="J68">
        <v>130</v>
      </c>
      <c r="K68">
        <v>190</v>
      </c>
      <c r="L68">
        <v>299</v>
      </c>
      <c r="M68">
        <v>157</v>
      </c>
      <c r="N68">
        <v>308</v>
      </c>
      <c r="O68">
        <v>358</v>
      </c>
      <c r="P68">
        <v>1392</v>
      </c>
      <c r="Q68">
        <v>1182</v>
      </c>
      <c r="R68">
        <v>3924</v>
      </c>
      <c r="S68">
        <v>755</v>
      </c>
      <c r="T68">
        <v>56</v>
      </c>
      <c r="U68">
        <f t="shared" si="24"/>
        <v>2728</v>
      </c>
      <c r="V68">
        <f t="shared" si="24"/>
        <v>1244.5</v>
      </c>
      <c r="W68">
        <f t="shared" si="24"/>
        <v>317.05</v>
      </c>
      <c r="X68">
        <f t="shared" si="24"/>
        <v>129.56666666666666</v>
      </c>
      <c r="Y68">
        <f t="shared" si="24"/>
        <v>142.79999999999998</v>
      </c>
      <c r="Z68">
        <f t="shared" si="23"/>
        <v>82.333333333333329</v>
      </c>
      <c r="AA68">
        <f t="shared" si="23"/>
        <v>104.50000000000001</v>
      </c>
      <c r="AB68">
        <f t="shared" si="23"/>
        <v>134.55000000000001</v>
      </c>
      <c r="AC68">
        <f t="shared" si="23"/>
        <v>57.566666666666663</v>
      </c>
      <c r="AD68">
        <f t="shared" si="23"/>
        <v>77</v>
      </c>
      <c r="AE68">
        <f t="shared" si="23"/>
        <v>29.833333333333332</v>
      </c>
      <c r="AF68" s="12">
        <f t="shared" si="6"/>
        <v>0.37293683043960102</v>
      </c>
      <c r="AG68">
        <f t="shared" si="10"/>
        <v>2728</v>
      </c>
      <c r="AH68">
        <f t="shared" si="11"/>
        <v>1231.3999999999999</v>
      </c>
      <c r="AI68">
        <f t="shared" si="12"/>
        <v>305.85999999999996</v>
      </c>
      <c r="AJ68">
        <f t="shared" si="13"/>
        <v>121.67999999999999</v>
      </c>
      <c r="AK68">
        <f t="shared" si="14"/>
        <v>130.56</v>
      </c>
      <c r="AL68">
        <f t="shared" si="15"/>
        <v>72.800000000000011</v>
      </c>
      <c r="AM68">
        <f t="shared" si="16"/>
        <v>87.4</v>
      </c>
      <c r="AN68">
        <f t="shared" si="17"/>
        <v>101.66000000000001</v>
      </c>
      <c r="AO68">
        <f t="shared" si="18"/>
        <v>37.68</v>
      </c>
      <c r="AP68">
        <f t="shared" si="19"/>
        <v>30.8</v>
      </c>
      <c r="AQ68">
        <f t="shared" si="20"/>
        <v>0.35817066863686742</v>
      </c>
    </row>
    <row r="69" spans="1:43" x14ac:dyDescent="0.35">
      <c r="A69" t="s">
        <v>123</v>
      </c>
      <c r="B69" t="s">
        <v>124</v>
      </c>
      <c r="C69">
        <f>VLOOKUP(CONCATENATE("2024",'2024_60'!A69),aktivnepesseg!$C$2:$D$2226,2,FALSE)</f>
        <v>87762</v>
      </c>
      <c r="D69">
        <f t="shared" si="8"/>
        <v>72200</v>
      </c>
      <c r="E69">
        <f t="shared" si="9"/>
        <v>15562</v>
      </c>
      <c r="F69">
        <v>6183</v>
      </c>
      <c r="G69">
        <v>1813</v>
      </c>
      <c r="H69">
        <v>1015</v>
      </c>
      <c r="I69">
        <v>1409</v>
      </c>
      <c r="J69">
        <v>867</v>
      </c>
      <c r="K69">
        <v>1212</v>
      </c>
      <c r="L69">
        <v>1775</v>
      </c>
      <c r="M69">
        <v>1140</v>
      </c>
      <c r="N69">
        <v>1997</v>
      </c>
      <c r="O69">
        <v>2028</v>
      </c>
      <c r="P69">
        <v>8632</v>
      </c>
      <c r="Q69">
        <v>5694</v>
      </c>
      <c r="R69">
        <v>22621</v>
      </c>
      <c r="S69">
        <v>12012</v>
      </c>
      <c r="T69">
        <v>3802</v>
      </c>
      <c r="U69">
        <f t="shared" si="24"/>
        <v>15562</v>
      </c>
      <c r="V69">
        <f t="shared" si="24"/>
        <v>5873.8499999999995</v>
      </c>
      <c r="W69">
        <f t="shared" si="24"/>
        <v>1541.05</v>
      </c>
      <c r="X69">
        <f t="shared" si="24"/>
        <v>778.16666666666674</v>
      </c>
      <c r="Y69">
        <f t="shared" si="24"/>
        <v>986.3</v>
      </c>
      <c r="Z69">
        <f t="shared" si="23"/>
        <v>549.1</v>
      </c>
      <c r="AA69">
        <f t="shared" si="23"/>
        <v>666.6</v>
      </c>
      <c r="AB69">
        <f t="shared" si="23"/>
        <v>798.75</v>
      </c>
      <c r="AC69">
        <f t="shared" si="23"/>
        <v>417.99999999999994</v>
      </c>
      <c r="AD69">
        <f t="shared" si="23"/>
        <v>499.25</v>
      </c>
      <c r="AE69">
        <f t="shared" si="23"/>
        <v>169</v>
      </c>
      <c r="AF69" s="12">
        <f t="shared" si="6"/>
        <v>0.31724512507311436</v>
      </c>
      <c r="AG69">
        <f t="shared" si="10"/>
        <v>15562</v>
      </c>
      <c r="AH69">
        <f t="shared" si="11"/>
        <v>5812.0199999999995</v>
      </c>
      <c r="AI69">
        <f t="shared" si="12"/>
        <v>1486.6599999999999</v>
      </c>
      <c r="AJ69">
        <f t="shared" si="13"/>
        <v>730.8</v>
      </c>
      <c r="AK69">
        <f t="shared" si="14"/>
        <v>901.76</v>
      </c>
      <c r="AL69">
        <f t="shared" si="15"/>
        <v>485.52000000000004</v>
      </c>
      <c r="AM69">
        <f t="shared" si="16"/>
        <v>557.52</v>
      </c>
      <c r="AN69">
        <f t="shared" si="17"/>
        <v>603.5</v>
      </c>
      <c r="AO69">
        <f t="shared" si="18"/>
        <v>273.59999999999997</v>
      </c>
      <c r="AP69">
        <f t="shared" si="19"/>
        <v>199.70000000000002</v>
      </c>
      <c r="AQ69">
        <f t="shared" si="20"/>
        <v>0.30324149404070094</v>
      </c>
    </row>
    <row r="70" spans="1:43" x14ac:dyDescent="0.35">
      <c r="A70" t="s">
        <v>125</v>
      </c>
      <c r="B70" t="s">
        <v>126</v>
      </c>
      <c r="C70">
        <f>VLOOKUP(CONCATENATE("2024",'2024_60'!A70),aktivnepesseg!$C$2:$D$2226,2,FALSE)</f>
        <v>61267</v>
      </c>
      <c r="D70">
        <f t="shared" si="8"/>
        <v>49360</v>
      </c>
      <c r="E70">
        <f t="shared" si="9"/>
        <v>11907</v>
      </c>
      <c r="F70">
        <v>4219</v>
      </c>
      <c r="G70">
        <v>1307</v>
      </c>
      <c r="H70">
        <v>697</v>
      </c>
      <c r="I70">
        <v>832</v>
      </c>
      <c r="J70">
        <v>593</v>
      </c>
      <c r="K70">
        <v>901</v>
      </c>
      <c r="L70">
        <v>1259</v>
      </c>
      <c r="M70">
        <v>783</v>
      </c>
      <c r="N70">
        <v>1518</v>
      </c>
      <c r="O70">
        <v>1413</v>
      </c>
      <c r="P70">
        <v>6332</v>
      </c>
      <c r="Q70">
        <v>4903</v>
      </c>
      <c r="R70">
        <v>17018</v>
      </c>
      <c r="S70">
        <v>6627</v>
      </c>
      <c r="T70">
        <v>958</v>
      </c>
      <c r="U70">
        <f t="shared" si="24"/>
        <v>11907</v>
      </c>
      <c r="V70">
        <f t="shared" si="24"/>
        <v>4008.0499999999997</v>
      </c>
      <c r="W70">
        <f t="shared" si="24"/>
        <v>1110.95</v>
      </c>
      <c r="X70">
        <f t="shared" si="24"/>
        <v>534.36666666666667</v>
      </c>
      <c r="Y70">
        <f t="shared" si="24"/>
        <v>582.4</v>
      </c>
      <c r="Z70">
        <f t="shared" si="23"/>
        <v>375.56666666666666</v>
      </c>
      <c r="AA70">
        <f t="shared" si="23"/>
        <v>495.55000000000007</v>
      </c>
      <c r="AB70">
        <f t="shared" si="23"/>
        <v>566.55000000000007</v>
      </c>
      <c r="AC70">
        <f t="shared" si="23"/>
        <v>287.09999999999997</v>
      </c>
      <c r="AD70">
        <f t="shared" si="23"/>
        <v>379.5</v>
      </c>
      <c r="AE70">
        <f t="shared" si="23"/>
        <v>117.75</v>
      </c>
      <c r="AF70" s="12">
        <f t="shared" si="6"/>
        <v>0.33239400220891063</v>
      </c>
      <c r="AG70">
        <f t="shared" si="10"/>
        <v>11907</v>
      </c>
      <c r="AH70">
        <f t="shared" si="11"/>
        <v>3965.8599999999997</v>
      </c>
      <c r="AI70">
        <f t="shared" si="12"/>
        <v>1071.74</v>
      </c>
      <c r="AJ70">
        <f t="shared" si="13"/>
        <v>501.84</v>
      </c>
      <c r="AK70">
        <f t="shared" si="14"/>
        <v>532.48</v>
      </c>
      <c r="AL70">
        <f t="shared" si="15"/>
        <v>332.08000000000004</v>
      </c>
      <c r="AM70">
        <f t="shared" si="16"/>
        <v>414.46000000000004</v>
      </c>
      <c r="AN70">
        <f t="shared" si="17"/>
        <v>428.06000000000006</v>
      </c>
      <c r="AO70">
        <f t="shared" si="18"/>
        <v>187.92</v>
      </c>
      <c r="AP70">
        <f t="shared" si="19"/>
        <v>151.80000000000001</v>
      </c>
      <c r="AQ70">
        <f t="shared" si="20"/>
        <v>0.31816867155238548</v>
      </c>
    </row>
    <row r="71" spans="1:43" x14ac:dyDescent="0.35">
      <c r="A71" t="s">
        <v>127</v>
      </c>
      <c r="B71" t="s">
        <v>128</v>
      </c>
      <c r="C71">
        <f>VLOOKUP(CONCATENATE("2024",'2024_60'!A71),aktivnepesseg!$C$2:$D$2226,2,FALSE)</f>
        <v>26124</v>
      </c>
      <c r="D71">
        <f t="shared" si="8"/>
        <v>18884</v>
      </c>
      <c r="E71">
        <f t="shared" si="9"/>
        <v>7240</v>
      </c>
      <c r="F71">
        <v>3203</v>
      </c>
      <c r="G71">
        <v>863</v>
      </c>
      <c r="H71">
        <v>452</v>
      </c>
      <c r="I71">
        <v>534</v>
      </c>
      <c r="J71">
        <v>452</v>
      </c>
      <c r="K71">
        <v>791</v>
      </c>
      <c r="L71">
        <v>1770</v>
      </c>
      <c r="M71">
        <v>417</v>
      </c>
      <c r="N71">
        <v>650</v>
      </c>
      <c r="O71">
        <v>586</v>
      </c>
      <c r="P71">
        <v>2189</v>
      </c>
      <c r="Q71">
        <v>1787</v>
      </c>
      <c r="R71">
        <v>4228</v>
      </c>
      <c r="S71">
        <v>888</v>
      </c>
      <c r="T71">
        <v>74</v>
      </c>
      <c r="U71">
        <f t="shared" si="24"/>
        <v>7240</v>
      </c>
      <c r="V71">
        <f t="shared" si="24"/>
        <v>3042.85</v>
      </c>
      <c r="W71">
        <f t="shared" si="24"/>
        <v>733.55</v>
      </c>
      <c r="X71">
        <f t="shared" si="24"/>
        <v>346.53333333333336</v>
      </c>
      <c r="Y71">
        <f t="shared" si="24"/>
        <v>373.79999999999995</v>
      </c>
      <c r="Z71">
        <f t="shared" si="23"/>
        <v>286.26666666666665</v>
      </c>
      <c r="AA71">
        <f t="shared" si="23"/>
        <v>435.05</v>
      </c>
      <c r="AB71">
        <f t="shared" si="23"/>
        <v>796.5</v>
      </c>
      <c r="AC71">
        <f t="shared" si="23"/>
        <v>152.89999999999998</v>
      </c>
      <c r="AD71">
        <f t="shared" si="23"/>
        <v>162.5</v>
      </c>
      <c r="AE71">
        <f t="shared" si="23"/>
        <v>48.833333333333329</v>
      </c>
      <c r="AF71" s="12">
        <f t="shared" si="6"/>
        <v>0.5213130965140611</v>
      </c>
      <c r="AG71">
        <f t="shared" si="10"/>
        <v>7240</v>
      </c>
      <c r="AH71">
        <f t="shared" si="11"/>
        <v>3010.8199999999997</v>
      </c>
      <c r="AI71">
        <f t="shared" si="12"/>
        <v>707.66</v>
      </c>
      <c r="AJ71">
        <f t="shared" si="13"/>
        <v>325.44</v>
      </c>
      <c r="AK71">
        <f t="shared" si="14"/>
        <v>341.76</v>
      </c>
      <c r="AL71">
        <f t="shared" si="15"/>
        <v>253.12000000000003</v>
      </c>
      <c r="AM71">
        <f t="shared" si="16"/>
        <v>363.86</v>
      </c>
      <c r="AN71">
        <f t="shared" si="17"/>
        <v>601.80000000000007</v>
      </c>
      <c r="AO71">
        <f t="shared" si="18"/>
        <v>100.08</v>
      </c>
      <c r="AP71">
        <f t="shared" si="19"/>
        <v>65</v>
      </c>
      <c r="AQ71">
        <f t="shared" si="20"/>
        <v>0.49799188485683665</v>
      </c>
    </row>
    <row r="72" spans="1:43" x14ac:dyDescent="0.35">
      <c r="A72" t="s">
        <v>129</v>
      </c>
      <c r="B72" t="s">
        <v>130</v>
      </c>
      <c r="C72">
        <f>VLOOKUP(CONCATENATE("2024",'2024_60'!A72),aktivnepesseg!$C$2:$D$2226,2,FALSE)</f>
        <v>21763</v>
      </c>
      <c r="D72">
        <f t="shared" si="8"/>
        <v>16456</v>
      </c>
      <c r="E72">
        <f t="shared" si="9"/>
        <v>5307</v>
      </c>
      <c r="F72">
        <v>2580</v>
      </c>
      <c r="G72">
        <v>697</v>
      </c>
      <c r="H72">
        <v>367</v>
      </c>
      <c r="I72">
        <v>383</v>
      </c>
      <c r="J72">
        <v>278</v>
      </c>
      <c r="K72">
        <v>415</v>
      </c>
      <c r="L72">
        <v>496</v>
      </c>
      <c r="M72">
        <v>275</v>
      </c>
      <c r="N72">
        <v>599</v>
      </c>
      <c r="O72">
        <v>571</v>
      </c>
      <c r="P72">
        <v>2331</v>
      </c>
      <c r="Q72">
        <v>1700</v>
      </c>
      <c r="R72">
        <v>4475</v>
      </c>
      <c r="S72">
        <v>1033</v>
      </c>
      <c r="T72">
        <v>256</v>
      </c>
      <c r="U72">
        <f t="shared" si="24"/>
        <v>5307</v>
      </c>
      <c r="V72">
        <f t="shared" si="24"/>
        <v>2451</v>
      </c>
      <c r="W72">
        <f t="shared" si="24"/>
        <v>592.44999999999993</v>
      </c>
      <c r="X72">
        <f t="shared" si="24"/>
        <v>281.36666666666667</v>
      </c>
      <c r="Y72">
        <f t="shared" si="24"/>
        <v>268.09999999999997</v>
      </c>
      <c r="Z72">
        <f t="shared" si="23"/>
        <v>176.06666666666666</v>
      </c>
      <c r="AA72">
        <f t="shared" si="23"/>
        <v>228.25000000000003</v>
      </c>
      <c r="AB72">
        <f t="shared" si="23"/>
        <v>223.20000000000002</v>
      </c>
      <c r="AC72">
        <f t="shared" si="23"/>
        <v>100.83333333333333</v>
      </c>
      <c r="AD72">
        <f t="shared" si="23"/>
        <v>149.75</v>
      </c>
      <c r="AE72">
        <f t="shared" si="23"/>
        <v>47.583333333333329</v>
      </c>
      <c r="AF72" s="12">
        <f t="shared" ref="AF72:AF135" si="25">SUM(U72:AE72)/$C72</f>
        <v>0.45148187290355207</v>
      </c>
      <c r="AG72">
        <f t="shared" si="10"/>
        <v>5307</v>
      </c>
      <c r="AH72">
        <f t="shared" si="11"/>
        <v>2425.1999999999998</v>
      </c>
      <c r="AI72">
        <f t="shared" si="12"/>
        <v>571.54</v>
      </c>
      <c r="AJ72">
        <f t="shared" si="13"/>
        <v>264.24</v>
      </c>
      <c r="AK72">
        <f t="shared" si="14"/>
        <v>245.12</v>
      </c>
      <c r="AL72">
        <f t="shared" si="15"/>
        <v>155.68</v>
      </c>
      <c r="AM72">
        <f t="shared" si="16"/>
        <v>190.9</v>
      </c>
      <c r="AN72">
        <f t="shared" si="17"/>
        <v>168.64000000000001</v>
      </c>
      <c r="AO72">
        <f t="shared" si="18"/>
        <v>66</v>
      </c>
      <c r="AP72">
        <f t="shared" si="19"/>
        <v>59.900000000000006</v>
      </c>
      <c r="AQ72">
        <f t="shared" si="20"/>
        <v>0.43441712999126958</v>
      </c>
    </row>
    <row r="73" spans="1:43" x14ac:dyDescent="0.35">
      <c r="A73" t="s">
        <v>131</v>
      </c>
      <c r="B73" t="s">
        <v>132</v>
      </c>
      <c r="C73">
        <f>VLOOKUP(CONCATENATE("2024",'2024_60'!A73),aktivnepesseg!$C$2:$D$2226,2,FALSE)</f>
        <v>19245</v>
      </c>
      <c r="D73">
        <f t="shared" ref="D73:D136" si="26">SUM(F73:T73)</f>
        <v>14205</v>
      </c>
      <c r="E73">
        <f t="shared" ref="E73:E136" si="27">C73-D73</f>
        <v>5040</v>
      </c>
      <c r="F73">
        <v>1680</v>
      </c>
      <c r="G73">
        <v>548</v>
      </c>
      <c r="H73">
        <v>273</v>
      </c>
      <c r="I73">
        <v>306</v>
      </c>
      <c r="J73">
        <v>239</v>
      </c>
      <c r="K73">
        <v>373</v>
      </c>
      <c r="L73">
        <v>629</v>
      </c>
      <c r="M73">
        <v>201</v>
      </c>
      <c r="N73">
        <v>455</v>
      </c>
      <c r="O73">
        <v>439</v>
      </c>
      <c r="P73">
        <v>1829</v>
      </c>
      <c r="Q73">
        <v>1588</v>
      </c>
      <c r="R73">
        <v>4582</v>
      </c>
      <c r="S73">
        <v>1004</v>
      </c>
      <c r="T73">
        <v>59</v>
      </c>
      <c r="U73">
        <f t="shared" si="24"/>
        <v>5040</v>
      </c>
      <c r="V73">
        <f t="shared" si="24"/>
        <v>1596</v>
      </c>
      <c r="W73">
        <f t="shared" si="24"/>
        <v>465.8</v>
      </c>
      <c r="X73">
        <f t="shared" si="24"/>
        <v>209.3</v>
      </c>
      <c r="Y73">
        <f t="shared" si="24"/>
        <v>214.2</v>
      </c>
      <c r="Z73">
        <f t="shared" si="23"/>
        <v>151.36666666666665</v>
      </c>
      <c r="AA73">
        <f t="shared" si="23"/>
        <v>205.15</v>
      </c>
      <c r="AB73">
        <f t="shared" si="23"/>
        <v>283.05</v>
      </c>
      <c r="AC73">
        <f t="shared" si="23"/>
        <v>73.699999999999989</v>
      </c>
      <c r="AD73">
        <f t="shared" si="23"/>
        <v>113.75</v>
      </c>
      <c r="AE73">
        <f t="shared" si="23"/>
        <v>36.583333333333329</v>
      </c>
      <c r="AF73" s="12">
        <f t="shared" si="25"/>
        <v>0.43590023382696813</v>
      </c>
      <c r="AG73">
        <f t="shared" ref="AG73:AG136" si="28">E73*E$6</f>
        <v>5040</v>
      </c>
      <c r="AH73">
        <f t="shared" ref="AH73:AH136" si="29">F73*F$6</f>
        <v>1579.1999999999998</v>
      </c>
      <c r="AI73">
        <f t="shared" ref="AI73:AI136" si="30">G73*G$6</f>
        <v>449.35999999999996</v>
      </c>
      <c r="AJ73">
        <f t="shared" ref="AJ73:AJ136" si="31">H73*H$6</f>
        <v>196.56</v>
      </c>
      <c r="AK73">
        <f t="shared" ref="AK73:AK136" si="32">I73*I$6</f>
        <v>195.84</v>
      </c>
      <c r="AL73">
        <f t="shared" ref="AL73:AL136" si="33">J73*J$6</f>
        <v>133.84</v>
      </c>
      <c r="AM73">
        <f t="shared" ref="AM73:AM136" si="34">K73*K$6</f>
        <v>171.58</v>
      </c>
      <c r="AN73">
        <f t="shared" ref="AN73:AN136" si="35">L73*L$6</f>
        <v>213.86</v>
      </c>
      <c r="AO73">
        <f t="shared" ref="AO73:AO136" si="36">M73*M$6</f>
        <v>48.239999999999995</v>
      </c>
      <c r="AP73">
        <f t="shared" ref="AP73:AP136" si="37">N73*N$6</f>
        <v>45.5</v>
      </c>
      <c r="AQ73">
        <f t="shared" ref="AQ73:AQ136" si="38">SUM(AG73:AP73)/$C73</f>
        <v>0.419536502987789</v>
      </c>
    </row>
    <row r="74" spans="1:43" x14ac:dyDescent="0.35">
      <c r="A74" t="s">
        <v>133</v>
      </c>
      <c r="B74" t="s">
        <v>134</v>
      </c>
      <c r="C74">
        <f>VLOOKUP(CONCATENATE("2024",'2024_60'!A74),aktivnepesseg!$C$2:$D$2226,2,FALSE)</f>
        <v>23902</v>
      </c>
      <c r="D74">
        <f t="shared" si="26"/>
        <v>20259</v>
      </c>
      <c r="E74">
        <f t="shared" si="27"/>
        <v>3643</v>
      </c>
      <c r="F74">
        <v>2047</v>
      </c>
      <c r="G74">
        <v>520</v>
      </c>
      <c r="H74">
        <v>272</v>
      </c>
      <c r="I74">
        <v>348</v>
      </c>
      <c r="J74">
        <v>273</v>
      </c>
      <c r="K74">
        <v>286</v>
      </c>
      <c r="L74">
        <v>446</v>
      </c>
      <c r="M74">
        <v>254</v>
      </c>
      <c r="N74">
        <v>562</v>
      </c>
      <c r="O74">
        <v>596</v>
      </c>
      <c r="P74">
        <v>2389</v>
      </c>
      <c r="Q74">
        <v>1887</v>
      </c>
      <c r="R74">
        <v>6325</v>
      </c>
      <c r="S74">
        <v>3127</v>
      </c>
      <c r="T74">
        <v>927</v>
      </c>
      <c r="U74">
        <f t="shared" si="24"/>
        <v>3643</v>
      </c>
      <c r="V74">
        <f t="shared" si="24"/>
        <v>1944.6499999999999</v>
      </c>
      <c r="W74">
        <f t="shared" si="24"/>
        <v>442</v>
      </c>
      <c r="X74">
        <f t="shared" si="24"/>
        <v>208.53333333333336</v>
      </c>
      <c r="Y74">
        <f t="shared" si="24"/>
        <v>243.6</v>
      </c>
      <c r="Z74">
        <f t="shared" si="23"/>
        <v>172.9</v>
      </c>
      <c r="AA74">
        <f t="shared" si="23"/>
        <v>157.30000000000001</v>
      </c>
      <c r="AB74">
        <f t="shared" si="23"/>
        <v>200.70000000000002</v>
      </c>
      <c r="AC74">
        <f t="shared" si="23"/>
        <v>93.133333333333326</v>
      </c>
      <c r="AD74">
        <f t="shared" si="23"/>
        <v>140.5</v>
      </c>
      <c r="AE74">
        <f t="shared" si="23"/>
        <v>49.666666666666664</v>
      </c>
      <c r="AF74" s="12">
        <f t="shared" si="25"/>
        <v>0.30524572560176277</v>
      </c>
      <c r="AG74">
        <f t="shared" si="28"/>
        <v>3643</v>
      </c>
      <c r="AH74">
        <f t="shared" si="29"/>
        <v>1924.1799999999998</v>
      </c>
      <c r="AI74">
        <f t="shared" si="30"/>
        <v>426.4</v>
      </c>
      <c r="AJ74">
        <f t="shared" si="31"/>
        <v>195.84</v>
      </c>
      <c r="AK74">
        <f t="shared" si="32"/>
        <v>222.72</v>
      </c>
      <c r="AL74">
        <f t="shared" si="33"/>
        <v>152.88000000000002</v>
      </c>
      <c r="AM74">
        <f t="shared" si="34"/>
        <v>131.56</v>
      </c>
      <c r="AN74">
        <f t="shared" si="35"/>
        <v>151.64000000000001</v>
      </c>
      <c r="AO74">
        <f t="shared" si="36"/>
        <v>60.96</v>
      </c>
      <c r="AP74">
        <f t="shared" si="37"/>
        <v>56.2</v>
      </c>
      <c r="AQ74">
        <f t="shared" si="38"/>
        <v>0.29141410760605813</v>
      </c>
    </row>
    <row r="75" spans="1:43" x14ac:dyDescent="0.35">
      <c r="A75" t="s">
        <v>135</v>
      </c>
      <c r="B75" t="s">
        <v>136</v>
      </c>
      <c r="C75">
        <f>VLOOKUP(CONCATENATE("2024",'2024_60'!A75),aktivnepesseg!$C$2:$D$2226,2,FALSE)</f>
        <v>106219</v>
      </c>
      <c r="D75">
        <f t="shared" si="26"/>
        <v>86812</v>
      </c>
      <c r="E75">
        <f t="shared" si="27"/>
        <v>19407</v>
      </c>
      <c r="F75">
        <v>7859</v>
      </c>
      <c r="G75">
        <v>2380</v>
      </c>
      <c r="H75">
        <v>1331</v>
      </c>
      <c r="I75">
        <v>1799</v>
      </c>
      <c r="J75">
        <v>1082</v>
      </c>
      <c r="K75">
        <v>1543</v>
      </c>
      <c r="L75">
        <v>2396</v>
      </c>
      <c r="M75">
        <v>1460</v>
      </c>
      <c r="N75">
        <v>2432</v>
      </c>
      <c r="O75">
        <v>2520</v>
      </c>
      <c r="P75">
        <v>10510</v>
      </c>
      <c r="Q75">
        <v>7014</v>
      </c>
      <c r="R75">
        <v>26719</v>
      </c>
      <c r="S75">
        <v>13795</v>
      </c>
      <c r="T75">
        <v>3972</v>
      </c>
      <c r="U75">
        <f t="shared" si="24"/>
        <v>19407</v>
      </c>
      <c r="V75">
        <f t="shared" si="24"/>
        <v>7466.0499999999993</v>
      </c>
      <c r="W75">
        <f t="shared" si="24"/>
        <v>2023</v>
      </c>
      <c r="X75">
        <f t="shared" si="24"/>
        <v>1020.4333333333334</v>
      </c>
      <c r="Y75">
        <f t="shared" si="24"/>
        <v>1259.3</v>
      </c>
      <c r="Z75">
        <f t="shared" si="23"/>
        <v>685.26666666666665</v>
      </c>
      <c r="AA75">
        <f t="shared" si="23"/>
        <v>848.65000000000009</v>
      </c>
      <c r="AB75">
        <f t="shared" si="23"/>
        <v>1078.2</v>
      </c>
      <c r="AC75">
        <f t="shared" si="23"/>
        <v>535.33333333333326</v>
      </c>
      <c r="AD75">
        <f t="shared" si="23"/>
        <v>608</v>
      </c>
      <c r="AE75">
        <f t="shared" si="23"/>
        <v>210</v>
      </c>
      <c r="AF75" s="12">
        <f t="shared" si="25"/>
        <v>0.33083754632724216</v>
      </c>
      <c r="AG75">
        <f t="shared" si="28"/>
        <v>19407</v>
      </c>
      <c r="AH75">
        <f t="shared" si="29"/>
        <v>7387.4599999999991</v>
      </c>
      <c r="AI75">
        <f t="shared" si="30"/>
        <v>1951.6</v>
      </c>
      <c r="AJ75">
        <f t="shared" si="31"/>
        <v>958.31999999999994</v>
      </c>
      <c r="AK75">
        <f t="shared" si="32"/>
        <v>1151.3600000000001</v>
      </c>
      <c r="AL75">
        <f t="shared" si="33"/>
        <v>605.92000000000007</v>
      </c>
      <c r="AM75">
        <f t="shared" si="34"/>
        <v>709.78000000000009</v>
      </c>
      <c r="AN75">
        <f t="shared" si="35"/>
        <v>814.6400000000001</v>
      </c>
      <c r="AO75">
        <f t="shared" si="36"/>
        <v>350.4</v>
      </c>
      <c r="AP75">
        <f t="shared" si="37"/>
        <v>243.20000000000002</v>
      </c>
      <c r="AQ75">
        <f t="shared" si="38"/>
        <v>0.31613628446888026</v>
      </c>
    </row>
    <row r="76" spans="1:43" x14ac:dyDescent="0.35">
      <c r="A76" t="s">
        <v>137</v>
      </c>
      <c r="B76" t="s">
        <v>138</v>
      </c>
      <c r="C76">
        <f>VLOOKUP(CONCATENATE("2024",'2024_60'!A76),aktivnepesseg!$C$2:$D$2226,2,FALSE)</f>
        <v>11378</v>
      </c>
      <c r="D76">
        <f t="shared" si="26"/>
        <v>7169</v>
      </c>
      <c r="E76">
        <f t="shared" si="27"/>
        <v>4209</v>
      </c>
      <c r="F76">
        <v>1122</v>
      </c>
      <c r="G76">
        <v>329</v>
      </c>
      <c r="H76">
        <v>201</v>
      </c>
      <c r="I76">
        <v>148</v>
      </c>
      <c r="J76">
        <v>145</v>
      </c>
      <c r="K76">
        <v>281</v>
      </c>
      <c r="L76">
        <v>760</v>
      </c>
      <c r="M76">
        <v>118</v>
      </c>
      <c r="N76">
        <v>233</v>
      </c>
      <c r="O76">
        <v>226</v>
      </c>
      <c r="P76">
        <v>946</v>
      </c>
      <c r="Q76">
        <v>687</v>
      </c>
      <c r="R76">
        <v>1579</v>
      </c>
      <c r="S76">
        <v>380</v>
      </c>
      <c r="T76">
        <v>14</v>
      </c>
      <c r="U76">
        <f t="shared" si="24"/>
        <v>4209</v>
      </c>
      <c r="V76">
        <f t="shared" si="24"/>
        <v>1065.8999999999999</v>
      </c>
      <c r="W76">
        <f t="shared" si="24"/>
        <v>279.64999999999998</v>
      </c>
      <c r="X76">
        <f t="shared" si="24"/>
        <v>154.10000000000002</v>
      </c>
      <c r="Y76">
        <f t="shared" si="24"/>
        <v>103.6</v>
      </c>
      <c r="Z76">
        <f t="shared" si="23"/>
        <v>91.833333333333329</v>
      </c>
      <c r="AA76">
        <f t="shared" si="23"/>
        <v>154.55000000000001</v>
      </c>
      <c r="AB76">
        <f t="shared" si="23"/>
        <v>342</v>
      </c>
      <c r="AC76">
        <f t="shared" si="23"/>
        <v>43.266666666666666</v>
      </c>
      <c r="AD76">
        <f t="shared" si="23"/>
        <v>58.25</v>
      </c>
      <c r="AE76">
        <f t="shared" si="23"/>
        <v>18.833333333333332</v>
      </c>
      <c r="AF76" s="12">
        <f t="shared" si="25"/>
        <v>0.5731221069900978</v>
      </c>
      <c r="AG76">
        <f t="shared" si="28"/>
        <v>4209</v>
      </c>
      <c r="AH76">
        <f t="shared" si="29"/>
        <v>1054.6799999999998</v>
      </c>
      <c r="AI76">
        <f t="shared" si="30"/>
        <v>269.77999999999997</v>
      </c>
      <c r="AJ76">
        <f t="shared" si="31"/>
        <v>144.72</v>
      </c>
      <c r="AK76">
        <f t="shared" si="32"/>
        <v>94.72</v>
      </c>
      <c r="AL76">
        <f t="shared" si="33"/>
        <v>81.2</v>
      </c>
      <c r="AM76">
        <f t="shared" si="34"/>
        <v>129.26000000000002</v>
      </c>
      <c r="AN76">
        <f t="shared" si="35"/>
        <v>258.40000000000003</v>
      </c>
      <c r="AO76">
        <f t="shared" si="36"/>
        <v>28.32</v>
      </c>
      <c r="AP76">
        <f t="shared" si="37"/>
        <v>23.3</v>
      </c>
      <c r="AQ76">
        <f t="shared" si="38"/>
        <v>0.55311829847073302</v>
      </c>
    </row>
    <row r="77" spans="1:43" x14ac:dyDescent="0.35">
      <c r="A77" t="s">
        <v>139</v>
      </c>
      <c r="B77" t="s">
        <v>140</v>
      </c>
      <c r="C77">
        <f>VLOOKUP(CONCATENATE("2024",'2024_60'!A77),aktivnepesseg!$C$2:$D$2226,2,FALSE)</f>
        <v>30348</v>
      </c>
      <c r="D77">
        <f t="shared" si="26"/>
        <v>24513</v>
      </c>
      <c r="E77">
        <f t="shared" si="27"/>
        <v>5835</v>
      </c>
      <c r="F77">
        <v>2111</v>
      </c>
      <c r="G77">
        <v>663</v>
      </c>
      <c r="H77">
        <v>393</v>
      </c>
      <c r="I77">
        <v>506</v>
      </c>
      <c r="J77">
        <v>331</v>
      </c>
      <c r="K77">
        <v>428</v>
      </c>
      <c r="L77">
        <v>689</v>
      </c>
      <c r="M77">
        <v>429</v>
      </c>
      <c r="N77">
        <v>751</v>
      </c>
      <c r="O77">
        <v>834</v>
      </c>
      <c r="P77">
        <v>3495</v>
      </c>
      <c r="Q77">
        <v>2278</v>
      </c>
      <c r="R77">
        <v>8000</v>
      </c>
      <c r="S77">
        <v>3064</v>
      </c>
      <c r="T77">
        <v>541</v>
      </c>
      <c r="U77">
        <f t="shared" si="24"/>
        <v>5835</v>
      </c>
      <c r="V77">
        <f t="shared" si="24"/>
        <v>2005.4499999999998</v>
      </c>
      <c r="W77">
        <f t="shared" si="24"/>
        <v>563.54999999999995</v>
      </c>
      <c r="X77">
        <f t="shared" si="24"/>
        <v>301.3</v>
      </c>
      <c r="Y77">
        <f t="shared" si="24"/>
        <v>354.2</v>
      </c>
      <c r="Z77">
        <f t="shared" si="23"/>
        <v>209.63333333333333</v>
      </c>
      <c r="AA77">
        <f t="shared" si="23"/>
        <v>235.4</v>
      </c>
      <c r="AB77">
        <f t="shared" si="23"/>
        <v>310.05</v>
      </c>
      <c r="AC77">
        <f t="shared" si="23"/>
        <v>157.29999999999998</v>
      </c>
      <c r="AD77">
        <f t="shared" si="23"/>
        <v>187.75</v>
      </c>
      <c r="AE77">
        <f t="shared" si="23"/>
        <v>69.5</v>
      </c>
      <c r="AF77" s="12">
        <f t="shared" si="25"/>
        <v>0.33706120117745259</v>
      </c>
      <c r="AG77">
        <f t="shared" si="28"/>
        <v>5835</v>
      </c>
      <c r="AH77">
        <f t="shared" si="29"/>
        <v>1984.34</v>
      </c>
      <c r="AI77">
        <f t="shared" si="30"/>
        <v>543.66</v>
      </c>
      <c r="AJ77">
        <f t="shared" si="31"/>
        <v>282.95999999999998</v>
      </c>
      <c r="AK77">
        <f t="shared" si="32"/>
        <v>323.84000000000003</v>
      </c>
      <c r="AL77">
        <f t="shared" si="33"/>
        <v>185.36</v>
      </c>
      <c r="AM77">
        <f t="shared" si="34"/>
        <v>196.88</v>
      </c>
      <c r="AN77">
        <f t="shared" si="35"/>
        <v>234.26000000000002</v>
      </c>
      <c r="AO77">
        <f t="shared" si="36"/>
        <v>102.96</v>
      </c>
      <c r="AP77">
        <f t="shared" si="37"/>
        <v>75.100000000000009</v>
      </c>
      <c r="AQ77">
        <f t="shared" si="38"/>
        <v>0.3217464083300382</v>
      </c>
    </row>
    <row r="78" spans="1:43" x14ac:dyDescent="0.35">
      <c r="A78" t="s">
        <v>141</v>
      </c>
      <c r="B78" t="s">
        <v>142</v>
      </c>
      <c r="C78">
        <f>VLOOKUP(CONCATENATE("2024",'2024_60'!A78),aktivnepesseg!$C$2:$D$2226,2,FALSE)</f>
        <v>14139</v>
      </c>
      <c r="D78">
        <f t="shared" si="26"/>
        <v>11212</v>
      </c>
      <c r="E78">
        <f t="shared" si="27"/>
        <v>2927</v>
      </c>
      <c r="F78">
        <v>1667</v>
      </c>
      <c r="G78">
        <v>368</v>
      </c>
      <c r="H78">
        <v>197</v>
      </c>
      <c r="I78">
        <v>208</v>
      </c>
      <c r="J78">
        <v>176</v>
      </c>
      <c r="K78">
        <v>239</v>
      </c>
      <c r="L78">
        <v>466</v>
      </c>
      <c r="M78">
        <v>255</v>
      </c>
      <c r="N78">
        <v>439</v>
      </c>
      <c r="O78">
        <v>382</v>
      </c>
      <c r="P78">
        <v>1760</v>
      </c>
      <c r="Q78">
        <v>1479</v>
      </c>
      <c r="R78">
        <v>2926</v>
      </c>
      <c r="S78">
        <v>586</v>
      </c>
      <c r="T78">
        <v>64</v>
      </c>
      <c r="U78">
        <f t="shared" si="24"/>
        <v>2927</v>
      </c>
      <c r="V78">
        <f t="shared" si="24"/>
        <v>1583.6499999999999</v>
      </c>
      <c r="W78">
        <f t="shared" si="24"/>
        <v>312.8</v>
      </c>
      <c r="X78">
        <f t="shared" si="24"/>
        <v>151.03333333333333</v>
      </c>
      <c r="Y78">
        <f t="shared" si="24"/>
        <v>145.6</v>
      </c>
      <c r="Z78">
        <f t="shared" si="23"/>
        <v>111.46666666666667</v>
      </c>
      <c r="AA78">
        <f t="shared" si="23"/>
        <v>131.45000000000002</v>
      </c>
      <c r="AB78">
        <f t="shared" si="23"/>
        <v>209.70000000000002</v>
      </c>
      <c r="AC78">
        <f t="shared" si="23"/>
        <v>93.5</v>
      </c>
      <c r="AD78">
        <f t="shared" si="23"/>
        <v>109.75</v>
      </c>
      <c r="AE78">
        <f t="shared" si="23"/>
        <v>31.833333333333332</v>
      </c>
      <c r="AF78" s="12">
        <f t="shared" si="25"/>
        <v>0.41076337317584927</v>
      </c>
      <c r="AG78">
        <f t="shared" si="28"/>
        <v>2927</v>
      </c>
      <c r="AH78">
        <f t="shared" si="29"/>
        <v>1566.98</v>
      </c>
      <c r="AI78">
        <f t="shared" si="30"/>
        <v>301.76</v>
      </c>
      <c r="AJ78">
        <f t="shared" si="31"/>
        <v>141.84</v>
      </c>
      <c r="AK78">
        <f t="shared" si="32"/>
        <v>133.12</v>
      </c>
      <c r="AL78">
        <f t="shared" si="33"/>
        <v>98.56</v>
      </c>
      <c r="AM78">
        <f t="shared" si="34"/>
        <v>109.94</v>
      </c>
      <c r="AN78">
        <f t="shared" si="35"/>
        <v>158.44</v>
      </c>
      <c r="AO78">
        <f t="shared" si="36"/>
        <v>61.199999999999996</v>
      </c>
      <c r="AP78">
        <f t="shared" si="37"/>
        <v>43.900000000000006</v>
      </c>
      <c r="AQ78">
        <f t="shared" si="38"/>
        <v>0.39201782304264793</v>
      </c>
    </row>
    <row r="79" spans="1:43" x14ac:dyDescent="0.35">
      <c r="A79" t="s">
        <v>143</v>
      </c>
      <c r="B79" t="s">
        <v>144</v>
      </c>
      <c r="C79">
        <f>VLOOKUP(CONCATENATE("2024",'2024_60'!A79),aktivnepesseg!$C$2:$D$2226,2,FALSE)</f>
        <v>42841</v>
      </c>
      <c r="D79">
        <f t="shared" si="26"/>
        <v>34787</v>
      </c>
      <c r="E79">
        <f t="shared" si="27"/>
        <v>8054</v>
      </c>
      <c r="F79">
        <v>3887</v>
      </c>
      <c r="G79">
        <v>1103</v>
      </c>
      <c r="H79">
        <v>553</v>
      </c>
      <c r="I79">
        <v>689</v>
      </c>
      <c r="J79">
        <v>487</v>
      </c>
      <c r="K79">
        <v>645</v>
      </c>
      <c r="L79">
        <v>815</v>
      </c>
      <c r="M79">
        <v>453</v>
      </c>
      <c r="N79">
        <v>961</v>
      </c>
      <c r="O79">
        <v>1023</v>
      </c>
      <c r="P79">
        <v>4002</v>
      </c>
      <c r="Q79">
        <v>3553</v>
      </c>
      <c r="R79">
        <v>11372</v>
      </c>
      <c r="S79">
        <v>4574</v>
      </c>
      <c r="T79">
        <v>670</v>
      </c>
      <c r="U79">
        <f t="shared" si="24"/>
        <v>8054</v>
      </c>
      <c r="V79">
        <f t="shared" si="24"/>
        <v>3692.6499999999996</v>
      </c>
      <c r="W79">
        <f t="shared" si="24"/>
        <v>937.55</v>
      </c>
      <c r="X79">
        <f t="shared" si="24"/>
        <v>423.9666666666667</v>
      </c>
      <c r="Y79">
        <f t="shared" si="24"/>
        <v>482.29999999999995</v>
      </c>
      <c r="Z79">
        <f t="shared" si="23"/>
        <v>308.43333333333334</v>
      </c>
      <c r="AA79">
        <f t="shared" si="23"/>
        <v>354.75000000000006</v>
      </c>
      <c r="AB79">
        <f t="shared" si="23"/>
        <v>366.75</v>
      </c>
      <c r="AC79">
        <f t="shared" si="23"/>
        <v>166.1</v>
      </c>
      <c r="AD79">
        <f t="shared" si="23"/>
        <v>240.25</v>
      </c>
      <c r="AE79">
        <f t="shared" si="23"/>
        <v>85.25</v>
      </c>
      <c r="AF79" s="12">
        <f t="shared" si="25"/>
        <v>0.35274620106906929</v>
      </c>
      <c r="AG79">
        <f t="shared" si="28"/>
        <v>8054</v>
      </c>
      <c r="AH79">
        <f t="shared" si="29"/>
        <v>3653.7799999999997</v>
      </c>
      <c r="AI79">
        <f t="shared" si="30"/>
        <v>904.45999999999992</v>
      </c>
      <c r="AJ79">
        <f t="shared" si="31"/>
        <v>398.15999999999997</v>
      </c>
      <c r="AK79">
        <f t="shared" si="32"/>
        <v>440.96000000000004</v>
      </c>
      <c r="AL79">
        <f t="shared" si="33"/>
        <v>272.72000000000003</v>
      </c>
      <c r="AM79">
        <f t="shared" si="34"/>
        <v>296.7</v>
      </c>
      <c r="AN79">
        <f t="shared" si="35"/>
        <v>277.10000000000002</v>
      </c>
      <c r="AO79">
        <f t="shared" si="36"/>
        <v>108.72</v>
      </c>
      <c r="AP79">
        <f t="shared" si="37"/>
        <v>96.100000000000009</v>
      </c>
      <c r="AQ79">
        <f t="shared" si="38"/>
        <v>0.33852384398123286</v>
      </c>
    </row>
    <row r="80" spans="1:43" x14ac:dyDescent="0.35">
      <c r="A80" t="s">
        <v>145</v>
      </c>
      <c r="B80" t="s">
        <v>146</v>
      </c>
      <c r="C80">
        <f>VLOOKUP(CONCATENATE("2024",'2024_60'!A80),aktivnepesseg!$C$2:$D$2226,2,FALSE)</f>
        <v>128648</v>
      </c>
      <c r="D80">
        <f t="shared" si="26"/>
        <v>106650</v>
      </c>
      <c r="E80">
        <f t="shared" si="27"/>
        <v>21998</v>
      </c>
      <c r="F80">
        <v>10384</v>
      </c>
      <c r="G80">
        <v>2860</v>
      </c>
      <c r="H80">
        <v>1568</v>
      </c>
      <c r="I80">
        <v>1903</v>
      </c>
      <c r="J80">
        <v>1317</v>
      </c>
      <c r="K80">
        <v>1772</v>
      </c>
      <c r="L80">
        <v>2187</v>
      </c>
      <c r="M80">
        <v>1403</v>
      </c>
      <c r="N80">
        <v>2850</v>
      </c>
      <c r="O80">
        <v>2864</v>
      </c>
      <c r="P80">
        <v>11386</v>
      </c>
      <c r="Q80">
        <v>9374</v>
      </c>
      <c r="R80">
        <v>34494</v>
      </c>
      <c r="S80">
        <v>17330</v>
      </c>
      <c r="T80">
        <v>4958</v>
      </c>
      <c r="U80">
        <f t="shared" si="24"/>
        <v>21998</v>
      </c>
      <c r="V80">
        <f t="shared" si="24"/>
        <v>9864.7999999999993</v>
      </c>
      <c r="W80">
        <f t="shared" si="24"/>
        <v>2431</v>
      </c>
      <c r="X80">
        <f t="shared" si="24"/>
        <v>1202.1333333333334</v>
      </c>
      <c r="Y80">
        <f t="shared" si="24"/>
        <v>1332.1</v>
      </c>
      <c r="Z80">
        <f t="shared" si="23"/>
        <v>834.09999999999991</v>
      </c>
      <c r="AA80">
        <f t="shared" si="23"/>
        <v>974.6</v>
      </c>
      <c r="AB80">
        <f t="shared" si="23"/>
        <v>984.15</v>
      </c>
      <c r="AC80">
        <f t="shared" si="23"/>
        <v>514.43333333333328</v>
      </c>
      <c r="AD80">
        <f t="shared" si="23"/>
        <v>712.5</v>
      </c>
      <c r="AE80">
        <f t="shared" si="23"/>
        <v>238.66666666666666</v>
      </c>
      <c r="AF80" s="12">
        <f t="shared" si="25"/>
        <v>0.31937133366498766</v>
      </c>
      <c r="AG80">
        <f t="shared" si="28"/>
        <v>21998</v>
      </c>
      <c r="AH80">
        <f t="shared" si="29"/>
        <v>9760.9599999999991</v>
      </c>
      <c r="AI80">
        <f t="shared" si="30"/>
        <v>2345.1999999999998</v>
      </c>
      <c r="AJ80">
        <f t="shared" si="31"/>
        <v>1128.96</v>
      </c>
      <c r="AK80">
        <f t="shared" si="32"/>
        <v>1217.92</v>
      </c>
      <c r="AL80">
        <f t="shared" si="33"/>
        <v>737.5200000000001</v>
      </c>
      <c r="AM80">
        <f t="shared" si="34"/>
        <v>815.12</v>
      </c>
      <c r="AN80">
        <f t="shared" si="35"/>
        <v>743.58</v>
      </c>
      <c r="AO80">
        <f t="shared" si="36"/>
        <v>336.71999999999997</v>
      </c>
      <c r="AP80">
        <f t="shared" si="37"/>
        <v>285</v>
      </c>
      <c r="AQ80">
        <f t="shared" si="38"/>
        <v>0.30602092531558978</v>
      </c>
    </row>
    <row r="81" spans="1:43" x14ac:dyDescent="0.35">
      <c r="A81" t="s">
        <v>147</v>
      </c>
      <c r="B81" t="s">
        <v>148</v>
      </c>
      <c r="C81">
        <f>VLOOKUP(CONCATENATE("2024",'2024_60'!A81),aktivnepesseg!$C$2:$D$2226,2,FALSE)</f>
        <v>24673</v>
      </c>
      <c r="D81">
        <f t="shared" si="26"/>
        <v>19493</v>
      </c>
      <c r="E81">
        <f t="shared" si="27"/>
        <v>5180</v>
      </c>
      <c r="F81">
        <v>2556</v>
      </c>
      <c r="G81">
        <v>614</v>
      </c>
      <c r="H81">
        <v>287</v>
      </c>
      <c r="I81">
        <v>346</v>
      </c>
      <c r="J81">
        <v>270</v>
      </c>
      <c r="K81">
        <v>411</v>
      </c>
      <c r="L81">
        <v>598</v>
      </c>
      <c r="M81">
        <v>333</v>
      </c>
      <c r="N81">
        <v>549</v>
      </c>
      <c r="O81">
        <v>562</v>
      </c>
      <c r="P81">
        <v>2293</v>
      </c>
      <c r="Q81">
        <v>2363</v>
      </c>
      <c r="R81">
        <v>6186</v>
      </c>
      <c r="S81">
        <v>1691</v>
      </c>
      <c r="T81">
        <v>434</v>
      </c>
      <c r="U81">
        <f t="shared" si="24"/>
        <v>5180</v>
      </c>
      <c r="V81">
        <f t="shared" si="24"/>
        <v>2428.1999999999998</v>
      </c>
      <c r="W81">
        <f t="shared" si="24"/>
        <v>521.9</v>
      </c>
      <c r="X81">
        <f t="shared" si="24"/>
        <v>220.03333333333336</v>
      </c>
      <c r="Y81">
        <f t="shared" si="24"/>
        <v>242.2</v>
      </c>
      <c r="Z81">
        <f t="shared" si="23"/>
        <v>171</v>
      </c>
      <c r="AA81">
        <f t="shared" si="23"/>
        <v>226.05</v>
      </c>
      <c r="AB81">
        <f t="shared" si="23"/>
        <v>269.10000000000002</v>
      </c>
      <c r="AC81">
        <f t="shared" si="23"/>
        <v>122.1</v>
      </c>
      <c r="AD81">
        <f t="shared" si="23"/>
        <v>137.25</v>
      </c>
      <c r="AE81">
        <f t="shared" si="23"/>
        <v>46.833333333333329</v>
      </c>
      <c r="AF81" s="12">
        <f t="shared" si="25"/>
        <v>0.38765722314540868</v>
      </c>
      <c r="AG81">
        <f t="shared" si="28"/>
        <v>5180</v>
      </c>
      <c r="AH81">
        <f t="shared" si="29"/>
        <v>2402.64</v>
      </c>
      <c r="AI81">
        <f t="shared" si="30"/>
        <v>503.47999999999996</v>
      </c>
      <c r="AJ81">
        <f t="shared" si="31"/>
        <v>206.64</v>
      </c>
      <c r="AK81">
        <f t="shared" si="32"/>
        <v>221.44</v>
      </c>
      <c r="AL81">
        <f t="shared" si="33"/>
        <v>151.20000000000002</v>
      </c>
      <c r="AM81">
        <f t="shared" si="34"/>
        <v>189.06</v>
      </c>
      <c r="AN81">
        <f t="shared" si="35"/>
        <v>203.32000000000002</v>
      </c>
      <c r="AO81">
        <f t="shared" si="36"/>
        <v>79.92</v>
      </c>
      <c r="AP81">
        <f t="shared" si="37"/>
        <v>54.900000000000006</v>
      </c>
      <c r="AQ81">
        <f t="shared" si="38"/>
        <v>0.3725773112309001</v>
      </c>
    </row>
    <row r="82" spans="1:43" x14ac:dyDescent="0.35">
      <c r="A82" t="s">
        <v>149</v>
      </c>
      <c r="B82" t="s">
        <v>150</v>
      </c>
      <c r="C82">
        <f>VLOOKUP(CONCATENATE("2024",'2024_60'!A82),aktivnepesseg!$C$2:$D$2226,2,FALSE)</f>
        <v>25224</v>
      </c>
      <c r="D82">
        <f t="shared" si="26"/>
        <v>20674</v>
      </c>
      <c r="E82">
        <f t="shared" si="27"/>
        <v>4550</v>
      </c>
      <c r="F82">
        <v>3327</v>
      </c>
      <c r="G82">
        <v>682</v>
      </c>
      <c r="H82">
        <v>351</v>
      </c>
      <c r="I82">
        <v>375</v>
      </c>
      <c r="J82">
        <v>278</v>
      </c>
      <c r="K82">
        <v>439</v>
      </c>
      <c r="L82">
        <v>733</v>
      </c>
      <c r="M82">
        <v>312</v>
      </c>
      <c r="N82">
        <v>622</v>
      </c>
      <c r="O82">
        <v>663</v>
      </c>
      <c r="P82">
        <v>2981</v>
      </c>
      <c r="Q82">
        <v>2438</v>
      </c>
      <c r="R82">
        <v>5865</v>
      </c>
      <c r="S82">
        <v>1411</v>
      </c>
      <c r="T82">
        <v>197</v>
      </c>
      <c r="U82">
        <f t="shared" si="24"/>
        <v>4550</v>
      </c>
      <c r="V82">
        <f t="shared" si="24"/>
        <v>3160.6499999999996</v>
      </c>
      <c r="W82">
        <f t="shared" si="24"/>
        <v>579.69999999999993</v>
      </c>
      <c r="X82">
        <f t="shared" si="24"/>
        <v>269.10000000000002</v>
      </c>
      <c r="Y82">
        <f t="shared" si="24"/>
        <v>262.5</v>
      </c>
      <c r="Z82">
        <f t="shared" si="23"/>
        <v>176.06666666666666</v>
      </c>
      <c r="AA82">
        <f t="shared" si="23"/>
        <v>241.45000000000002</v>
      </c>
      <c r="AB82">
        <f t="shared" si="23"/>
        <v>329.85</v>
      </c>
      <c r="AC82">
        <f t="shared" si="23"/>
        <v>114.39999999999999</v>
      </c>
      <c r="AD82">
        <f t="shared" si="23"/>
        <v>155.5</v>
      </c>
      <c r="AE82">
        <f t="shared" si="23"/>
        <v>55.25</v>
      </c>
      <c r="AF82" s="12">
        <f t="shared" si="25"/>
        <v>0.39226398139338203</v>
      </c>
      <c r="AG82">
        <f t="shared" si="28"/>
        <v>4550</v>
      </c>
      <c r="AH82">
        <f t="shared" si="29"/>
        <v>3127.3799999999997</v>
      </c>
      <c r="AI82">
        <f t="shared" si="30"/>
        <v>559.24</v>
      </c>
      <c r="AJ82">
        <f t="shared" si="31"/>
        <v>252.72</v>
      </c>
      <c r="AK82">
        <f t="shared" si="32"/>
        <v>240</v>
      </c>
      <c r="AL82">
        <f t="shared" si="33"/>
        <v>155.68</v>
      </c>
      <c r="AM82">
        <f t="shared" si="34"/>
        <v>201.94</v>
      </c>
      <c r="AN82">
        <f t="shared" si="35"/>
        <v>249.22000000000003</v>
      </c>
      <c r="AO82">
        <f t="shared" si="36"/>
        <v>74.88</v>
      </c>
      <c r="AP82">
        <f t="shared" si="37"/>
        <v>62.2</v>
      </c>
      <c r="AQ82">
        <f t="shared" si="38"/>
        <v>0.37556533460196634</v>
      </c>
    </row>
    <row r="83" spans="1:43" x14ac:dyDescent="0.35">
      <c r="A83" t="s">
        <v>151</v>
      </c>
      <c r="B83" t="s">
        <v>152</v>
      </c>
      <c r="C83">
        <f>VLOOKUP(CONCATENATE("2024",'2024_60'!A83),aktivnepesseg!$C$2:$D$2226,2,FALSE)</f>
        <v>16000</v>
      </c>
      <c r="D83">
        <f t="shared" si="26"/>
        <v>11421</v>
      </c>
      <c r="E83">
        <f t="shared" si="27"/>
        <v>4579</v>
      </c>
      <c r="F83">
        <v>1330</v>
      </c>
      <c r="G83">
        <v>474</v>
      </c>
      <c r="H83">
        <v>226</v>
      </c>
      <c r="I83">
        <v>256</v>
      </c>
      <c r="J83">
        <v>190</v>
      </c>
      <c r="K83">
        <v>289</v>
      </c>
      <c r="L83">
        <v>514</v>
      </c>
      <c r="M83">
        <v>172</v>
      </c>
      <c r="N83">
        <v>429</v>
      </c>
      <c r="O83">
        <v>406</v>
      </c>
      <c r="P83">
        <v>1608</v>
      </c>
      <c r="Q83">
        <v>1232</v>
      </c>
      <c r="R83">
        <v>3351</v>
      </c>
      <c r="S83">
        <v>855</v>
      </c>
      <c r="T83">
        <v>89</v>
      </c>
      <c r="U83">
        <f t="shared" si="24"/>
        <v>4579</v>
      </c>
      <c r="V83">
        <f t="shared" si="24"/>
        <v>1263.5</v>
      </c>
      <c r="W83">
        <f t="shared" si="24"/>
        <v>402.9</v>
      </c>
      <c r="X83">
        <f t="shared" si="24"/>
        <v>173.26666666666668</v>
      </c>
      <c r="Y83">
        <f t="shared" si="24"/>
        <v>179.2</v>
      </c>
      <c r="Z83">
        <f t="shared" si="23"/>
        <v>120.33333333333333</v>
      </c>
      <c r="AA83">
        <f t="shared" si="23"/>
        <v>158.95000000000002</v>
      </c>
      <c r="AB83">
        <f t="shared" si="23"/>
        <v>231.3</v>
      </c>
      <c r="AC83">
        <f t="shared" si="23"/>
        <v>63.066666666666663</v>
      </c>
      <c r="AD83">
        <f t="shared" si="23"/>
        <v>107.25</v>
      </c>
      <c r="AE83">
        <f t="shared" si="23"/>
        <v>33.833333333333329</v>
      </c>
      <c r="AF83" s="12">
        <f t="shared" si="25"/>
        <v>0.45703749999999993</v>
      </c>
      <c r="AG83">
        <f t="shared" si="28"/>
        <v>4579</v>
      </c>
      <c r="AH83">
        <f t="shared" si="29"/>
        <v>1250.1999999999998</v>
      </c>
      <c r="AI83">
        <f t="shared" si="30"/>
        <v>388.67999999999995</v>
      </c>
      <c r="AJ83">
        <f t="shared" si="31"/>
        <v>162.72</v>
      </c>
      <c r="AK83">
        <f t="shared" si="32"/>
        <v>163.84</v>
      </c>
      <c r="AL83">
        <f t="shared" si="33"/>
        <v>106.4</v>
      </c>
      <c r="AM83">
        <f t="shared" si="34"/>
        <v>132.94</v>
      </c>
      <c r="AN83">
        <f t="shared" si="35"/>
        <v>174.76000000000002</v>
      </c>
      <c r="AO83">
        <f t="shared" si="36"/>
        <v>41.28</v>
      </c>
      <c r="AP83">
        <f t="shared" si="37"/>
        <v>42.900000000000006</v>
      </c>
      <c r="AQ83">
        <f t="shared" si="38"/>
        <v>0.44016999999999995</v>
      </c>
    </row>
    <row r="84" spans="1:43" x14ac:dyDescent="0.35">
      <c r="A84" t="s">
        <v>153</v>
      </c>
      <c r="B84" t="s">
        <v>154</v>
      </c>
      <c r="C84">
        <f>VLOOKUP(CONCATENATE("2024",'2024_60'!A84),aktivnepesseg!$C$2:$D$2226,2,FALSE)</f>
        <v>18652</v>
      </c>
      <c r="D84">
        <f t="shared" si="26"/>
        <v>15026</v>
      </c>
      <c r="E84">
        <f t="shared" si="27"/>
        <v>3626</v>
      </c>
      <c r="F84">
        <v>2119</v>
      </c>
      <c r="G84">
        <v>559</v>
      </c>
      <c r="H84">
        <v>267</v>
      </c>
      <c r="I84">
        <v>248</v>
      </c>
      <c r="J84">
        <v>217</v>
      </c>
      <c r="K84">
        <v>373</v>
      </c>
      <c r="L84">
        <v>631</v>
      </c>
      <c r="M84">
        <v>264</v>
      </c>
      <c r="N84">
        <v>506</v>
      </c>
      <c r="O84">
        <v>485</v>
      </c>
      <c r="P84">
        <v>2210</v>
      </c>
      <c r="Q84">
        <v>1671</v>
      </c>
      <c r="R84">
        <v>4242</v>
      </c>
      <c r="S84">
        <v>1126</v>
      </c>
      <c r="T84">
        <v>108</v>
      </c>
      <c r="U84">
        <f t="shared" si="24"/>
        <v>3626</v>
      </c>
      <c r="V84">
        <f t="shared" si="24"/>
        <v>2013.05</v>
      </c>
      <c r="W84">
        <f t="shared" si="24"/>
        <v>475.15</v>
      </c>
      <c r="X84">
        <f t="shared" si="24"/>
        <v>204.70000000000002</v>
      </c>
      <c r="Y84">
        <f t="shared" si="24"/>
        <v>173.6</v>
      </c>
      <c r="Z84">
        <f t="shared" si="23"/>
        <v>137.43333333333334</v>
      </c>
      <c r="AA84">
        <f t="shared" si="23"/>
        <v>205.15</v>
      </c>
      <c r="AB84">
        <f t="shared" si="23"/>
        <v>283.95</v>
      </c>
      <c r="AC84">
        <f t="shared" si="23"/>
        <v>96.8</v>
      </c>
      <c r="AD84">
        <f t="shared" si="23"/>
        <v>126.5</v>
      </c>
      <c r="AE84">
        <f t="shared" si="23"/>
        <v>40.416666666666664</v>
      </c>
      <c r="AF84" s="12">
        <f t="shared" si="25"/>
        <v>0.39581546214883123</v>
      </c>
      <c r="AG84">
        <f t="shared" si="28"/>
        <v>3626</v>
      </c>
      <c r="AH84">
        <f t="shared" si="29"/>
        <v>1991.86</v>
      </c>
      <c r="AI84">
        <f t="shared" si="30"/>
        <v>458.38</v>
      </c>
      <c r="AJ84">
        <f t="shared" si="31"/>
        <v>192.23999999999998</v>
      </c>
      <c r="AK84">
        <f t="shared" si="32"/>
        <v>158.72</v>
      </c>
      <c r="AL84">
        <f t="shared" si="33"/>
        <v>121.52000000000001</v>
      </c>
      <c r="AM84">
        <f t="shared" si="34"/>
        <v>171.58</v>
      </c>
      <c r="AN84">
        <f t="shared" si="35"/>
        <v>214.54000000000002</v>
      </c>
      <c r="AO84">
        <f t="shared" si="36"/>
        <v>63.36</v>
      </c>
      <c r="AP84">
        <f t="shared" si="37"/>
        <v>50.6</v>
      </c>
      <c r="AQ84">
        <f t="shared" si="38"/>
        <v>0.37791121595539351</v>
      </c>
    </row>
    <row r="85" spans="1:43" x14ac:dyDescent="0.35">
      <c r="A85" t="s">
        <v>155</v>
      </c>
      <c r="B85" t="s">
        <v>156</v>
      </c>
      <c r="C85">
        <f>VLOOKUP(CONCATENATE("2024",'2024_60'!A85),aktivnepesseg!$C$2:$D$2226,2,FALSE)</f>
        <v>28036</v>
      </c>
      <c r="D85">
        <f t="shared" si="26"/>
        <v>22820</v>
      </c>
      <c r="E85">
        <f t="shared" si="27"/>
        <v>5216</v>
      </c>
      <c r="F85">
        <v>3131</v>
      </c>
      <c r="G85">
        <v>720</v>
      </c>
      <c r="H85">
        <v>376</v>
      </c>
      <c r="I85">
        <v>365</v>
      </c>
      <c r="J85">
        <v>275</v>
      </c>
      <c r="K85">
        <v>478</v>
      </c>
      <c r="L85">
        <v>667</v>
      </c>
      <c r="M85">
        <v>361</v>
      </c>
      <c r="N85">
        <v>636</v>
      </c>
      <c r="O85">
        <v>715</v>
      </c>
      <c r="P85">
        <v>2810</v>
      </c>
      <c r="Q85">
        <v>2431</v>
      </c>
      <c r="R85">
        <v>7496</v>
      </c>
      <c r="S85">
        <v>2024</v>
      </c>
      <c r="T85">
        <v>335</v>
      </c>
      <c r="U85">
        <f t="shared" si="24"/>
        <v>5216</v>
      </c>
      <c r="V85">
        <f t="shared" si="24"/>
        <v>2974.45</v>
      </c>
      <c r="W85">
        <f t="shared" si="24"/>
        <v>612</v>
      </c>
      <c r="X85">
        <f t="shared" si="24"/>
        <v>288.26666666666671</v>
      </c>
      <c r="Y85">
        <f t="shared" si="24"/>
        <v>255.49999999999997</v>
      </c>
      <c r="Z85">
        <f t="shared" si="23"/>
        <v>174.16666666666666</v>
      </c>
      <c r="AA85">
        <f t="shared" si="23"/>
        <v>262.90000000000003</v>
      </c>
      <c r="AB85">
        <f t="shared" si="23"/>
        <v>300.15000000000003</v>
      </c>
      <c r="AC85">
        <f t="shared" si="23"/>
        <v>132.36666666666665</v>
      </c>
      <c r="AD85">
        <f t="shared" si="23"/>
        <v>159</v>
      </c>
      <c r="AE85">
        <f t="shared" si="23"/>
        <v>59.583333333333329</v>
      </c>
      <c r="AF85" s="12">
        <f t="shared" si="25"/>
        <v>0.37217803300518382</v>
      </c>
      <c r="AG85">
        <f t="shared" si="28"/>
        <v>5216</v>
      </c>
      <c r="AH85">
        <f t="shared" si="29"/>
        <v>2943.14</v>
      </c>
      <c r="AI85">
        <f t="shared" si="30"/>
        <v>590.4</v>
      </c>
      <c r="AJ85">
        <f t="shared" si="31"/>
        <v>270.71999999999997</v>
      </c>
      <c r="AK85">
        <f t="shared" si="32"/>
        <v>233.6</v>
      </c>
      <c r="AL85">
        <f t="shared" si="33"/>
        <v>154.00000000000003</v>
      </c>
      <c r="AM85">
        <f t="shared" si="34"/>
        <v>219.88</v>
      </c>
      <c r="AN85">
        <f t="shared" si="35"/>
        <v>226.78000000000003</v>
      </c>
      <c r="AO85">
        <f t="shared" si="36"/>
        <v>86.64</v>
      </c>
      <c r="AP85">
        <f t="shared" si="37"/>
        <v>63.6</v>
      </c>
      <c r="AQ85">
        <f t="shared" si="38"/>
        <v>0.35685404479954341</v>
      </c>
    </row>
    <row r="86" spans="1:43" x14ac:dyDescent="0.35">
      <c r="A86" t="s">
        <v>157</v>
      </c>
      <c r="B86" t="s">
        <v>158</v>
      </c>
      <c r="C86">
        <f>VLOOKUP(CONCATENATE("2024",'2024_60'!A86),aktivnepesseg!$C$2:$D$2226,2,FALSE)</f>
        <v>33334</v>
      </c>
      <c r="D86">
        <f t="shared" si="26"/>
        <v>27697</v>
      </c>
      <c r="E86">
        <f t="shared" si="27"/>
        <v>5637</v>
      </c>
      <c r="F86">
        <v>2733</v>
      </c>
      <c r="G86">
        <v>798</v>
      </c>
      <c r="H86">
        <v>405</v>
      </c>
      <c r="I86">
        <v>503</v>
      </c>
      <c r="J86">
        <v>335</v>
      </c>
      <c r="K86">
        <v>479</v>
      </c>
      <c r="L86">
        <v>675</v>
      </c>
      <c r="M86">
        <v>405</v>
      </c>
      <c r="N86">
        <v>734</v>
      </c>
      <c r="O86">
        <v>782</v>
      </c>
      <c r="P86">
        <v>3265</v>
      </c>
      <c r="Q86">
        <v>2658</v>
      </c>
      <c r="R86">
        <v>9822</v>
      </c>
      <c r="S86">
        <v>3719</v>
      </c>
      <c r="T86">
        <v>384</v>
      </c>
      <c r="U86">
        <f t="shared" si="24"/>
        <v>5637</v>
      </c>
      <c r="V86">
        <f t="shared" si="24"/>
        <v>2596.35</v>
      </c>
      <c r="W86">
        <f t="shared" si="24"/>
        <v>678.3</v>
      </c>
      <c r="X86">
        <f t="shared" si="24"/>
        <v>310.5</v>
      </c>
      <c r="Y86">
        <f t="shared" si="24"/>
        <v>352.09999999999997</v>
      </c>
      <c r="Z86">
        <f t="shared" si="23"/>
        <v>212.16666666666666</v>
      </c>
      <c r="AA86">
        <f t="shared" si="23"/>
        <v>263.45000000000005</v>
      </c>
      <c r="AB86">
        <f t="shared" si="23"/>
        <v>303.75</v>
      </c>
      <c r="AC86">
        <f t="shared" si="23"/>
        <v>148.5</v>
      </c>
      <c r="AD86">
        <f t="shared" si="23"/>
        <v>183.5</v>
      </c>
      <c r="AE86">
        <f t="shared" si="23"/>
        <v>65.166666666666657</v>
      </c>
      <c r="AF86" s="12">
        <f t="shared" si="25"/>
        <v>0.32251704965900679</v>
      </c>
      <c r="AG86">
        <f t="shared" si="28"/>
        <v>5637</v>
      </c>
      <c r="AH86">
        <f t="shared" si="29"/>
        <v>2569.02</v>
      </c>
      <c r="AI86">
        <f t="shared" si="30"/>
        <v>654.36</v>
      </c>
      <c r="AJ86">
        <f t="shared" si="31"/>
        <v>291.59999999999997</v>
      </c>
      <c r="AK86">
        <f t="shared" si="32"/>
        <v>321.92</v>
      </c>
      <c r="AL86">
        <f t="shared" si="33"/>
        <v>187.60000000000002</v>
      </c>
      <c r="AM86">
        <f t="shared" si="34"/>
        <v>220.34</v>
      </c>
      <c r="AN86">
        <f t="shared" si="35"/>
        <v>229.50000000000003</v>
      </c>
      <c r="AO86">
        <f t="shared" si="36"/>
        <v>97.2</v>
      </c>
      <c r="AP86">
        <f t="shared" si="37"/>
        <v>73.400000000000006</v>
      </c>
      <c r="AQ86">
        <f t="shared" si="38"/>
        <v>0.3084520309593809</v>
      </c>
    </row>
    <row r="87" spans="1:43" x14ac:dyDescent="0.35">
      <c r="A87" t="s">
        <v>159</v>
      </c>
      <c r="B87" t="s">
        <v>160</v>
      </c>
      <c r="C87">
        <f>VLOOKUP(CONCATENATE("2024",'2024_60'!A87),aktivnepesseg!$C$2:$D$2226,2,FALSE)</f>
        <v>7777</v>
      </c>
      <c r="D87">
        <f t="shared" si="26"/>
        <v>5235</v>
      </c>
      <c r="E87">
        <f t="shared" si="27"/>
        <v>2542</v>
      </c>
      <c r="F87">
        <v>716</v>
      </c>
      <c r="G87">
        <v>201</v>
      </c>
      <c r="H87">
        <v>101</v>
      </c>
      <c r="I87">
        <v>124</v>
      </c>
      <c r="J87">
        <v>78</v>
      </c>
      <c r="K87">
        <v>156</v>
      </c>
      <c r="L87">
        <v>255</v>
      </c>
      <c r="M87">
        <v>59</v>
      </c>
      <c r="N87">
        <v>159</v>
      </c>
      <c r="O87">
        <v>140</v>
      </c>
      <c r="P87">
        <v>766</v>
      </c>
      <c r="Q87">
        <v>665</v>
      </c>
      <c r="R87">
        <v>1548</v>
      </c>
      <c r="S87">
        <v>251</v>
      </c>
      <c r="T87">
        <v>16</v>
      </c>
      <c r="U87">
        <f t="shared" si="24"/>
        <v>2542</v>
      </c>
      <c r="V87">
        <f t="shared" si="24"/>
        <v>680.19999999999993</v>
      </c>
      <c r="W87">
        <f t="shared" si="24"/>
        <v>170.85</v>
      </c>
      <c r="X87">
        <f t="shared" si="24"/>
        <v>77.433333333333337</v>
      </c>
      <c r="Y87">
        <f t="shared" si="24"/>
        <v>86.8</v>
      </c>
      <c r="Z87">
        <f t="shared" si="23"/>
        <v>49.4</v>
      </c>
      <c r="AA87">
        <f t="shared" si="23"/>
        <v>85.800000000000011</v>
      </c>
      <c r="AB87">
        <f t="shared" si="23"/>
        <v>114.75</v>
      </c>
      <c r="AC87">
        <f t="shared" si="23"/>
        <v>21.633333333333333</v>
      </c>
      <c r="AD87">
        <f t="shared" si="23"/>
        <v>39.75</v>
      </c>
      <c r="AE87">
        <f t="shared" si="23"/>
        <v>11.666666666666666</v>
      </c>
      <c r="AF87" s="12">
        <f t="shared" si="25"/>
        <v>0.49894346577514892</v>
      </c>
      <c r="AG87">
        <f t="shared" si="28"/>
        <v>2542</v>
      </c>
      <c r="AH87">
        <f t="shared" si="29"/>
        <v>673.04</v>
      </c>
      <c r="AI87">
        <f t="shared" si="30"/>
        <v>164.82</v>
      </c>
      <c r="AJ87">
        <f t="shared" si="31"/>
        <v>72.72</v>
      </c>
      <c r="AK87">
        <f t="shared" si="32"/>
        <v>79.36</v>
      </c>
      <c r="AL87">
        <f t="shared" si="33"/>
        <v>43.680000000000007</v>
      </c>
      <c r="AM87">
        <f t="shared" si="34"/>
        <v>71.760000000000005</v>
      </c>
      <c r="AN87">
        <f t="shared" si="35"/>
        <v>86.7</v>
      </c>
      <c r="AO87">
        <f t="shared" si="36"/>
        <v>14.16</v>
      </c>
      <c r="AP87">
        <f t="shared" si="37"/>
        <v>15.9</v>
      </c>
      <c r="AQ87">
        <f t="shared" si="38"/>
        <v>0.48400925806866402</v>
      </c>
    </row>
    <row r="88" spans="1:43" x14ac:dyDescent="0.35">
      <c r="A88" t="s">
        <v>161</v>
      </c>
      <c r="B88" t="s">
        <v>162</v>
      </c>
      <c r="C88">
        <f>VLOOKUP(CONCATENATE("2024",'2024_60'!A88),aktivnepesseg!$C$2:$D$2226,2,FALSE)</f>
        <v>21740</v>
      </c>
      <c r="D88">
        <f t="shared" si="26"/>
        <v>15835</v>
      </c>
      <c r="E88">
        <f t="shared" si="27"/>
        <v>5905</v>
      </c>
      <c r="F88">
        <v>2260</v>
      </c>
      <c r="G88">
        <v>809</v>
      </c>
      <c r="H88">
        <v>385</v>
      </c>
      <c r="I88">
        <v>425</v>
      </c>
      <c r="J88">
        <v>315</v>
      </c>
      <c r="K88">
        <v>548</v>
      </c>
      <c r="L88">
        <v>983</v>
      </c>
      <c r="M88">
        <v>240</v>
      </c>
      <c r="N88">
        <v>554</v>
      </c>
      <c r="O88">
        <v>525</v>
      </c>
      <c r="P88">
        <v>2066</v>
      </c>
      <c r="Q88">
        <v>1666</v>
      </c>
      <c r="R88">
        <v>4072</v>
      </c>
      <c r="S88">
        <v>914</v>
      </c>
      <c r="T88">
        <v>73</v>
      </c>
      <c r="U88">
        <f t="shared" si="24"/>
        <v>5905</v>
      </c>
      <c r="V88">
        <f t="shared" si="24"/>
        <v>2147</v>
      </c>
      <c r="W88">
        <f t="shared" si="24"/>
        <v>687.65</v>
      </c>
      <c r="X88">
        <f t="shared" si="24"/>
        <v>295.16666666666669</v>
      </c>
      <c r="Y88">
        <f t="shared" si="24"/>
        <v>297.5</v>
      </c>
      <c r="Z88">
        <f t="shared" si="23"/>
        <v>199.5</v>
      </c>
      <c r="AA88">
        <f t="shared" si="23"/>
        <v>301.40000000000003</v>
      </c>
      <c r="AB88">
        <f t="shared" si="23"/>
        <v>442.35</v>
      </c>
      <c r="AC88">
        <f t="shared" si="23"/>
        <v>88</v>
      </c>
      <c r="AD88">
        <f t="shared" si="23"/>
        <v>138.5</v>
      </c>
      <c r="AE88">
        <f t="shared" si="23"/>
        <v>43.75</v>
      </c>
      <c r="AF88" s="12">
        <f t="shared" si="25"/>
        <v>0.48508816314014103</v>
      </c>
      <c r="AG88">
        <f t="shared" si="28"/>
        <v>5905</v>
      </c>
      <c r="AH88">
        <f t="shared" si="29"/>
        <v>2124.4</v>
      </c>
      <c r="AI88">
        <f t="shared" si="30"/>
        <v>663.38</v>
      </c>
      <c r="AJ88">
        <f t="shared" si="31"/>
        <v>277.2</v>
      </c>
      <c r="AK88">
        <f t="shared" si="32"/>
        <v>272</v>
      </c>
      <c r="AL88">
        <f t="shared" si="33"/>
        <v>176.4</v>
      </c>
      <c r="AM88">
        <f t="shared" si="34"/>
        <v>252.08</v>
      </c>
      <c r="AN88">
        <f t="shared" si="35"/>
        <v>334.22</v>
      </c>
      <c r="AO88">
        <f t="shared" si="36"/>
        <v>57.599999999999994</v>
      </c>
      <c r="AP88">
        <f t="shared" si="37"/>
        <v>55.400000000000006</v>
      </c>
      <c r="AQ88">
        <f t="shared" si="38"/>
        <v>0.4653946642134314</v>
      </c>
    </row>
    <row r="89" spans="1:43" x14ac:dyDescent="0.35">
      <c r="A89" t="s">
        <v>163</v>
      </c>
      <c r="B89" t="s">
        <v>164</v>
      </c>
      <c r="C89">
        <f>VLOOKUP(CONCATENATE("2024",'2024_60'!A89),aktivnepesseg!$C$2:$D$2226,2,FALSE)</f>
        <v>33434</v>
      </c>
      <c r="D89">
        <f t="shared" si="26"/>
        <v>26825</v>
      </c>
      <c r="E89">
        <f t="shared" si="27"/>
        <v>6609</v>
      </c>
      <c r="F89">
        <v>3518</v>
      </c>
      <c r="G89">
        <v>797</v>
      </c>
      <c r="H89">
        <v>452</v>
      </c>
      <c r="I89">
        <v>625</v>
      </c>
      <c r="J89">
        <v>351</v>
      </c>
      <c r="K89">
        <v>502</v>
      </c>
      <c r="L89">
        <v>834</v>
      </c>
      <c r="M89">
        <v>473</v>
      </c>
      <c r="N89">
        <v>812</v>
      </c>
      <c r="O89">
        <v>944</v>
      </c>
      <c r="P89">
        <v>3575</v>
      </c>
      <c r="Q89">
        <v>3014</v>
      </c>
      <c r="R89">
        <v>8456</v>
      </c>
      <c r="S89">
        <v>2169</v>
      </c>
      <c r="T89">
        <v>303</v>
      </c>
      <c r="U89">
        <f t="shared" si="24"/>
        <v>6609</v>
      </c>
      <c r="V89">
        <f t="shared" si="24"/>
        <v>3342.1</v>
      </c>
      <c r="W89">
        <f t="shared" si="24"/>
        <v>677.44999999999993</v>
      </c>
      <c r="X89">
        <f t="shared" si="24"/>
        <v>346.53333333333336</v>
      </c>
      <c r="Y89">
        <f t="shared" si="24"/>
        <v>437.5</v>
      </c>
      <c r="Z89">
        <f t="shared" si="23"/>
        <v>222.29999999999998</v>
      </c>
      <c r="AA89">
        <f t="shared" si="23"/>
        <v>276.10000000000002</v>
      </c>
      <c r="AB89">
        <f t="shared" si="23"/>
        <v>375.3</v>
      </c>
      <c r="AC89">
        <f t="shared" si="23"/>
        <v>173.43333333333331</v>
      </c>
      <c r="AD89">
        <f t="shared" si="23"/>
        <v>203</v>
      </c>
      <c r="AE89">
        <f t="shared" si="23"/>
        <v>78.666666666666657</v>
      </c>
      <c r="AF89" s="12">
        <f t="shared" si="25"/>
        <v>0.38109060636876629</v>
      </c>
      <c r="AG89">
        <f t="shared" si="28"/>
        <v>6609</v>
      </c>
      <c r="AH89">
        <f t="shared" si="29"/>
        <v>3306.9199999999996</v>
      </c>
      <c r="AI89">
        <f t="shared" si="30"/>
        <v>653.54</v>
      </c>
      <c r="AJ89">
        <f t="shared" si="31"/>
        <v>325.44</v>
      </c>
      <c r="AK89">
        <f t="shared" si="32"/>
        <v>400</v>
      </c>
      <c r="AL89">
        <f t="shared" si="33"/>
        <v>196.56000000000003</v>
      </c>
      <c r="AM89">
        <f t="shared" si="34"/>
        <v>230.92000000000002</v>
      </c>
      <c r="AN89">
        <f t="shared" si="35"/>
        <v>283.56</v>
      </c>
      <c r="AO89">
        <f t="shared" si="36"/>
        <v>113.52</v>
      </c>
      <c r="AP89">
        <f t="shared" si="37"/>
        <v>81.2</v>
      </c>
      <c r="AQ89">
        <f t="shared" si="38"/>
        <v>0.36491774839983249</v>
      </c>
    </row>
    <row r="90" spans="1:43" x14ac:dyDescent="0.35">
      <c r="A90" t="s">
        <v>165</v>
      </c>
      <c r="B90" t="s">
        <v>166</v>
      </c>
      <c r="C90">
        <f>VLOOKUP(CONCATENATE("2024",'2024_60'!A90),aktivnepesseg!$C$2:$D$2226,2,FALSE)</f>
        <v>15352</v>
      </c>
      <c r="D90">
        <f t="shared" si="26"/>
        <v>10954</v>
      </c>
      <c r="E90">
        <f t="shared" si="27"/>
        <v>4398</v>
      </c>
      <c r="F90">
        <v>1567</v>
      </c>
      <c r="G90">
        <v>441</v>
      </c>
      <c r="H90">
        <v>225</v>
      </c>
      <c r="I90">
        <v>263</v>
      </c>
      <c r="J90">
        <v>231</v>
      </c>
      <c r="K90">
        <v>362</v>
      </c>
      <c r="L90">
        <v>673</v>
      </c>
      <c r="M90">
        <v>227</v>
      </c>
      <c r="N90">
        <v>354</v>
      </c>
      <c r="O90">
        <v>334</v>
      </c>
      <c r="P90">
        <v>1566</v>
      </c>
      <c r="Q90">
        <v>1233</v>
      </c>
      <c r="R90">
        <v>2935</v>
      </c>
      <c r="S90">
        <v>510</v>
      </c>
      <c r="T90">
        <v>33</v>
      </c>
      <c r="U90">
        <f t="shared" si="24"/>
        <v>4398</v>
      </c>
      <c r="V90">
        <f t="shared" si="24"/>
        <v>1488.6499999999999</v>
      </c>
      <c r="W90">
        <f t="shared" si="24"/>
        <v>374.84999999999997</v>
      </c>
      <c r="X90">
        <f t="shared" si="24"/>
        <v>172.5</v>
      </c>
      <c r="Y90">
        <f t="shared" si="24"/>
        <v>184.1</v>
      </c>
      <c r="Z90">
        <f t="shared" si="23"/>
        <v>146.29999999999998</v>
      </c>
      <c r="AA90">
        <f t="shared" si="23"/>
        <v>199.10000000000002</v>
      </c>
      <c r="AB90">
        <f t="shared" si="23"/>
        <v>302.85000000000002</v>
      </c>
      <c r="AC90">
        <f t="shared" si="23"/>
        <v>83.233333333333334</v>
      </c>
      <c r="AD90">
        <f t="shared" si="23"/>
        <v>88.5</v>
      </c>
      <c r="AE90">
        <f t="shared" si="23"/>
        <v>27.833333333333332</v>
      </c>
      <c r="AF90" s="12">
        <f t="shared" si="25"/>
        <v>0.48631557234670841</v>
      </c>
      <c r="AG90">
        <f t="shared" si="28"/>
        <v>4398</v>
      </c>
      <c r="AH90">
        <f t="shared" si="29"/>
        <v>1472.98</v>
      </c>
      <c r="AI90">
        <f t="shared" si="30"/>
        <v>361.62</v>
      </c>
      <c r="AJ90">
        <f t="shared" si="31"/>
        <v>162</v>
      </c>
      <c r="AK90">
        <f t="shared" si="32"/>
        <v>168.32</v>
      </c>
      <c r="AL90">
        <f t="shared" si="33"/>
        <v>129.36000000000001</v>
      </c>
      <c r="AM90">
        <f t="shared" si="34"/>
        <v>166.52</v>
      </c>
      <c r="AN90">
        <f t="shared" si="35"/>
        <v>228.82000000000002</v>
      </c>
      <c r="AO90">
        <f t="shared" si="36"/>
        <v>54.48</v>
      </c>
      <c r="AP90">
        <f t="shared" si="37"/>
        <v>35.4</v>
      </c>
      <c r="AQ90">
        <f t="shared" si="38"/>
        <v>0.46752866076081279</v>
      </c>
    </row>
    <row r="91" spans="1:43" x14ac:dyDescent="0.35">
      <c r="A91" t="s">
        <v>167</v>
      </c>
      <c r="B91" t="s">
        <v>168</v>
      </c>
      <c r="C91">
        <f>VLOOKUP(CONCATENATE("2024",'2024_60'!A91),aktivnepesseg!$C$2:$D$2226,2,FALSE)</f>
        <v>10659</v>
      </c>
      <c r="D91">
        <f t="shared" si="26"/>
        <v>7762</v>
      </c>
      <c r="E91">
        <f t="shared" si="27"/>
        <v>2897</v>
      </c>
      <c r="F91">
        <v>1229</v>
      </c>
      <c r="G91">
        <v>268</v>
      </c>
      <c r="H91">
        <v>150</v>
      </c>
      <c r="I91">
        <v>179</v>
      </c>
      <c r="J91">
        <v>99</v>
      </c>
      <c r="K91">
        <v>191</v>
      </c>
      <c r="L91">
        <v>363</v>
      </c>
      <c r="M91">
        <v>153</v>
      </c>
      <c r="N91">
        <v>222</v>
      </c>
      <c r="O91">
        <v>264</v>
      </c>
      <c r="P91">
        <v>1109</v>
      </c>
      <c r="Q91">
        <v>940</v>
      </c>
      <c r="R91">
        <v>2150</v>
      </c>
      <c r="S91">
        <v>396</v>
      </c>
      <c r="T91">
        <v>49</v>
      </c>
      <c r="U91">
        <f t="shared" si="24"/>
        <v>2897</v>
      </c>
      <c r="V91">
        <f t="shared" si="24"/>
        <v>1167.55</v>
      </c>
      <c r="W91">
        <f t="shared" si="24"/>
        <v>227.79999999999998</v>
      </c>
      <c r="X91">
        <f t="shared" si="24"/>
        <v>115.00000000000001</v>
      </c>
      <c r="Y91">
        <f t="shared" si="24"/>
        <v>125.3</v>
      </c>
      <c r="Z91">
        <f t="shared" si="24"/>
        <v>62.699999999999996</v>
      </c>
      <c r="AA91">
        <f t="shared" si="24"/>
        <v>105.05000000000001</v>
      </c>
      <c r="AB91">
        <f t="shared" si="24"/>
        <v>163.35</v>
      </c>
      <c r="AC91">
        <f t="shared" si="24"/>
        <v>56.099999999999994</v>
      </c>
      <c r="AD91">
        <f t="shared" si="24"/>
        <v>55.5</v>
      </c>
      <c r="AE91">
        <f t="shared" si="24"/>
        <v>22</v>
      </c>
      <c r="AF91" s="12">
        <f t="shared" si="25"/>
        <v>0.46883854020076943</v>
      </c>
      <c r="AG91">
        <f t="shared" si="28"/>
        <v>2897</v>
      </c>
      <c r="AH91">
        <f t="shared" si="29"/>
        <v>1155.26</v>
      </c>
      <c r="AI91">
        <f t="shared" si="30"/>
        <v>219.76</v>
      </c>
      <c r="AJ91">
        <f t="shared" si="31"/>
        <v>108</v>
      </c>
      <c r="AK91">
        <f t="shared" si="32"/>
        <v>114.56</v>
      </c>
      <c r="AL91">
        <f t="shared" si="33"/>
        <v>55.440000000000005</v>
      </c>
      <c r="AM91">
        <f t="shared" si="34"/>
        <v>87.86</v>
      </c>
      <c r="AN91">
        <f t="shared" si="35"/>
        <v>123.42000000000002</v>
      </c>
      <c r="AO91">
        <f t="shared" si="36"/>
        <v>36.72</v>
      </c>
      <c r="AP91">
        <f t="shared" si="37"/>
        <v>22.200000000000003</v>
      </c>
      <c r="AQ91">
        <f t="shared" si="38"/>
        <v>0.45222065859836758</v>
      </c>
    </row>
    <row r="92" spans="1:43" x14ac:dyDescent="0.35">
      <c r="A92" t="s">
        <v>169</v>
      </c>
      <c r="B92" t="s">
        <v>170</v>
      </c>
      <c r="C92">
        <f>VLOOKUP(CONCATENATE("2024",'2024_60'!A92),aktivnepesseg!$C$2:$D$2226,2,FALSE)</f>
        <v>20646</v>
      </c>
      <c r="D92">
        <f t="shared" si="26"/>
        <v>15734</v>
      </c>
      <c r="E92">
        <f t="shared" si="27"/>
        <v>4912</v>
      </c>
      <c r="F92">
        <v>2009</v>
      </c>
      <c r="G92">
        <v>652</v>
      </c>
      <c r="H92">
        <v>323</v>
      </c>
      <c r="I92">
        <v>362</v>
      </c>
      <c r="J92">
        <v>271</v>
      </c>
      <c r="K92">
        <v>450</v>
      </c>
      <c r="L92">
        <v>689</v>
      </c>
      <c r="M92">
        <v>261</v>
      </c>
      <c r="N92">
        <v>563</v>
      </c>
      <c r="O92">
        <v>580</v>
      </c>
      <c r="P92">
        <v>2049</v>
      </c>
      <c r="Q92">
        <v>1793</v>
      </c>
      <c r="R92">
        <v>4662</v>
      </c>
      <c r="S92">
        <v>988</v>
      </c>
      <c r="T92">
        <v>82</v>
      </c>
      <c r="U92">
        <f t="shared" si="24"/>
        <v>4912</v>
      </c>
      <c r="V92">
        <f t="shared" si="24"/>
        <v>1908.55</v>
      </c>
      <c r="W92">
        <f t="shared" si="24"/>
        <v>554.19999999999993</v>
      </c>
      <c r="X92">
        <f t="shared" si="24"/>
        <v>247.63333333333335</v>
      </c>
      <c r="Y92">
        <f t="shared" si="24"/>
        <v>253.39999999999998</v>
      </c>
      <c r="Z92">
        <f t="shared" si="24"/>
        <v>171.63333333333333</v>
      </c>
      <c r="AA92">
        <f t="shared" si="24"/>
        <v>247.50000000000003</v>
      </c>
      <c r="AB92">
        <f t="shared" si="24"/>
        <v>310.05</v>
      </c>
      <c r="AC92">
        <f t="shared" si="24"/>
        <v>95.699999999999989</v>
      </c>
      <c r="AD92">
        <f t="shared" si="24"/>
        <v>140.75</v>
      </c>
      <c r="AE92">
        <f t="shared" si="24"/>
        <v>48.333333333333329</v>
      </c>
      <c r="AF92" s="12">
        <f t="shared" si="25"/>
        <v>0.43057977332170883</v>
      </c>
      <c r="AG92">
        <f t="shared" si="28"/>
        <v>4912</v>
      </c>
      <c r="AH92">
        <f t="shared" si="29"/>
        <v>1888.4599999999998</v>
      </c>
      <c r="AI92">
        <f t="shared" si="30"/>
        <v>534.64</v>
      </c>
      <c r="AJ92">
        <f t="shared" si="31"/>
        <v>232.56</v>
      </c>
      <c r="AK92">
        <f t="shared" si="32"/>
        <v>231.68</v>
      </c>
      <c r="AL92">
        <f t="shared" si="33"/>
        <v>151.76000000000002</v>
      </c>
      <c r="AM92">
        <f t="shared" si="34"/>
        <v>207</v>
      </c>
      <c r="AN92">
        <f t="shared" si="35"/>
        <v>234.26000000000002</v>
      </c>
      <c r="AO92">
        <f t="shared" si="36"/>
        <v>62.64</v>
      </c>
      <c r="AP92">
        <f t="shared" si="37"/>
        <v>56.300000000000004</v>
      </c>
      <c r="AQ92">
        <f t="shared" si="38"/>
        <v>0.41224934612031383</v>
      </c>
    </row>
    <row r="93" spans="1:43" x14ac:dyDescent="0.35">
      <c r="A93" t="s">
        <v>171</v>
      </c>
      <c r="B93" t="s">
        <v>172</v>
      </c>
      <c r="C93">
        <f>VLOOKUP(CONCATENATE("2024",'2024_60'!A93),aktivnepesseg!$C$2:$D$2226,2,FALSE)</f>
        <v>31280</v>
      </c>
      <c r="D93">
        <f t="shared" si="26"/>
        <v>28137</v>
      </c>
      <c r="E93">
        <f t="shared" si="27"/>
        <v>3143</v>
      </c>
      <c r="F93">
        <v>3099</v>
      </c>
      <c r="G93">
        <v>938</v>
      </c>
      <c r="H93">
        <v>463</v>
      </c>
      <c r="I93">
        <v>556</v>
      </c>
      <c r="J93">
        <v>390</v>
      </c>
      <c r="K93">
        <v>585</v>
      </c>
      <c r="L93">
        <v>707</v>
      </c>
      <c r="M93">
        <v>447</v>
      </c>
      <c r="N93">
        <v>842</v>
      </c>
      <c r="O93">
        <v>886</v>
      </c>
      <c r="P93">
        <v>3437</v>
      </c>
      <c r="Q93">
        <v>2934</v>
      </c>
      <c r="R93">
        <v>9605</v>
      </c>
      <c r="S93">
        <v>2854</v>
      </c>
      <c r="T93">
        <v>394</v>
      </c>
      <c r="U93">
        <f t="shared" si="24"/>
        <v>3143</v>
      </c>
      <c r="V93">
        <f t="shared" si="24"/>
        <v>2944.0499999999997</v>
      </c>
      <c r="W93">
        <f t="shared" si="24"/>
        <v>797.3</v>
      </c>
      <c r="X93">
        <f t="shared" si="24"/>
        <v>354.9666666666667</v>
      </c>
      <c r="Y93">
        <f t="shared" si="24"/>
        <v>389.2</v>
      </c>
      <c r="Z93">
        <f t="shared" si="24"/>
        <v>247</v>
      </c>
      <c r="AA93">
        <f t="shared" si="24"/>
        <v>321.75</v>
      </c>
      <c r="AB93">
        <f t="shared" si="24"/>
        <v>318.15000000000003</v>
      </c>
      <c r="AC93">
        <f t="shared" si="24"/>
        <v>163.89999999999998</v>
      </c>
      <c r="AD93">
        <f t="shared" si="24"/>
        <v>210.5</v>
      </c>
      <c r="AE93">
        <f t="shared" si="24"/>
        <v>73.833333333333329</v>
      </c>
      <c r="AF93" s="12">
        <f t="shared" si="25"/>
        <v>0.28656170076726339</v>
      </c>
      <c r="AG93">
        <f t="shared" si="28"/>
        <v>3143</v>
      </c>
      <c r="AH93">
        <f t="shared" si="29"/>
        <v>2913.06</v>
      </c>
      <c r="AI93">
        <f t="shared" si="30"/>
        <v>769.16</v>
      </c>
      <c r="AJ93">
        <f t="shared" si="31"/>
        <v>333.36</v>
      </c>
      <c r="AK93">
        <f t="shared" si="32"/>
        <v>355.84000000000003</v>
      </c>
      <c r="AL93">
        <f t="shared" si="33"/>
        <v>218.40000000000003</v>
      </c>
      <c r="AM93">
        <f t="shared" si="34"/>
        <v>269.10000000000002</v>
      </c>
      <c r="AN93">
        <f t="shared" si="35"/>
        <v>240.38000000000002</v>
      </c>
      <c r="AO93">
        <f t="shared" si="36"/>
        <v>107.28</v>
      </c>
      <c r="AP93">
        <f t="shared" si="37"/>
        <v>84.2</v>
      </c>
      <c r="AQ93">
        <f t="shared" si="38"/>
        <v>0.26962212276214836</v>
      </c>
    </row>
    <row r="94" spans="1:43" x14ac:dyDescent="0.35">
      <c r="A94" t="s">
        <v>173</v>
      </c>
      <c r="B94" t="s">
        <v>174</v>
      </c>
      <c r="C94">
        <f>VLOOKUP(CONCATENATE("2024",'2024_60'!A94),aktivnepesseg!$C$2:$D$2226,2,FALSE)</f>
        <v>30579</v>
      </c>
      <c r="D94">
        <f t="shared" si="26"/>
        <v>23717</v>
      </c>
      <c r="E94">
        <f t="shared" si="27"/>
        <v>6862</v>
      </c>
      <c r="F94">
        <v>3380</v>
      </c>
      <c r="G94">
        <v>762</v>
      </c>
      <c r="H94">
        <v>378</v>
      </c>
      <c r="I94">
        <v>525</v>
      </c>
      <c r="J94">
        <v>333</v>
      </c>
      <c r="K94">
        <v>462</v>
      </c>
      <c r="L94">
        <v>972</v>
      </c>
      <c r="M94">
        <v>476</v>
      </c>
      <c r="N94">
        <v>774</v>
      </c>
      <c r="O94">
        <v>810</v>
      </c>
      <c r="P94">
        <v>3650</v>
      </c>
      <c r="Q94">
        <v>2680</v>
      </c>
      <c r="R94">
        <v>6531</v>
      </c>
      <c r="S94">
        <v>1768</v>
      </c>
      <c r="T94">
        <v>216</v>
      </c>
      <c r="U94">
        <f t="shared" si="24"/>
        <v>6862</v>
      </c>
      <c r="V94">
        <f t="shared" si="24"/>
        <v>3211</v>
      </c>
      <c r="W94">
        <f t="shared" si="24"/>
        <v>647.69999999999993</v>
      </c>
      <c r="X94">
        <f t="shared" si="24"/>
        <v>289.8</v>
      </c>
      <c r="Y94">
        <f t="shared" si="24"/>
        <v>367.5</v>
      </c>
      <c r="Z94">
        <f t="shared" si="24"/>
        <v>210.89999999999998</v>
      </c>
      <c r="AA94">
        <f t="shared" si="24"/>
        <v>254.10000000000002</v>
      </c>
      <c r="AB94">
        <f t="shared" si="24"/>
        <v>437.40000000000003</v>
      </c>
      <c r="AC94">
        <f t="shared" si="24"/>
        <v>174.53333333333333</v>
      </c>
      <c r="AD94">
        <f t="shared" si="24"/>
        <v>193.5</v>
      </c>
      <c r="AE94">
        <f t="shared" si="24"/>
        <v>67.5</v>
      </c>
      <c r="AF94" s="12">
        <f t="shared" si="25"/>
        <v>0.41583875644505486</v>
      </c>
      <c r="AG94">
        <f t="shared" si="28"/>
        <v>6862</v>
      </c>
      <c r="AH94">
        <f t="shared" si="29"/>
        <v>3177.2</v>
      </c>
      <c r="AI94">
        <f t="shared" si="30"/>
        <v>624.83999999999992</v>
      </c>
      <c r="AJ94">
        <f t="shared" si="31"/>
        <v>272.15999999999997</v>
      </c>
      <c r="AK94">
        <f t="shared" si="32"/>
        <v>336</v>
      </c>
      <c r="AL94">
        <f t="shared" si="33"/>
        <v>186.48000000000002</v>
      </c>
      <c r="AM94">
        <f t="shared" si="34"/>
        <v>212.52</v>
      </c>
      <c r="AN94">
        <f t="shared" si="35"/>
        <v>330.48</v>
      </c>
      <c r="AO94">
        <f t="shared" si="36"/>
        <v>114.24</v>
      </c>
      <c r="AP94">
        <f t="shared" si="37"/>
        <v>77.400000000000006</v>
      </c>
      <c r="AQ94">
        <f t="shared" si="38"/>
        <v>0.39874816050230549</v>
      </c>
    </row>
    <row r="95" spans="1:43" x14ac:dyDescent="0.35">
      <c r="A95" t="s">
        <v>175</v>
      </c>
      <c r="B95" t="s">
        <v>176</v>
      </c>
      <c r="C95">
        <f>VLOOKUP(CONCATENATE("2024",'2024_60'!A95),aktivnepesseg!$C$2:$D$2226,2,FALSE)</f>
        <v>70537</v>
      </c>
      <c r="D95">
        <f t="shared" si="26"/>
        <v>53681</v>
      </c>
      <c r="E95">
        <f t="shared" si="27"/>
        <v>16856</v>
      </c>
      <c r="F95">
        <v>6601</v>
      </c>
      <c r="G95">
        <v>1895</v>
      </c>
      <c r="H95">
        <v>980</v>
      </c>
      <c r="I95">
        <v>1190</v>
      </c>
      <c r="J95">
        <v>733</v>
      </c>
      <c r="K95">
        <v>1111</v>
      </c>
      <c r="L95">
        <v>1718</v>
      </c>
      <c r="M95">
        <v>781</v>
      </c>
      <c r="N95">
        <v>1672</v>
      </c>
      <c r="O95">
        <v>1661</v>
      </c>
      <c r="P95">
        <v>6674</v>
      </c>
      <c r="Q95">
        <v>6013</v>
      </c>
      <c r="R95">
        <v>17294</v>
      </c>
      <c r="S95">
        <v>4612</v>
      </c>
      <c r="T95">
        <v>746</v>
      </c>
      <c r="U95">
        <f t="shared" si="24"/>
        <v>16856</v>
      </c>
      <c r="V95">
        <f t="shared" si="24"/>
        <v>6270.95</v>
      </c>
      <c r="W95">
        <f t="shared" si="24"/>
        <v>1610.75</v>
      </c>
      <c r="X95">
        <f t="shared" si="24"/>
        <v>751.33333333333337</v>
      </c>
      <c r="Y95">
        <f t="shared" si="24"/>
        <v>833</v>
      </c>
      <c r="Z95">
        <f t="shared" si="24"/>
        <v>464.23333333333329</v>
      </c>
      <c r="AA95">
        <f t="shared" si="24"/>
        <v>611.05000000000007</v>
      </c>
      <c r="AB95">
        <f t="shared" si="24"/>
        <v>773.1</v>
      </c>
      <c r="AC95">
        <f t="shared" si="24"/>
        <v>286.36666666666667</v>
      </c>
      <c r="AD95">
        <f t="shared" si="24"/>
        <v>418</v>
      </c>
      <c r="AE95">
        <f t="shared" si="24"/>
        <v>138.41666666666666</v>
      </c>
      <c r="AF95" s="12">
        <f t="shared" si="25"/>
        <v>0.41131888228872787</v>
      </c>
      <c r="AG95">
        <f t="shared" si="28"/>
        <v>16856</v>
      </c>
      <c r="AH95">
        <f t="shared" si="29"/>
        <v>6204.94</v>
      </c>
      <c r="AI95">
        <f t="shared" si="30"/>
        <v>1553.8999999999999</v>
      </c>
      <c r="AJ95">
        <f t="shared" si="31"/>
        <v>705.6</v>
      </c>
      <c r="AK95">
        <f t="shared" si="32"/>
        <v>761.6</v>
      </c>
      <c r="AL95">
        <f t="shared" si="33"/>
        <v>410.48</v>
      </c>
      <c r="AM95">
        <f t="shared" si="34"/>
        <v>511.06</v>
      </c>
      <c r="AN95">
        <f t="shared" si="35"/>
        <v>584.12</v>
      </c>
      <c r="AO95">
        <f t="shared" si="36"/>
        <v>187.44</v>
      </c>
      <c r="AP95">
        <f t="shared" si="37"/>
        <v>167.20000000000002</v>
      </c>
      <c r="AQ95">
        <f t="shared" si="38"/>
        <v>0.39613734635723091</v>
      </c>
    </row>
    <row r="96" spans="1:43" x14ac:dyDescent="0.35">
      <c r="A96" t="s">
        <v>177</v>
      </c>
      <c r="B96" t="s">
        <v>178</v>
      </c>
      <c r="C96">
        <f>VLOOKUP(CONCATENATE("2024",'2024_60'!A96),aktivnepesseg!$C$2:$D$2226,2,FALSE)</f>
        <v>15683</v>
      </c>
      <c r="D96">
        <f t="shared" si="26"/>
        <v>12064</v>
      </c>
      <c r="E96">
        <f t="shared" si="27"/>
        <v>3619</v>
      </c>
      <c r="F96">
        <v>1794</v>
      </c>
      <c r="G96">
        <v>409</v>
      </c>
      <c r="H96">
        <v>215</v>
      </c>
      <c r="I96">
        <v>219</v>
      </c>
      <c r="J96">
        <v>149</v>
      </c>
      <c r="K96">
        <v>190</v>
      </c>
      <c r="L96">
        <v>293</v>
      </c>
      <c r="M96">
        <v>167</v>
      </c>
      <c r="N96">
        <v>323</v>
      </c>
      <c r="O96">
        <v>417</v>
      </c>
      <c r="P96">
        <v>1706</v>
      </c>
      <c r="Q96">
        <v>1351</v>
      </c>
      <c r="R96">
        <v>3871</v>
      </c>
      <c r="S96">
        <v>851</v>
      </c>
      <c r="T96">
        <v>109</v>
      </c>
      <c r="U96">
        <f t="shared" ref="U96:AE119" si="39">E96*E$5</f>
        <v>3619</v>
      </c>
      <c r="V96">
        <f t="shared" si="39"/>
        <v>1704.3</v>
      </c>
      <c r="W96">
        <f t="shared" si="39"/>
        <v>347.65</v>
      </c>
      <c r="X96">
        <f t="shared" si="39"/>
        <v>164.83333333333334</v>
      </c>
      <c r="Y96">
        <f t="shared" si="39"/>
        <v>153.29999999999998</v>
      </c>
      <c r="Z96">
        <f t="shared" si="39"/>
        <v>94.36666666666666</v>
      </c>
      <c r="AA96">
        <f t="shared" si="39"/>
        <v>104.50000000000001</v>
      </c>
      <c r="AB96">
        <f t="shared" si="39"/>
        <v>131.85</v>
      </c>
      <c r="AC96">
        <f t="shared" si="39"/>
        <v>61.233333333333327</v>
      </c>
      <c r="AD96">
        <f t="shared" si="39"/>
        <v>80.75</v>
      </c>
      <c r="AE96">
        <f t="shared" si="39"/>
        <v>34.75</v>
      </c>
      <c r="AF96" s="12">
        <f t="shared" si="25"/>
        <v>0.41424047269867587</v>
      </c>
      <c r="AG96">
        <f t="shared" si="28"/>
        <v>3619</v>
      </c>
      <c r="AH96">
        <f t="shared" si="29"/>
        <v>1686.36</v>
      </c>
      <c r="AI96">
        <f t="shared" si="30"/>
        <v>335.38</v>
      </c>
      <c r="AJ96">
        <f t="shared" si="31"/>
        <v>154.79999999999998</v>
      </c>
      <c r="AK96">
        <f t="shared" si="32"/>
        <v>140.16</v>
      </c>
      <c r="AL96">
        <f t="shared" si="33"/>
        <v>83.440000000000012</v>
      </c>
      <c r="AM96">
        <f t="shared" si="34"/>
        <v>87.4</v>
      </c>
      <c r="AN96">
        <f t="shared" si="35"/>
        <v>99.62</v>
      </c>
      <c r="AO96">
        <f t="shared" si="36"/>
        <v>40.08</v>
      </c>
      <c r="AP96">
        <f t="shared" si="37"/>
        <v>32.300000000000004</v>
      </c>
      <c r="AQ96">
        <f t="shared" si="38"/>
        <v>0.40034049607855632</v>
      </c>
    </row>
    <row r="97" spans="1:43" x14ac:dyDescent="0.35">
      <c r="A97" t="s">
        <v>179</v>
      </c>
      <c r="B97" t="s">
        <v>180</v>
      </c>
      <c r="C97">
        <f>VLOOKUP(CONCATENATE("2024",'2024_60'!A97),aktivnepesseg!$C$2:$D$2226,2,FALSE)</f>
        <v>25645</v>
      </c>
      <c r="D97">
        <f t="shared" si="26"/>
        <v>19404</v>
      </c>
      <c r="E97">
        <f t="shared" si="27"/>
        <v>6241</v>
      </c>
      <c r="F97">
        <v>2604</v>
      </c>
      <c r="G97">
        <v>748</v>
      </c>
      <c r="H97">
        <v>385</v>
      </c>
      <c r="I97">
        <v>427</v>
      </c>
      <c r="J97">
        <v>306</v>
      </c>
      <c r="K97">
        <v>530</v>
      </c>
      <c r="L97">
        <v>798</v>
      </c>
      <c r="M97">
        <v>313</v>
      </c>
      <c r="N97">
        <v>603</v>
      </c>
      <c r="O97">
        <v>576</v>
      </c>
      <c r="P97">
        <v>2575</v>
      </c>
      <c r="Q97">
        <v>2283</v>
      </c>
      <c r="R97">
        <v>5787</v>
      </c>
      <c r="S97">
        <v>1315</v>
      </c>
      <c r="T97">
        <v>154</v>
      </c>
      <c r="U97">
        <f t="shared" si="39"/>
        <v>6241</v>
      </c>
      <c r="V97">
        <f t="shared" si="39"/>
        <v>2473.7999999999997</v>
      </c>
      <c r="W97">
        <f t="shared" si="39"/>
        <v>635.79999999999995</v>
      </c>
      <c r="X97">
        <f t="shared" si="39"/>
        <v>295.16666666666669</v>
      </c>
      <c r="Y97">
        <f t="shared" si="39"/>
        <v>298.89999999999998</v>
      </c>
      <c r="Z97">
        <f t="shared" si="39"/>
        <v>193.79999999999998</v>
      </c>
      <c r="AA97">
        <f t="shared" si="39"/>
        <v>291.5</v>
      </c>
      <c r="AB97">
        <f t="shared" si="39"/>
        <v>359.1</v>
      </c>
      <c r="AC97">
        <f t="shared" si="39"/>
        <v>114.76666666666665</v>
      </c>
      <c r="AD97">
        <f t="shared" si="39"/>
        <v>150.75</v>
      </c>
      <c r="AE97">
        <f t="shared" si="39"/>
        <v>48</v>
      </c>
      <c r="AF97" s="12">
        <f t="shared" si="25"/>
        <v>0.43293364528498068</v>
      </c>
      <c r="AG97">
        <f t="shared" si="28"/>
        <v>6241</v>
      </c>
      <c r="AH97">
        <f t="shared" si="29"/>
        <v>2447.7599999999998</v>
      </c>
      <c r="AI97">
        <f t="shared" si="30"/>
        <v>613.36</v>
      </c>
      <c r="AJ97">
        <f t="shared" si="31"/>
        <v>277.2</v>
      </c>
      <c r="AK97">
        <f t="shared" si="32"/>
        <v>273.28000000000003</v>
      </c>
      <c r="AL97">
        <f t="shared" si="33"/>
        <v>171.36</v>
      </c>
      <c r="AM97">
        <f t="shared" si="34"/>
        <v>243.8</v>
      </c>
      <c r="AN97">
        <f t="shared" si="35"/>
        <v>271.32</v>
      </c>
      <c r="AO97">
        <f t="shared" si="36"/>
        <v>75.11999999999999</v>
      </c>
      <c r="AP97">
        <f t="shared" si="37"/>
        <v>60.300000000000004</v>
      </c>
      <c r="AQ97">
        <f t="shared" si="38"/>
        <v>0.41624098264768966</v>
      </c>
    </row>
    <row r="98" spans="1:43" x14ac:dyDescent="0.35">
      <c r="A98" t="s">
        <v>181</v>
      </c>
      <c r="B98" t="s">
        <v>182</v>
      </c>
      <c r="C98">
        <f>VLOOKUP(CONCATENATE("2024",'2024_60'!A98),aktivnepesseg!$C$2:$D$2226,2,FALSE)</f>
        <v>39716</v>
      </c>
      <c r="D98">
        <f t="shared" si="26"/>
        <v>28421</v>
      </c>
      <c r="E98">
        <f t="shared" si="27"/>
        <v>11295</v>
      </c>
      <c r="F98">
        <v>3005</v>
      </c>
      <c r="G98">
        <v>1093</v>
      </c>
      <c r="H98">
        <v>601</v>
      </c>
      <c r="I98">
        <v>622</v>
      </c>
      <c r="J98">
        <v>515</v>
      </c>
      <c r="K98">
        <v>753</v>
      </c>
      <c r="L98">
        <v>1124</v>
      </c>
      <c r="M98">
        <v>446</v>
      </c>
      <c r="N98">
        <v>777</v>
      </c>
      <c r="O98">
        <v>822</v>
      </c>
      <c r="P98">
        <v>3231</v>
      </c>
      <c r="Q98">
        <v>2918</v>
      </c>
      <c r="R98">
        <v>8649</v>
      </c>
      <c r="S98">
        <v>3424</v>
      </c>
      <c r="T98">
        <v>441</v>
      </c>
      <c r="U98">
        <f t="shared" si="39"/>
        <v>11295</v>
      </c>
      <c r="V98">
        <f t="shared" si="39"/>
        <v>2854.75</v>
      </c>
      <c r="W98">
        <f t="shared" si="39"/>
        <v>929.05</v>
      </c>
      <c r="X98">
        <f t="shared" si="39"/>
        <v>460.76666666666671</v>
      </c>
      <c r="Y98">
        <f t="shared" si="39"/>
        <v>435.4</v>
      </c>
      <c r="Z98">
        <f t="shared" si="39"/>
        <v>326.16666666666663</v>
      </c>
      <c r="AA98">
        <f t="shared" si="39"/>
        <v>414.15000000000003</v>
      </c>
      <c r="AB98">
        <f t="shared" si="39"/>
        <v>505.8</v>
      </c>
      <c r="AC98">
        <f t="shared" si="39"/>
        <v>163.53333333333333</v>
      </c>
      <c r="AD98">
        <f t="shared" si="39"/>
        <v>194.25</v>
      </c>
      <c r="AE98">
        <f t="shared" si="39"/>
        <v>68.5</v>
      </c>
      <c r="AF98" s="12">
        <f t="shared" si="25"/>
        <v>0.44433897337764794</v>
      </c>
      <c r="AG98">
        <f t="shared" si="28"/>
        <v>11295</v>
      </c>
      <c r="AH98">
        <f t="shared" si="29"/>
        <v>2824.7</v>
      </c>
      <c r="AI98">
        <f t="shared" si="30"/>
        <v>896.26</v>
      </c>
      <c r="AJ98">
        <f t="shared" si="31"/>
        <v>432.71999999999997</v>
      </c>
      <c r="AK98">
        <f t="shared" si="32"/>
        <v>398.08</v>
      </c>
      <c r="AL98">
        <f t="shared" si="33"/>
        <v>288.40000000000003</v>
      </c>
      <c r="AM98">
        <f t="shared" si="34"/>
        <v>346.38</v>
      </c>
      <c r="AN98">
        <f t="shared" si="35"/>
        <v>382.16</v>
      </c>
      <c r="AO98">
        <f t="shared" si="36"/>
        <v>107.03999999999999</v>
      </c>
      <c r="AP98">
        <f t="shared" si="37"/>
        <v>77.7</v>
      </c>
      <c r="AQ98">
        <f t="shared" si="38"/>
        <v>0.42925873703293388</v>
      </c>
    </row>
    <row r="99" spans="1:43" x14ac:dyDescent="0.35">
      <c r="A99" t="s">
        <v>183</v>
      </c>
      <c r="B99" t="s">
        <v>184</v>
      </c>
      <c r="C99">
        <f>VLOOKUP(CONCATENATE("2024",'2024_60'!A99),aktivnepesseg!$C$2:$D$2226,2,FALSE)</f>
        <v>101214</v>
      </c>
      <c r="D99">
        <f t="shared" si="26"/>
        <v>82713</v>
      </c>
      <c r="E99">
        <f t="shared" si="27"/>
        <v>18501</v>
      </c>
      <c r="F99">
        <v>9155</v>
      </c>
      <c r="G99">
        <v>2316</v>
      </c>
      <c r="H99">
        <v>1287</v>
      </c>
      <c r="I99">
        <v>1597</v>
      </c>
      <c r="J99">
        <v>1083</v>
      </c>
      <c r="K99">
        <v>1451</v>
      </c>
      <c r="L99">
        <v>2046</v>
      </c>
      <c r="M99">
        <v>1168</v>
      </c>
      <c r="N99">
        <v>2320</v>
      </c>
      <c r="O99">
        <v>2468</v>
      </c>
      <c r="P99">
        <v>10165</v>
      </c>
      <c r="Q99">
        <v>8347</v>
      </c>
      <c r="R99">
        <v>26838</v>
      </c>
      <c r="S99">
        <v>10388</v>
      </c>
      <c r="T99">
        <v>2084</v>
      </c>
      <c r="U99">
        <f t="shared" si="39"/>
        <v>18501</v>
      </c>
      <c r="V99">
        <f t="shared" si="39"/>
        <v>8697.25</v>
      </c>
      <c r="W99">
        <f t="shared" si="39"/>
        <v>1968.6</v>
      </c>
      <c r="X99">
        <f t="shared" si="39"/>
        <v>986.7</v>
      </c>
      <c r="Y99">
        <f t="shared" si="39"/>
        <v>1117.8999999999999</v>
      </c>
      <c r="Z99">
        <f t="shared" si="39"/>
        <v>685.9</v>
      </c>
      <c r="AA99">
        <f t="shared" si="39"/>
        <v>798.05000000000007</v>
      </c>
      <c r="AB99">
        <f t="shared" si="39"/>
        <v>920.7</v>
      </c>
      <c r="AC99">
        <f t="shared" si="39"/>
        <v>428.26666666666665</v>
      </c>
      <c r="AD99">
        <f t="shared" si="39"/>
        <v>580</v>
      </c>
      <c r="AE99">
        <f t="shared" si="39"/>
        <v>205.66666666666666</v>
      </c>
      <c r="AF99" s="12">
        <f t="shared" si="25"/>
        <v>0.34471548731730128</v>
      </c>
      <c r="AG99">
        <f t="shared" si="28"/>
        <v>18501</v>
      </c>
      <c r="AH99">
        <f t="shared" si="29"/>
        <v>8605.6999999999989</v>
      </c>
      <c r="AI99">
        <f t="shared" si="30"/>
        <v>1899.12</v>
      </c>
      <c r="AJ99">
        <f t="shared" si="31"/>
        <v>926.64</v>
      </c>
      <c r="AK99">
        <f t="shared" si="32"/>
        <v>1022.08</v>
      </c>
      <c r="AL99">
        <f t="shared" si="33"/>
        <v>606.48</v>
      </c>
      <c r="AM99">
        <f t="shared" si="34"/>
        <v>667.46</v>
      </c>
      <c r="AN99">
        <f t="shared" si="35"/>
        <v>695.6400000000001</v>
      </c>
      <c r="AO99">
        <f t="shared" si="36"/>
        <v>280.32</v>
      </c>
      <c r="AP99">
        <f t="shared" si="37"/>
        <v>232</v>
      </c>
      <c r="AQ99">
        <f t="shared" si="38"/>
        <v>0.33035390361017247</v>
      </c>
    </row>
    <row r="100" spans="1:43" x14ac:dyDescent="0.35">
      <c r="A100" t="s">
        <v>185</v>
      </c>
      <c r="B100" t="s">
        <v>186</v>
      </c>
      <c r="C100">
        <f>VLOOKUP(CONCATENATE("2024",'2024_60'!A100),aktivnepesseg!$C$2:$D$2226,2,FALSE)</f>
        <v>14785</v>
      </c>
      <c r="D100">
        <f t="shared" si="26"/>
        <v>10738</v>
      </c>
      <c r="E100">
        <f t="shared" si="27"/>
        <v>4047</v>
      </c>
      <c r="F100">
        <v>1276</v>
      </c>
      <c r="G100">
        <v>431</v>
      </c>
      <c r="H100">
        <v>243</v>
      </c>
      <c r="I100">
        <v>246</v>
      </c>
      <c r="J100">
        <v>179</v>
      </c>
      <c r="K100">
        <v>376</v>
      </c>
      <c r="L100">
        <v>776</v>
      </c>
      <c r="M100">
        <v>214</v>
      </c>
      <c r="N100">
        <v>374</v>
      </c>
      <c r="O100">
        <v>346</v>
      </c>
      <c r="P100">
        <v>1450</v>
      </c>
      <c r="Q100">
        <v>1179</v>
      </c>
      <c r="R100">
        <v>3095</v>
      </c>
      <c r="S100">
        <v>516</v>
      </c>
      <c r="T100">
        <v>37</v>
      </c>
      <c r="U100">
        <f t="shared" si="39"/>
        <v>4047</v>
      </c>
      <c r="V100">
        <f t="shared" si="39"/>
        <v>1212.2</v>
      </c>
      <c r="W100">
        <f t="shared" si="39"/>
        <v>366.34999999999997</v>
      </c>
      <c r="X100">
        <f t="shared" si="39"/>
        <v>186.3</v>
      </c>
      <c r="Y100">
        <f t="shared" si="39"/>
        <v>172.2</v>
      </c>
      <c r="Z100">
        <f t="shared" si="39"/>
        <v>113.36666666666666</v>
      </c>
      <c r="AA100">
        <f t="shared" si="39"/>
        <v>206.8</v>
      </c>
      <c r="AB100">
        <f t="shared" si="39"/>
        <v>349.2</v>
      </c>
      <c r="AC100">
        <f t="shared" si="39"/>
        <v>78.466666666666654</v>
      </c>
      <c r="AD100">
        <f t="shared" si="39"/>
        <v>93.5</v>
      </c>
      <c r="AE100">
        <f t="shared" si="39"/>
        <v>28.833333333333332</v>
      </c>
      <c r="AF100" s="12">
        <f t="shared" si="25"/>
        <v>0.46359260511779954</v>
      </c>
      <c r="AG100">
        <f t="shared" si="28"/>
        <v>4047</v>
      </c>
      <c r="AH100">
        <f t="shared" si="29"/>
        <v>1199.4399999999998</v>
      </c>
      <c r="AI100">
        <f t="shared" si="30"/>
        <v>353.41999999999996</v>
      </c>
      <c r="AJ100">
        <f t="shared" si="31"/>
        <v>174.95999999999998</v>
      </c>
      <c r="AK100">
        <f t="shared" si="32"/>
        <v>157.44</v>
      </c>
      <c r="AL100">
        <f t="shared" si="33"/>
        <v>100.24000000000001</v>
      </c>
      <c r="AM100">
        <f t="shared" si="34"/>
        <v>172.96</v>
      </c>
      <c r="AN100">
        <f t="shared" si="35"/>
        <v>263.84000000000003</v>
      </c>
      <c r="AO100">
        <f t="shared" si="36"/>
        <v>51.36</v>
      </c>
      <c r="AP100">
        <f t="shared" si="37"/>
        <v>37.4</v>
      </c>
      <c r="AQ100">
        <f t="shared" si="38"/>
        <v>0.44356171795738913</v>
      </c>
    </row>
    <row r="101" spans="1:43" x14ac:dyDescent="0.35">
      <c r="A101" t="s">
        <v>187</v>
      </c>
      <c r="B101" t="s">
        <v>188</v>
      </c>
      <c r="C101">
        <f>VLOOKUP(CONCATENATE("2024",'2024_60'!A101),aktivnepesseg!$C$2:$D$2226,2,FALSE)</f>
        <v>32060</v>
      </c>
      <c r="D101">
        <f t="shared" si="26"/>
        <v>24318</v>
      </c>
      <c r="E101">
        <f t="shared" si="27"/>
        <v>7742</v>
      </c>
      <c r="F101">
        <v>3789</v>
      </c>
      <c r="G101">
        <v>929</v>
      </c>
      <c r="H101">
        <v>475</v>
      </c>
      <c r="I101">
        <v>542</v>
      </c>
      <c r="J101">
        <v>361</v>
      </c>
      <c r="K101">
        <v>471</v>
      </c>
      <c r="L101">
        <v>649</v>
      </c>
      <c r="M101">
        <v>422</v>
      </c>
      <c r="N101">
        <v>712</v>
      </c>
      <c r="O101">
        <v>786</v>
      </c>
      <c r="P101">
        <v>3299</v>
      </c>
      <c r="Q101">
        <v>2735</v>
      </c>
      <c r="R101">
        <v>6908</v>
      </c>
      <c r="S101">
        <v>1809</v>
      </c>
      <c r="T101">
        <v>431</v>
      </c>
      <c r="U101">
        <f t="shared" si="39"/>
        <v>7742</v>
      </c>
      <c r="V101">
        <f t="shared" si="39"/>
        <v>3599.5499999999997</v>
      </c>
      <c r="W101">
        <f t="shared" si="39"/>
        <v>789.65</v>
      </c>
      <c r="X101">
        <f t="shared" si="39"/>
        <v>364.16666666666669</v>
      </c>
      <c r="Y101">
        <f t="shared" si="39"/>
        <v>379.4</v>
      </c>
      <c r="Z101">
        <f t="shared" si="39"/>
        <v>228.63333333333333</v>
      </c>
      <c r="AA101">
        <f t="shared" si="39"/>
        <v>259.05</v>
      </c>
      <c r="AB101">
        <f t="shared" si="39"/>
        <v>292.05</v>
      </c>
      <c r="AC101">
        <f t="shared" si="39"/>
        <v>154.73333333333332</v>
      </c>
      <c r="AD101">
        <f t="shared" si="39"/>
        <v>178</v>
      </c>
      <c r="AE101">
        <f t="shared" si="39"/>
        <v>65.5</v>
      </c>
      <c r="AF101" s="12">
        <f t="shared" si="25"/>
        <v>0.43832605531295477</v>
      </c>
      <c r="AG101">
        <f t="shared" si="28"/>
        <v>7742</v>
      </c>
      <c r="AH101">
        <f t="shared" si="29"/>
        <v>3561.66</v>
      </c>
      <c r="AI101">
        <f t="shared" si="30"/>
        <v>761.78</v>
      </c>
      <c r="AJ101">
        <f t="shared" si="31"/>
        <v>342</v>
      </c>
      <c r="AK101">
        <f t="shared" si="32"/>
        <v>346.88</v>
      </c>
      <c r="AL101">
        <f t="shared" si="33"/>
        <v>202.16000000000003</v>
      </c>
      <c r="AM101">
        <f t="shared" si="34"/>
        <v>216.66</v>
      </c>
      <c r="AN101">
        <f t="shared" si="35"/>
        <v>220.66000000000003</v>
      </c>
      <c r="AO101">
        <f t="shared" si="36"/>
        <v>101.28</v>
      </c>
      <c r="AP101">
        <f t="shared" si="37"/>
        <v>71.2</v>
      </c>
      <c r="AQ101">
        <f t="shared" si="38"/>
        <v>0.4231528384279476</v>
      </c>
    </row>
    <row r="102" spans="1:43" x14ac:dyDescent="0.35">
      <c r="A102" t="s">
        <v>189</v>
      </c>
      <c r="B102" t="s">
        <v>190</v>
      </c>
      <c r="C102">
        <f>VLOOKUP(CONCATENATE("2024",'2024_60'!A102),aktivnepesseg!$C$2:$D$2226,2,FALSE)</f>
        <v>13364</v>
      </c>
      <c r="D102">
        <f t="shared" si="26"/>
        <v>10994</v>
      </c>
      <c r="E102">
        <f t="shared" si="27"/>
        <v>2370</v>
      </c>
      <c r="F102">
        <v>1052</v>
      </c>
      <c r="G102">
        <v>261</v>
      </c>
      <c r="H102">
        <v>145</v>
      </c>
      <c r="I102">
        <v>179</v>
      </c>
      <c r="J102">
        <v>120</v>
      </c>
      <c r="K102">
        <v>159</v>
      </c>
      <c r="L102">
        <v>244</v>
      </c>
      <c r="M102">
        <v>128</v>
      </c>
      <c r="N102">
        <v>298</v>
      </c>
      <c r="O102">
        <v>295</v>
      </c>
      <c r="P102">
        <v>1150</v>
      </c>
      <c r="Q102">
        <v>1196</v>
      </c>
      <c r="R102">
        <v>4330</v>
      </c>
      <c r="S102">
        <v>1328</v>
      </c>
      <c r="T102">
        <v>109</v>
      </c>
      <c r="U102">
        <f t="shared" si="39"/>
        <v>2370</v>
      </c>
      <c r="V102">
        <f t="shared" si="39"/>
        <v>999.4</v>
      </c>
      <c r="W102">
        <f t="shared" si="39"/>
        <v>221.85</v>
      </c>
      <c r="X102">
        <f t="shared" si="39"/>
        <v>111.16666666666667</v>
      </c>
      <c r="Y102">
        <f t="shared" si="39"/>
        <v>125.3</v>
      </c>
      <c r="Z102">
        <f t="shared" si="39"/>
        <v>76</v>
      </c>
      <c r="AA102">
        <f t="shared" si="39"/>
        <v>87.45</v>
      </c>
      <c r="AB102">
        <f t="shared" si="39"/>
        <v>109.8</v>
      </c>
      <c r="AC102">
        <f t="shared" si="39"/>
        <v>46.93333333333333</v>
      </c>
      <c r="AD102">
        <f t="shared" si="39"/>
        <v>74.5</v>
      </c>
      <c r="AE102">
        <f t="shared" si="39"/>
        <v>24.583333333333332</v>
      </c>
      <c r="AF102" s="12">
        <f t="shared" si="25"/>
        <v>0.31779282649905211</v>
      </c>
      <c r="AG102">
        <f t="shared" si="28"/>
        <v>2370</v>
      </c>
      <c r="AH102">
        <f t="shared" si="29"/>
        <v>988.88</v>
      </c>
      <c r="AI102">
        <f t="shared" si="30"/>
        <v>214.01999999999998</v>
      </c>
      <c r="AJ102">
        <f t="shared" si="31"/>
        <v>104.39999999999999</v>
      </c>
      <c r="AK102">
        <f t="shared" si="32"/>
        <v>114.56</v>
      </c>
      <c r="AL102">
        <f t="shared" si="33"/>
        <v>67.2</v>
      </c>
      <c r="AM102">
        <f t="shared" si="34"/>
        <v>73.14</v>
      </c>
      <c r="AN102">
        <f t="shared" si="35"/>
        <v>82.960000000000008</v>
      </c>
      <c r="AO102">
        <f t="shared" si="36"/>
        <v>30.72</v>
      </c>
      <c r="AP102">
        <f t="shared" si="37"/>
        <v>29.8</v>
      </c>
      <c r="AQ102">
        <f t="shared" si="38"/>
        <v>0.30497455851541455</v>
      </c>
    </row>
    <row r="103" spans="1:43" x14ac:dyDescent="0.35">
      <c r="A103" t="s">
        <v>191</v>
      </c>
      <c r="B103" t="s">
        <v>192</v>
      </c>
      <c r="C103">
        <f>VLOOKUP(CONCATENATE("2024",'2024_60'!A103),aktivnepesseg!$C$2:$D$2226,2,FALSE)</f>
        <v>34358</v>
      </c>
      <c r="D103">
        <f t="shared" si="26"/>
        <v>26977</v>
      </c>
      <c r="E103">
        <f t="shared" si="27"/>
        <v>7381</v>
      </c>
      <c r="F103">
        <v>5046</v>
      </c>
      <c r="G103">
        <v>875</v>
      </c>
      <c r="H103">
        <v>427</v>
      </c>
      <c r="I103">
        <v>644</v>
      </c>
      <c r="J103">
        <v>376</v>
      </c>
      <c r="K103">
        <v>541</v>
      </c>
      <c r="L103">
        <v>965</v>
      </c>
      <c r="M103">
        <v>508</v>
      </c>
      <c r="N103">
        <v>832</v>
      </c>
      <c r="O103">
        <v>922</v>
      </c>
      <c r="P103">
        <v>4484</v>
      </c>
      <c r="Q103">
        <v>2881</v>
      </c>
      <c r="R103">
        <v>6606</v>
      </c>
      <c r="S103">
        <v>1651</v>
      </c>
      <c r="T103">
        <v>219</v>
      </c>
      <c r="U103">
        <f t="shared" si="39"/>
        <v>7381</v>
      </c>
      <c r="V103">
        <f t="shared" si="39"/>
        <v>4793.7</v>
      </c>
      <c r="W103">
        <f t="shared" si="39"/>
        <v>743.75</v>
      </c>
      <c r="X103">
        <f t="shared" si="39"/>
        <v>327.36666666666667</v>
      </c>
      <c r="Y103">
        <f t="shared" si="39"/>
        <v>450.79999999999995</v>
      </c>
      <c r="Z103">
        <f t="shared" si="39"/>
        <v>238.13333333333333</v>
      </c>
      <c r="AA103">
        <f t="shared" si="39"/>
        <v>297.55</v>
      </c>
      <c r="AB103">
        <f t="shared" si="39"/>
        <v>434.25</v>
      </c>
      <c r="AC103">
        <f t="shared" si="39"/>
        <v>186.26666666666665</v>
      </c>
      <c r="AD103">
        <f t="shared" si="39"/>
        <v>208</v>
      </c>
      <c r="AE103">
        <f t="shared" si="39"/>
        <v>76.833333333333329</v>
      </c>
      <c r="AF103" s="12">
        <f t="shared" si="25"/>
        <v>0.44058588974911228</v>
      </c>
      <c r="AG103">
        <f t="shared" si="28"/>
        <v>7381</v>
      </c>
      <c r="AH103">
        <f t="shared" si="29"/>
        <v>4743.24</v>
      </c>
      <c r="AI103">
        <f t="shared" si="30"/>
        <v>717.5</v>
      </c>
      <c r="AJ103">
        <f t="shared" si="31"/>
        <v>307.44</v>
      </c>
      <c r="AK103">
        <f t="shared" si="32"/>
        <v>412.16</v>
      </c>
      <c r="AL103">
        <f t="shared" si="33"/>
        <v>210.56000000000003</v>
      </c>
      <c r="AM103">
        <f t="shared" si="34"/>
        <v>248.86</v>
      </c>
      <c r="AN103">
        <f t="shared" si="35"/>
        <v>328.1</v>
      </c>
      <c r="AO103">
        <f t="shared" si="36"/>
        <v>121.92</v>
      </c>
      <c r="AP103">
        <f t="shared" si="37"/>
        <v>83.2</v>
      </c>
      <c r="AQ103">
        <f t="shared" si="38"/>
        <v>0.42359799755515459</v>
      </c>
    </row>
    <row r="104" spans="1:43" x14ac:dyDescent="0.35">
      <c r="A104" t="s">
        <v>193</v>
      </c>
      <c r="B104" t="s">
        <v>194</v>
      </c>
      <c r="C104">
        <f>VLOOKUP(CONCATENATE("2024",'2024_60'!A104),aktivnepesseg!$C$2:$D$2226,2,FALSE)</f>
        <v>23302</v>
      </c>
      <c r="D104">
        <f t="shared" si="26"/>
        <v>18736</v>
      </c>
      <c r="E104">
        <f t="shared" si="27"/>
        <v>4566</v>
      </c>
      <c r="F104">
        <v>2404</v>
      </c>
      <c r="G104">
        <v>524</v>
      </c>
      <c r="H104">
        <v>296</v>
      </c>
      <c r="I104">
        <v>408</v>
      </c>
      <c r="J104">
        <v>238</v>
      </c>
      <c r="K104">
        <v>340</v>
      </c>
      <c r="L104">
        <v>521</v>
      </c>
      <c r="M104">
        <v>274</v>
      </c>
      <c r="N104">
        <v>558</v>
      </c>
      <c r="O104">
        <v>556</v>
      </c>
      <c r="P104">
        <v>2452</v>
      </c>
      <c r="Q104">
        <v>2144</v>
      </c>
      <c r="R104">
        <v>6060</v>
      </c>
      <c r="S104">
        <v>1763</v>
      </c>
      <c r="T104">
        <v>198</v>
      </c>
      <c r="U104">
        <f t="shared" si="39"/>
        <v>4566</v>
      </c>
      <c r="V104">
        <f t="shared" si="39"/>
        <v>2283.7999999999997</v>
      </c>
      <c r="W104">
        <f t="shared" si="39"/>
        <v>445.4</v>
      </c>
      <c r="X104">
        <f t="shared" si="39"/>
        <v>226.93333333333334</v>
      </c>
      <c r="Y104">
        <f t="shared" si="39"/>
        <v>285.59999999999997</v>
      </c>
      <c r="Z104">
        <f t="shared" si="39"/>
        <v>150.73333333333332</v>
      </c>
      <c r="AA104">
        <f t="shared" si="39"/>
        <v>187.00000000000003</v>
      </c>
      <c r="AB104">
        <f t="shared" si="39"/>
        <v>234.45000000000002</v>
      </c>
      <c r="AC104">
        <f t="shared" si="39"/>
        <v>100.46666666666665</v>
      </c>
      <c r="AD104">
        <f t="shared" si="39"/>
        <v>139.5</v>
      </c>
      <c r="AE104">
        <f t="shared" si="39"/>
        <v>46.333333333333329</v>
      </c>
      <c r="AF104" s="12">
        <f t="shared" si="25"/>
        <v>0.37190870597659714</v>
      </c>
      <c r="AG104">
        <f t="shared" si="28"/>
        <v>4566</v>
      </c>
      <c r="AH104">
        <f t="shared" si="29"/>
        <v>2259.7599999999998</v>
      </c>
      <c r="AI104">
        <f t="shared" si="30"/>
        <v>429.67999999999995</v>
      </c>
      <c r="AJ104">
        <f t="shared" si="31"/>
        <v>213.12</v>
      </c>
      <c r="AK104">
        <f t="shared" si="32"/>
        <v>261.12</v>
      </c>
      <c r="AL104">
        <f t="shared" si="33"/>
        <v>133.28</v>
      </c>
      <c r="AM104">
        <f t="shared" si="34"/>
        <v>156.4</v>
      </c>
      <c r="AN104">
        <f t="shared" si="35"/>
        <v>177.14000000000001</v>
      </c>
      <c r="AO104">
        <f t="shared" si="36"/>
        <v>65.759999999999991</v>
      </c>
      <c r="AP104">
        <f t="shared" si="37"/>
        <v>55.800000000000004</v>
      </c>
      <c r="AQ104">
        <f t="shared" si="38"/>
        <v>0.35696764226246674</v>
      </c>
    </row>
    <row r="105" spans="1:43" x14ac:dyDescent="0.35">
      <c r="A105" t="s">
        <v>195</v>
      </c>
      <c r="B105" t="s">
        <v>196</v>
      </c>
      <c r="C105">
        <f>VLOOKUP(CONCATENATE("2024",'2024_60'!A105),aktivnepesseg!$C$2:$D$2226,2,FALSE)</f>
        <v>27281</v>
      </c>
      <c r="D105">
        <f t="shared" si="26"/>
        <v>20467</v>
      </c>
      <c r="E105">
        <f t="shared" si="27"/>
        <v>6814</v>
      </c>
      <c r="F105">
        <v>2661</v>
      </c>
      <c r="G105">
        <v>596</v>
      </c>
      <c r="H105">
        <v>357</v>
      </c>
      <c r="I105">
        <v>442</v>
      </c>
      <c r="J105">
        <v>284</v>
      </c>
      <c r="K105">
        <v>417</v>
      </c>
      <c r="L105">
        <v>694</v>
      </c>
      <c r="M105">
        <v>355</v>
      </c>
      <c r="N105">
        <v>610</v>
      </c>
      <c r="O105">
        <v>705</v>
      </c>
      <c r="P105">
        <v>2855</v>
      </c>
      <c r="Q105">
        <v>2289</v>
      </c>
      <c r="R105">
        <v>6331</v>
      </c>
      <c r="S105">
        <v>1631</v>
      </c>
      <c r="T105">
        <v>240</v>
      </c>
      <c r="U105">
        <f t="shared" si="39"/>
        <v>6814</v>
      </c>
      <c r="V105">
        <f t="shared" si="39"/>
        <v>2527.9499999999998</v>
      </c>
      <c r="W105">
        <f t="shared" si="39"/>
        <v>506.59999999999997</v>
      </c>
      <c r="X105">
        <f t="shared" si="39"/>
        <v>273.70000000000005</v>
      </c>
      <c r="Y105">
        <f t="shared" si="39"/>
        <v>309.39999999999998</v>
      </c>
      <c r="Z105">
        <f t="shared" si="39"/>
        <v>179.86666666666665</v>
      </c>
      <c r="AA105">
        <f t="shared" si="39"/>
        <v>229.35000000000002</v>
      </c>
      <c r="AB105">
        <f t="shared" si="39"/>
        <v>312.3</v>
      </c>
      <c r="AC105">
        <f t="shared" si="39"/>
        <v>130.16666666666666</v>
      </c>
      <c r="AD105">
        <f t="shared" si="39"/>
        <v>152.5</v>
      </c>
      <c r="AE105">
        <f t="shared" si="39"/>
        <v>58.75</v>
      </c>
      <c r="AF105" s="12">
        <f t="shared" si="25"/>
        <v>0.42134024901335487</v>
      </c>
      <c r="AG105">
        <f t="shared" si="28"/>
        <v>6814</v>
      </c>
      <c r="AH105">
        <f t="shared" si="29"/>
        <v>2501.3399999999997</v>
      </c>
      <c r="AI105">
        <f t="shared" si="30"/>
        <v>488.71999999999997</v>
      </c>
      <c r="AJ105">
        <f t="shared" si="31"/>
        <v>257.03999999999996</v>
      </c>
      <c r="AK105">
        <f t="shared" si="32"/>
        <v>282.88</v>
      </c>
      <c r="AL105">
        <f t="shared" si="33"/>
        <v>159.04000000000002</v>
      </c>
      <c r="AM105">
        <f t="shared" si="34"/>
        <v>191.82000000000002</v>
      </c>
      <c r="AN105">
        <f t="shared" si="35"/>
        <v>235.96</v>
      </c>
      <c r="AO105">
        <f t="shared" si="36"/>
        <v>85.2</v>
      </c>
      <c r="AP105">
        <f t="shared" si="37"/>
        <v>61</v>
      </c>
      <c r="AQ105">
        <f t="shared" si="38"/>
        <v>0.4060335031707048</v>
      </c>
    </row>
    <row r="106" spans="1:43" x14ac:dyDescent="0.35">
      <c r="A106" t="s">
        <v>197</v>
      </c>
      <c r="B106" t="s">
        <v>198</v>
      </c>
      <c r="C106">
        <f>VLOOKUP(CONCATENATE("2024",'2024_60'!A106),aktivnepesseg!$C$2:$D$2226,2,FALSE)</f>
        <v>12083</v>
      </c>
      <c r="D106">
        <f t="shared" si="26"/>
        <v>9162</v>
      </c>
      <c r="E106">
        <f t="shared" si="27"/>
        <v>2921</v>
      </c>
      <c r="F106">
        <v>1728</v>
      </c>
      <c r="G106">
        <v>278</v>
      </c>
      <c r="H106">
        <v>152</v>
      </c>
      <c r="I106">
        <v>180</v>
      </c>
      <c r="J106">
        <v>131</v>
      </c>
      <c r="K106">
        <v>179</v>
      </c>
      <c r="L106">
        <v>264</v>
      </c>
      <c r="M106">
        <v>150</v>
      </c>
      <c r="N106">
        <v>264</v>
      </c>
      <c r="O106">
        <v>348</v>
      </c>
      <c r="P106">
        <v>1437</v>
      </c>
      <c r="Q106">
        <v>1031</v>
      </c>
      <c r="R106">
        <v>2327</v>
      </c>
      <c r="S106">
        <v>629</v>
      </c>
      <c r="T106">
        <v>64</v>
      </c>
      <c r="U106">
        <f t="shared" si="39"/>
        <v>2921</v>
      </c>
      <c r="V106">
        <f t="shared" si="39"/>
        <v>1641.6</v>
      </c>
      <c r="W106">
        <f t="shared" si="39"/>
        <v>236.29999999999998</v>
      </c>
      <c r="X106">
        <f t="shared" si="39"/>
        <v>116.53333333333335</v>
      </c>
      <c r="Y106">
        <f t="shared" si="39"/>
        <v>125.99999999999999</v>
      </c>
      <c r="Z106">
        <f t="shared" si="39"/>
        <v>82.966666666666669</v>
      </c>
      <c r="AA106">
        <f t="shared" si="39"/>
        <v>98.45</v>
      </c>
      <c r="AB106">
        <f t="shared" si="39"/>
        <v>118.8</v>
      </c>
      <c r="AC106">
        <f t="shared" si="39"/>
        <v>54.999999999999993</v>
      </c>
      <c r="AD106">
        <f t="shared" si="39"/>
        <v>66</v>
      </c>
      <c r="AE106">
        <f t="shared" si="39"/>
        <v>29</v>
      </c>
      <c r="AF106" s="12">
        <f t="shared" si="25"/>
        <v>0.4544939170735745</v>
      </c>
      <c r="AG106">
        <f t="shared" si="28"/>
        <v>2921</v>
      </c>
      <c r="AH106">
        <f t="shared" si="29"/>
        <v>1624.32</v>
      </c>
      <c r="AI106">
        <f t="shared" si="30"/>
        <v>227.95999999999998</v>
      </c>
      <c r="AJ106">
        <f t="shared" si="31"/>
        <v>109.44</v>
      </c>
      <c r="AK106">
        <f t="shared" si="32"/>
        <v>115.2</v>
      </c>
      <c r="AL106">
        <f t="shared" si="33"/>
        <v>73.360000000000014</v>
      </c>
      <c r="AM106">
        <f t="shared" si="34"/>
        <v>82.34</v>
      </c>
      <c r="AN106">
        <f t="shared" si="35"/>
        <v>89.76</v>
      </c>
      <c r="AO106">
        <f t="shared" si="36"/>
        <v>36</v>
      </c>
      <c r="AP106">
        <f t="shared" si="37"/>
        <v>26.400000000000002</v>
      </c>
      <c r="AQ106">
        <f t="shared" si="38"/>
        <v>0.4391111478937349</v>
      </c>
    </row>
    <row r="107" spans="1:43" x14ac:dyDescent="0.35">
      <c r="A107" t="s">
        <v>199</v>
      </c>
      <c r="B107" t="s">
        <v>200</v>
      </c>
      <c r="C107">
        <f>VLOOKUP(CONCATENATE("2024",'2024_60'!A107),aktivnepesseg!$C$2:$D$2226,2,FALSE)</f>
        <v>11646</v>
      </c>
      <c r="D107">
        <f t="shared" si="26"/>
        <v>8700</v>
      </c>
      <c r="E107">
        <f t="shared" si="27"/>
        <v>2946</v>
      </c>
      <c r="F107">
        <v>1726</v>
      </c>
      <c r="G107">
        <v>263</v>
      </c>
      <c r="H107">
        <v>130</v>
      </c>
      <c r="I107">
        <v>201</v>
      </c>
      <c r="J107">
        <v>117</v>
      </c>
      <c r="K107">
        <v>186</v>
      </c>
      <c r="L107">
        <v>360</v>
      </c>
      <c r="M107">
        <v>136</v>
      </c>
      <c r="N107">
        <v>284</v>
      </c>
      <c r="O107">
        <v>275</v>
      </c>
      <c r="P107">
        <v>1292</v>
      </c>
      <c r="Q107">
        <v>952</v>
      </c>
      <c r="R107">
        <v>2256</v>
      </c>
      <c r="S107">
        <v>477</v>
      </c>
      <c r="T107">
        <v>45</v>
      </c>
      <c r="U107">
        <f t="shared" si="39"/>
        <v>2946</v>
      </c>
      <c r="V107">
        <f t="shared" si="39"/>
        <v>1639.6999999999998</v>
      </c>
      <c r="W107">
        <f t="shared" si="39"/>
        <v>223.54999999999998</v>
      </c>
      <c r="X107">
        <f t="shared" si="39"/>
        <v>99.666666666666671</v>
      </c>
      <c r="Y107">
        <f t="shared" si="39"/>
        <v>140.69999999999999</v>
      </c>
      <c r="Z107">
        <f t="shared" si="39"/>
        <v>74.099999999999994</v>
      </c>
      <c r="AA107">
        <f t="shared" si="39"/>
        <v>102.30000000000001</v>
      </c>
      <c r="AB107">
        <f t="shared" si="39"/>
        <v>162</v>
      </c>
      <c r="AC107">
        <f t="shared" si="39"/>
        <v>49.86666666666666</v>
      </c>
      <c r="AD107">
        <f t="shared" si="39"/>
        <v>71</v>
      </c>
      <c r="AE107">
        <f t="shared" si="39"/>
        <v>22.916666666666664</v>
      </c>
      <c r="AF107" s="12">
        <f t="shared" si="25"/>
        <v>0.47499570668040536</v>
      </c>
      <c r="AG107">
        <f t="shared" si="28"/>
        <v>2946</v>
      </c>
      <c r="AH107">
        <f t="shared" si="29"/>
        <v>1622.4399999999998</v>
      </c>
      <c r="AI107">
        <f t="shared" si="30"/>
        <v>215.66</v>
      </c>
      <c r="AJ107">
        <f t="shared" si="31"/>
        <v>93.6</v>
      </c>
      <c r="AK107">
        <f t="shared" si="32"/>
        <v>128.64000000000001</v>
      </c>
      <c r="AL107">
        <f t="shared" si="33"/>
        <v>65.52000000000001</v>
      </c>
      <c r="AM107">
        <f t="shared" si="34"/>
        <v>85.56</v>
      </c>
      <c r="AN107">
        <f t="shared" si="35"/>
        <v>122.4</v>
      </c>
      <c r="AO107">
        <f t="shared" si="36"/>
        <v>32.64</v>
      </c>
      <c r="AP107">
        <f t="shared" si="37"/>
        <v>28.400000000000002</v>
      </c>
      <c r="AQ107">
        <f t="shared" si="38"/>
        <v>0.45860037781212437</v>
      </c>
    </row>
    <row r="108" spans="1:43" x14ac:dyDescent="0.35">
      <c r="A108" t="s">
        <v>201</v>
      </c>
      <c r="B108" t="s">
        <v>202</v>
      </c>
      <c r="C108">
        <f>VLOOKUP(CONCATENATE("2024",'2024_60'!A108),aktivnepesseg!$C$2:$D$2226,2,FALSE)</f>
        <v>36649</v>
      </c>
      <c r="D108">
        <f t="shared" si="26"/>
        <v>27519</v>
      </c>
      <c r="E108">
        <f t="shared" si="27"/>
        <v>9130</v>
      </c>
      <c r="F108">
        <v>3293</v>
      </c>
      <c r="G108">
        <v>966</v>
      </c>
      <c r="H108">
        <v>481</v>
      </c>
      <c r="I108">
        <v>504</v>
      </c>
      <c r="J108">
        <v>411</v>
      </c>
      <c r="K108">
        <v>751</v>
      </c>
      <c r="L108">
        <v>1506</v>
      </c>
      <c r="M108">
        <v>497</v>
      </c>
      <c r="N108">
        <v>811</v>
      </c>
      <c r="O108">
        <v>846</v>
      </c>
      <c r="P108">
        <v>3532</v>
      </c>
      <c r="Q108">
        <v>3133</v>
      </c>
      <c r="R108">
        <v>8497</v>
      </c>
      <c r="S108">
        <v>2050</v>
      </c>
      <c r="T108">
        <v>241</v>
      </c>
      <c r="U108">
        <f t="shared" si="39"/>
        <v>9130</v>
      </c>
      <c r="V108">
        <f t="shared" si="39"/>
        <v>3128.35</v>
      </c>
      <c r="W108">
        <f t="shared" si="39"/>
        <v>821.1</v>
      </c>
      <c r="X108">
        <f t="shared" si="39"/>
        <v>368.76666666666671</v>
      </c>
      <c r="Y108">
        <f t="shared" si="39"/>
        <v>352.79999999999995</v>
      </c>
      <c r="Z108">
        <f t="shared" si="39"/>
        <v>260.3</v>
      </c>
      <c r="AA108">
        <f t="shared" si="39"/>
        <v>413.05</v>
      </c>
      <c r="AB108">
        <f t="shared" si="39"/>
        <v>677.7</v>
      </c>
      <c r="AC108">
        <f t="shared" si="39"/>
        <v>182.23333333333332</v>
      </c>
      <c r="AD108">
        <f t="shared" si="39"/>
        <v>202.75</v>
      </c>
      <c r="AE108">
        <f t="shared" si="39"/>
        <v>70.5</v>
      </c>
      <c r="AF108" s="12">
        <f t="shared" si="25"/>
        <v>0.42586564435591689</v>
      </c>
      <c r="AG108">
        <f t="shared" si="28"/>
        <v>9130</v>
      </c>
      <c r="AH108">
        <f t="shared" si="29"/>
        <v>3095.4199999999996</v>
      </c>
      <c r="AI108">
        <f t="shared" si="30"/>
        <v>792.12</v>
      </c>
      <c r="AJ108">
        <f t="shared" si="31"/>
        <v>346.32</v>
      </c>
      <c r="AK108">
        <f t="shared" si="32"/>
        <v>322.56</v>
      </c>
      <c r="AL108">
        <f t="shared" si="33"/>
        <v>230.16000000000003</v>
      </c>
      <c r="AM108">
        <f t="shared" si="34"/>
        <v>345.46000000000004</v>
      </c>
      <c r="AN108">
        <f t="shared" si="35"/>
        <v>512.04000000000008</v>
      </c>
      <c r="AO108">
        <f t="shared" si="36"/>
        <v>119.28</v>
      </c>
      <c r="AP108">
        <f t="shared" si="37"/>
        <v>81.100000000000009</v>
      </c>
      <c r="AQ108">
        <f t="shared" si="38"/>
        <v>0.40859123032006339</v>
      </c>
    </row>
    <row r="109" spans="1:43" x14ac:dyDescent="0.35">
      <c r="A109" t="s">
        <v>203</v>
      </c>
      <c r="B109" t="s">
        <v>204</v>
      </c>
      <c r="C109">
        <f>VLOOKUP(CONCATENATE("2024",'2024_60'!A109),aktivnepesseg!$C$2:$D$2226,2,FALSE)</f>
        <v>25506</v>
      </c>
      <c r="D109">
        <f t="shared" si="26"/>
        <v>22190</v>
      </c>
      <c r="E109">
        <f t="shared" si="27"/>
        <v>3316</v>
      </c>
      <c r="F109">
        <v>1917</v>
      </c>
      <c r="G109">
        <v>533</v>
      </c>
      <c r="H109">
        <v>325</v>
      </c>
      <c r="I109">
        <v>337</v>
      </c>
      <c r="J109">
        <v>258</v>
      </c>
      <c r="K109">
        <v>357</v>
      </c>
      <c r="L109">
        <v>439</v>
      </c>
      <c r="M109">
        <v>248</v>
      </c>
      <c r="N109">
        <v>490</v>
      </c>
      <c r="O109">
        <v>525</v>
      </c>
      <c r="P109">
        <v>2311</v>
      </c>
      <c r="Q109">
        <v>1914</v>
      </c>
      <c r="R109">
        <v>8517</v>
      </c>
      <c r="S109">
        <v>3474</v>
      </c>
      <c r="T109">
        <v>545</v>
      </c>
      <c r="U109">
        <f t="shared" si="39"/>
        <v>3316</v>
      </c>
      <c r="V109">
        <f t="shared" si="39"/>
        <v>1821.1499999999999</v>
      </c>
      <c r="W109">
        <f t="shared" si="39"/>
        <v>453.05</v>
      </c>
      <c r="X109">
        <f t="shared" si="39"/>
        <v>249.16666666666669</v>
      </c>
      <c r="Y109">
        <f t="shared" si="39"/>
        <v>235.89999999999998</v>
      </c>
      <c r="Z109">
        <f t="shared" si="39"/>
        <v>163.4</v>
      </c>
      <c r="AA109">
        <f t="shared" si="39"/>
        <v>196.35000000000002</v>
      </c>
      <c r="AB109">
        <f t="shared" si="39"/>
        <v>197.55</v>
      </c>
      <c r="AC109">
        <f t="shared" si="39"/>
        <v>90.933333333333323</v>
      </c>
      <c r="AD109">
        <f t="shared" si="39"/>
        <v>122.5</v>
      </c>
      <c r="AE109">
        <f t="shared" si="39"/>
        <v>43.75</v>
      </c>
      <c r="AF109" s="12">
        <f t="shared" si="25"/>
        <v>0.27012271622363365</v>
      </c>
      <c r="AG109">
        <f t="shared" si="28"/>
        <v>3316</v>
      </c>
      <c r="AH109">
        <f t="shared" si="29"/>
        <v>1801.9799999999998</v>
      </c>
      <c r="AI109">
        <f t="shared" si="30"/>
        <v>437.06</v>
      </c>
      <c r="AJ109">
        <f t="shared" si="31"/>
        <v>234</v>
      </c>
      <c r="AK109">
        <f t="shared" si="32"/>
        <v>215.68</v>
      </c>
      <c r="AL109">
        <f t="shared" si="33"/>
        <v>144.48000000000002</v>
      </c>
      <c r="AM109">
        <f t="shared" si="34"/>
        <v>164.22</v>
      </c>
      <c r="AN109">
        <f t="shared" si="35"/>
        <v>149.26000000000002</v>
      </c>
      <c r="AO109">
        <f t="shared" si="36"/>
        <v>59.519999999999996</v>
      </c>
      <c r="AP109">
        <f t="shared" si="37"/>
        <v>49</v>
      </c>
      <c r="AQ109">
        <f t="shared" si="38"/>
        <v>0.25763349800047053</v>
      </c>
    </row>
    <row r="110" spans="1:43" x14ac:dyDescent="0.35">
      <c r="A110" t="s">
        <v>205</v>
      </c>
      <c r="B110" t="s">
        <v>206</v>
      </c>
      <c r="C110">
        <f>VLOOKUP(CONCATENATE("2024",'2024_60'!A110),aktivnepesseg!$C$2:$D$2226,2,FALSE)</f>
        <v>22015</v>
      </c>
      <c r="D110">
        <f t="shared" si="26"/>
        <v>15425</v>
      </c>
      <c r="E110">
        <f t="shared" si="27"/>
        <v>6590</v>
      </c>
      <c r="F110">
        <v>1766</v>
      </c>
      <c r="G110">
        <v>556</v>
      </c>
      <c r="H110">
        <v>279</v>
      </c>
      <c r="I110">
        <v>295</v>
      </c>
      <c r="J110">
        <v>237</v>
      </c>
      <c r="K110">
        <v>419</v>
      </c>
      <c r="L110">
        <v>635</v>
      </c>
      <c r="M110">
        <v>260</v>
      </c>
      <c r="N110">
        <v>548</v>
      </c>
      <c r="O110">
        <v>556</v>
      </c>
      <c r="P110">
        <v>2161</v>
      </c>
      <c r="Q110">
        <v>1960</v>
      </c>
      <c r="R110">
        <v>4701</v>
      </c>
      <c r="S110">
        <v>967</v>
      </c>
      <c r="T110">
        <v>85</v>
      </c>
      <c r="U110">
        <f t="shared" si="39"/>
        <v>6590</v>
      </c>
      <c r="V110">
        <f t="shared" si="39"/>
        <v>1677.6999999999998</v>
      </c>
      <c r="W110">
        <f t="shared" si="39"/>
        <v>472.59999999999997</v>
      </c>
      <c r="X110">
        <f t="shared" si="39"/>
        <v>213.9</v>
      </c>
      <c r="Y110">
        <f t="shared" si="39"/>
        <v>206.5</v>
      </c>
      <c r="Z110">
        <f t="shared" si="39"/>
        <v>150.1</v>
      </c>
      <c r="AA110">
        <f t="shared" si="39"/>
        <v>230.45000000000002</v>
      </c>
      <c r="AB110">
        <f t="shared" si="39"/>
        <v>285.75</v>
      </c>
      <c r="AC110">
        <f t="shared" si="39"/>
        <v>95.333333333333329</v>
      </c>
      <c r="AD110">
        <f t="shared" si="39"/>
        <v>137</v>
      </c>
      <c r="AE110">
        <f t="shared" si="39"/>
        <v>46.333333333333329</v>
      </c>
      <c r="AF110" s="12">
        <f t="shared" si="25"/>
        <v>0.45903550609432975</v>
      </c>
      <c r="AG110">
        <f t="shared" si="28"/>
        <v>6590</v>
      </c>
      <c r="AH110">
        <f t="shared" si="29"/>
        <v>1660.04</v>
      </c>
      <c r="AI110">
        <f t="shared" si="30"/>
        <v>455.91999999999996</v>
      </c>
      <c r="AJ110">
        <f t="shared" si="31"/>
        <v>200.88</v>
      </c>
      <c r="AK110">
        <f t="shared" si="32"/>
        <v>188.8</v>
      </c>
      <c r="AL110">
        <f t="shared" si="33"/>
        <v>132.72</v>
      </c>
      <c r="AM110">
        <f t="shared" si="34"/>
        <v>192.74</v>
      </c>
      <c r="AN110">
        <f t="shared" si="35"/>
        <v>215.9</v>
      </c>
      <c r="AO110">
        <f t="shared" si="36"/>
        <v>62.4</v>
      </c>
      <c r="AP110">
        <f t="shared" si="37"/>
        <v>54.800000000000004</v>
      </c>
      <c r="AQ110">
        <f t="shared" si="38"/>
        <v>0.44307063365886884</v>
      </c>
    </row>
    <row r="111" spans="1:43" x14ac:dyDescent="0.35">
      <c r="A111" t="s">
        <v>207</v>
      </c>
      <c r="B111" t="s">
        <v>208</v>
      </c>
      <c r="C111">
        <f>VLOOKUP(CONCATENATE("2024",'2024_60'!A111),aktivnepesseg!$C$2:$D$2226,2,FALSE)</f>
        <v>16780</v>
      </c>
      <c r="D111">
        <f t="shared" si="26"/>
        <v>13066</v>
      </c>
      <c r="E111">
        <f t="shared" si="27"/>
        <v>3714</v>
      </c>
      <c r="F111">
        <v>1831</v>
      </c>
      <c r="G111">
        <v>405</v>
      </c>
      <c r="H111">
        <v>222</v>
      </c>
      <c r="I111">
        <v>188</v>
      </c>
      <c r="J111">
        <v>145</v>
      </c>
      <c r="K111">
        <v>245</v>
      </c>
      <c r="L111">
        <v>285</v>
      </c>
      <c r="M111">
        <v>129</v>
      </c>
      <c r="N111">
        <v>323</v>
      </c>
      <c r="O111">
        <v>347</v>
      </c>
      <c r="P111">
        <v>1523</v>
      </c>
      <c r="Q111">
        <v>1443</v>
      </c>
      <c r="R111">
        <v>4620</v>
      </c>
      <c r="S111">
        <v>1253</v>
      </c>
      <c r="T111">
        <v>107</v>
      </c>
      <c r="U111">
        <f t="shared" si="39"/>
        <v>3714</v>
      </c>
      <c r="V111">
        <f t="shared" si="39"/>
        <v>1739.4499999999998</v>
      </c>
      <c r="W111">
        <f t="shared" si="39"/>
        <v>344.25</v>
      </c>
      <c r="X111">
        <f t="shared" si="39"/>
        <v>170.20000000000002</v>
      </c>
      <c r="Y111">
        <f t="shared" si="39"/>
        <v>131.6</v>
      </c>
      <c r="Z111">
        <f t="shared" si="39"/>
        <v>91.833333333333329</v>
      </c>
      <c r="AA111">
        <f t="shared" si="39"/>
        <v>134.75</v>
      </c>
      <c r="AB111">
        <f t="shared" si="39"/>
        <v>128.25</v>
      </c>
      <c r="AC111">
        <f t="shared" si="39"/>
        <v>47.3</v>
      </c>
      <c r="AD111">
        <f t="shared" si="39"/>
        <v>80.75</v>
      </c>
      <c r="AE111">
        <f t="shared" si="39"/>
        <v>28.916666666666664</v>
      </c>
      <c r="AF111" s="12">
        <f t="shared" si="25"/>
        <v>0.3939988081048868</v>
      </c>
      <c r="AG111">
        <f t="shared" si="28"/>
        <v>3714</v>
      </c>
      <c r="AH111">
        <f t="shared" si="29"/>
        <v>1721.1399999999999</v>
      </c>
      <c r="AI111">
        <f t="shared" si="30"/>
        <v>332.09999999999997</v>
      </c>
      <c r="AJ111">
        <f t="shared" si="31"/>
        <v>159.84</v>
      </c>
      <c r="AK111">
        <f t="shared" si="32"/>
        <v>120.32000000000001</v>
      </c>
      <c r="AL111">
        <f t="shared" si="33"/>
        <v>81.2</v>
      </c>
      <c r="AM111">
        <f t="shared" si="34"/>
        <v>112.7</v>
      </c>
      <c r="AN111">
        <f t="shared" si="35"/>
        <v>96.9</v>
      </c>
      <c r="AO111">
        <f t="shared" si="36"/>
        <v>30.959999999999997</v>
      </c>
      <c r="AP111">
        <f t="shared" si="37"/>
        <v>32.300000000000004</v>
      </c>
      <c r="AQ111">
        <f t="shared" si="38"/>
        <v>0.38149344457687717</v>
      </c>
    </row>
    <row r="112" spans="1:43" x14ac:dyDescent="0.35">
      <c r="A112" t="s">
        <v>209</v>
      </c>
      <c r="B112" t="s">
        <v>210</v>
      </c>
      <c r="C112">
        <f>VLOOKUP(CONCATENATE("2024",'2024_60'!A112),aktivnepesseg!$C$2:$D$2226,2,FALSE)</f>
        <v>16623</v>
      </c>
      <c r="D112">
        <f t="shared" si="26"/>
        <v>11892</v>
      </c>
      <c r="E112">
        <f t="shared" si="27"/>
        <v>4731</v>
      </c>
      <c r="F112">
        <v>1791</v>
      </c>
      <c r="G112">
        <v>483</v>
      </c>
      <c r="H112">
        <v>224</v>
      </c>
      <c r="I112">
        <v>223</v>
      </c>
      <c r="J112">
        <v>142</v>
      </c>
      <c r="K112">
        <v>213</v>
      </c>
      <c r="L112">
        <v>267</v>
      </c>
      <c r="M112">
        <v>166</v>
      </c>
      <c r="N112">
        <v>332</v>
      </c>
      <c r="O112">
        <v>370</v>
      </c>
      <c r="P112">
        <v>1335</v>
      </c>
      <c r="Q112">
        <v>1172</v>
      </c>
      <c r="R112">
        <v>3814</v>
      </c>
      <c r="S112">
        <v>1226</v>
      </c>
      <c r="T112">
        <v>134</v>
      </c>
      <c r="U112">
        <f t="shared" si="39"/>
        <v>4731</v>
      </c>
      <c r="V112">
        <f t="shared" si="39"/>
        <v>1701.4499999999998</v>
      </c>
      <c r="W112">
        <f t="shared" si="39"/>
        <v>410.55</v>
      </c>
      <c r="X112">
        <f t="shared" si="39"/>
        <v>171.73333333333335</v>
      </c>
      <c r="Y112">
        <f t="shared" si="39"/>
        <v>156.1</v>
      </c>
      <c r="Z112">
        <f t="shared" si="39"/>
        <v>89.933333333333323</v>
      </c>
      <c r="AA112">
        <f t="shared" si="39"/>
        <v>117.15</v>
      </c>
      <c r="AB112">
        <f t="shared" si="39"/>
        <v>120.15</v>
      </c>
      <c r="AC112">
        <f t="shared" si="39"/>
        <v>60.86666666666666</v>
      </c>
      <c r="AD112">
        <f t="shared" si="39"/>
        <v>83</v>
      </c>
      <c r="AE112">
        <f t="shared" si="39"/>
        <v>30.833333333333332</v>
      </c>
      <c r="AF112" s="12">
        <f t="shared" si="25"/>
        <v>0.46157532735767709</v>
      </c>
      <c r="AG112">
        <f t="shared" si="28"/>
        <v>4731</v>
      </c>
      <c r="AH112">
        <f t="shared" si="29"/>
        <v>1683.54</v>
      </c>
      <c r="AI112">
        <f t="shared" si="30"/>
        <v>396.06</v>
      </c>
      <c r="AJ112">
        <f t="shared" si="31"/>
        <v>161.28</v>
      </c>
      <c r="AK112">
        <f t="shared" si="32"/>
        <v>142.72</v>
      </c>
      <c r="AL112">
        <f t="shared" si="33"/>
        <v>79.52000000000001</v>
      </c>
      <c r="AM112">
        <f t="shared" si="34"/>
        <v>97.98</v>
      </c>
      <c r="AN112">
        <f t="shared" si="35"/>
        <v>90.78</v>
      </c>
      <c r="AO112">
        <f t="shared" si="36"/>
        <v>39.839999999999996</v>
      </c>
      <c r="AP112">
        <f t="shared" si="37"/>
        <v>33.200000000000003</v>
      </c>
      <c r="AQ112">
        <f t="shared" si="38"/>
        <v>0.44853034951573123</v>
      </c>
    </row>
    <row r="113" spans="1:43" x14ac:dyDescent="0.35">
      <c r="A113" t="s">
        <v>211</v>
      </c>
      <c r="B113" t="s">
        <v>212</v>
      </c>
      <c r="C113">
        <f>VLOOKUP(CONCATENATE("2024",'2024_60'!A113),aktivnepesseg!$C$2:$D$2226,2,FALSE)</f>
        <v>13057</v>
      </c>
      <c r="D113">
        <f t="shared" si="26"/>
        <v>9116</v>
      </c>
      <c r="E113">
        <f t="shared" si="27"/>
        <v>3941</v>
      </c>
      <c r="F113">
        <v>1467</v>
      </c>
      <c r="G113">
        <v>531</v>
      </c>
      <c r="H113">
        <v>289</v>
      </c>
      <c r="I113">
        <v>289</v>
      </c>
      <c r="J113">
        <v>269</v>
      </c>
      <c r="K113">
        <v>387</v>
      </c>
      <c r="L113">
        <v>655</v>
      </c>
      <c r="M113">
        <v>179</v>
      </c>
      <c r="N113">
        <v>310</v>
      </c>
      <c r="O113">
        <v>271</v>
      </c>
      <c r="P113">
        <v>1097</v>
      </c>
      <c r="Q113">
        <v>937</v>
      </c>
      <c r="R113">
        <v>2029</v>
      </c>
      <c r="S113">
        <v>372</v>
      </c>
      <c r="T113">
        <v>34</v>
      </c>
      <c r="U113">
        <f t="shared" si="39"/>
        <v>3941</v>
      </c>
      <c r="V113">
        <f t="shared" si="39"/>
        <v>1393.6499999999999</v>
      </c>
      <c r="W113">
        <f t="shared" si="39"/>
        <v>451.34999999999997</v>
      </c>
      <c r="X113">
        <f t="shared" si="39"/>
        <v>221.56666666666669</v>
      </c>
      <c r="Y113">
        <f t="shared" si="39"/>
        <v>202.29999999999998</v>
      </c>
      <c r="Z113">
        <f t="shared" si="39"/>
        <v>170.36666666666665</v>
      </c>
      <c r="AA113">
        <f t="shared" si="39"/>
        <v>212.85000000000002</v>
      </c>
      <c r="AB113">
        <f t="shared" si="39"/>
        <v>294.75</v>
      </c>
      <c r="AC113">
        <f t="shared" si="39"/>
        <v>65.633333333333326</v>
      </c>
      <c r="AD113">
        <f t="shared" si="39"/>
        <v>77.5</v>
      </c>
      <c r="AE113">
        <f t="shared" si="39"/>
        <v>22.583333333333332</v>
      </c>
      <c r="AF113" s="12">
        <f t="shared" si="25"/>
        <v>0.54021214674121165</v>
      </c>
      <c r="AG113">
        <f t="shared" si="28"/>
        <v>3941</v>
      </c>
      <c r="AH113">
        <f t="shared" si="29"/>
        <v>1378.98</v>
      </c>
      <c r="AI113">
        <f t="shared" si="30"/>
        <v>435.41999999999996</v>
      </c>
      <c r="AJ113">
        <f t="shared" si="31"/>
        <v>208.07999999999998</v>
      </c>
      <c r="AK113">
        <f t="shared" si="32"/>
        <v>184.96</v>
      </c>
      <c r="AL113">
        <f t="shared" si="33"/>
        <v>150.64000000000001</v>
      </c>
      <c r="AM113">
        <f t="shared" si="34"/>
        <v>178.02</v>
      </c>
      <c r="AN113">
        <f t="shared" si="35"/>
        <v>222.70000000000002</v>
      </c>
      <c r="AO113">
        <f t="shared" si="36"/>
        <v>42.96</v>
      </c>
      <c r="AP113">
        <f t="shared" si="37"/>
        <v>31</v>
      </c>
      <c r="AQ113">
        <f t="shared" si="38"/>
        <v>0.51878379413341502</v>
      </c>
    </row>
    <row r="114" spans="1:43" x14ac:dyDescent="0.35">
      <c r="A114" t="s">
        <v>213</v>
      </c>
      <c r="B114" t="s">
        <v>214</v>
      </c>
      <c r="C114">
        <f>VLOOKUP(CONCATENATE("2024",'2024_60'!A114),aktivnepesseg!$C$2:$D$2226,2,FALSE)</f>
        <v>21492</v>
      </c>
      <c r="D114">
        <f t="shared" si="26"/>
        <v>16269</v>
      </c>
      <c r="E114">
        <f t="shared" si="27"/>
        <v>5223</v>
      </c>
      <c r="F114">
        <v>2068</v>
      </c>
      <c r="G114">
        <v>625</v>
      </c>
      <c r="H114">
        <v>301</v>
      </c>
      <c r="I114">
        <v>324</v>
      </c>
      <c r="J114">
        <v>255</v>
      </c>
      <c r="K114">
        <v>399</v>
      </c>
      <c r="L114">
        <v>595</v>
      </c>
      <c r="M114">
        <v>283</v>
      </c>
      <c r="N114">
        <v>483</v>
      </c>
      <c r="O114">
        <v>590</v>
      </c>
      <c r="P114">
        <v>2214</v>
      </c>
      <c r="Q114">
        <v>2006</v>
      </c>
      <c r="R114">
        <v>4868</v>
      </c>
      <c r="S114">
        <v>1182</v>
      </c>
      <c r="T114">
        <v>76</v>
      </c>
      <c r="U114">
        <f t="shared" si="39"/>
        <v>5223</v>
      </c>
      <c r="V114">
        <f t="shared" si="39"/>
        <v>1964.6</v>
      </c>
      <c r="W114">
        <f t="shared" si="39"/>
        <v>531.25</v>
      </c>
      <c r="X114">
        <f t="shared" si="39"/>
        <v>230.76666666666668</v>
      </c>
      <c r="Y114">
        <f t="shared" si="39"/>
        <v>226.79999999999998</v>
      </c>
      <c r="Z114">
        <f t="shared" si="39"/>
        <v>161.5</v>
      </c>
      <c r="AA114">
        <f t="shared" si="39"/>
        <v>219.45000000000002</v>
      </c>
      <c r="AB114">
        <f t="shared" si="39"/>
        <v>267.75</v>
      </c>
      <c r="AC114">
        <f t="shared" si="39"/>
        <v>103.76666666666667</v>
      </c>
      <c r="AD114">
        <f t="shared" si="39"/>
        <v>120.75</v>
      </c>
      <c r="AE114">
        <f t="shared" si="39"/>
        <v>49.166666666666664</v>
      </c>
      <c r="AF114" s="12">
        <f t="shared" si="25"/>
        <v>0.42335752838265406</v>
      </c>
      <c r="AG114">
        <f t="shared" si="28"/>
        <v>5223</v>
      </c>
      <c r="AH114">
        <f t="shared" si="29"/>
        <v>1943.9199999999998</v>
      </c>
      <c r="AI114">
        <f t="shared" si="30"/>
        <v>512.5</v>
      </c>
      <c r="AJ114">
        <f t="shared" si="31"/>
        <v>216.72</v>
      </c>
      <c r="AK114">
        <f t="shared" si="32"/>
        <v>207.36</v>
      </c>
      <c r="AL114">
        <f t="shared" si="33"/>
        <v>142.80000000000001</v>
      </c>
      <c r="AM114">
        <f t="shared" si="34"/>
        <v>183.54000000000002</v>
      </c>
      <c r="AN114">
        <f t="shared" si="35"/>
        <v>202.3</v>
      </c>
      <c r="AO114">
        <f t="shared" si="36"/>
        <v>67.92</v>
      </c>
      <c r="AP114">
        <f t="shared" si="37"/>
        <v>48.300000000000004</v>
      </c>
      <c r="AQ114">
        <f t="shared" si="38"/>
        <v>0.4070519262981574</v>
      </c>
    </row>
    <row r="115" spans="1:43" x14ac:dyDescent="0.35">
      <c r="A115" t="s">
        <v>215</v>
      </c>
      <c r="B115" t="s">
        <v>216</v>
      </c>
      <c r="C115">
        <f>VLOOKUP(CONCATENATE("2024",'2024_60'!A115),aktivnepesseg!$C$2:$D$2226,2,FALSE)</f>
        <v>19497</v>
      </c>
      <c r="D115">
        <f t="shared" si="26"/>
        <v>15854</v>
      </c>
      <c r="E115">
        <f t="shared" si="27"/>
        <v>3643</v>
      </c>
      <c r="F115">
        <v>2281</v>
      </c>
      <c r="G115">
        <v>461</v>
      </c>
      <c r="H115">
        <v>245</v>
      </c>
      <c r="I115">
        <v>307</v>
      </c>
      <c r="J115">
        <v>192</v>
      </c>
      <c r="K115">
        <v>336</v>
      </c>
      <c r="L115">
        <v>503</v>
      </c>
      <c r="M115">
        <v>253</v>
      </c>
      <c r="N115">
        <v>460</v>
      </c>
      <c r="O115">
        <v>478</v>
      </c>
      <c r="P115">
        <v>2337</v>
      </c>
      <c r="Q115">
        <v>1739</v>
      </c>
      <c r="R115">
        <v>4895</v>
      </c>
      <c r="S115">
        <v>1289</v>
      </c>
      <c r="T115">
        <v>78</v>
      </c>
      <c r="U115">
        <f t="shared" si="39"/>
        <v>3643</v>
      </c>
      <c r="V115">
        <f t="shared" si="39"/>
        <v>2166.9499999999998</v>
      </c>
      <c r="W115">
        <f t="shared" si="39"/>
        <v>391.84999999999997</v>
      </c>
      <c r="X115">
        <f t="shared" si="39"/>
        <v>187.83333333333334</v>
      </c>
      <c r="Y115">
        <f t="shared" si="39"/>
        <v>214.89999999999998</v>
      </c>
      <c r="Z115">
        <f t="shared" si="39"/>
        <v>121.6</v>
      </c>
      <c r="AA115">
        <f t="shared" si="39"/>
        <v>184.8</v>
      </c>
      <c r="AB115">
        <f t="shared" si="39"/>
        <v>226.35</v>
      </c>
      <c r="AC115">
        <f t="shared" si="39"/>
        <v>92.766666666666666</v>
      </c>
      <c r="AD115">
        <f t="shared" si="39"/>
        <v>115</v>
      </c>
      <c r="AE115">
        <f t="shared" si="39"/>
        <v>39.833333333333329</v>
      </c>
      <c r="AF115" s="12">
        <f t="shared" si="25"/>
        <v>0.37877023815629757</v>
      </c>
      <c r="AG115">
        <f t="shared" si="28"/>
        <v>3643</v>
      </c>
      <c r="AH115">
        <f t="shared" si="29"/>
        <v>2144.14</v>
      </c>
      <c r="AI115">
        <f t="shared" si="30"/>
        <v>378.02</v>
      </c>
      <c r="AJ115">
        <f t="shared" si="31"/>
        <v>176.4</v>
      </c>
      <c r="AK115">
        <f t="shared" si="32"/>
        <v>196.48000000000002</v>
      </c>
      <c r="AL115">
        <f t="shared" si="33"/>
        <v>107.52000000000001</v>
      </c>
      <c r="AM115">
        <f t="shared" si="34"/>
        <v>154.56</v>
      </c>
      <c r="AN115">
        <f t="shared" si="35"/>
        <v>171.02</v>
      </c>
      <c r="AO115">
        <f t="shared" si="36"/>
        <v>60.72</v>
      </c>
      <c r="AP115">
        <f t="shared" si="37"/>
        <v>46</v>
      </c>
      <c r="AQ115">
        <f t="shared" si="38"/>
        <v>0.36302302918397705</v>
      </c>
    </row>
    <row r="116" spans="1:43" x14ac:dyDescent="0.35">
      <c r="A116" t="s">
        <v>217</v>
      </c>
      <c r="B116" t="s">
        <v>218</v>
      </c>
      <c r="C116">
        <f>VLOOKUP(CONCATENATE("2024",'2024_60'!A116),aktivnepesseg!$C$2:$D$2226,2,FALSE)</f>
        <v>12188</v>
      </c>
      <c r="D116">
        <f t="shared" si="26"/>
        <v>8687</v>
      </c>
      <c r="E116">
        <f t="shared" si="27"/>
        <v>3501</v>
      </c>
      <c r="F116">
        <v>1279</v>
      </c>
      <c r="G116">
        <v>331</v>
      </c>
      <c r="H116">
        <v>143</v>
      </c>
      <c r="I116">
        <v>145</v>
      </c>
      <c r="J116">
        <v>92</v>
      </c>
      <c r="K116">
        <v>190</v>
      </c>
      <c r="L116">
        <v>251</v>
      </c>
      <c r="M116">
        <v>109</v>
      </c>
      <c r="N116">
        <v>230</v>
      </c>
      <c r="O116">
        <v>261</v>
      </c>
      <c r="P116">
        <v>1136</v>
      </c>
      <c r="Q116">
        <v>1097</v>
      </c>
      <c r="R116">
        <v>2834</v>
      </c>
      <c r="S116">
        <v>538</v>
      </c>
      <c r="T116">
        <v>51</v>
      </c>
      <c r="U116">
        <f t="shared" si="39"/>
        <v>3501</v>
      </c>
      <c r="V116">
        <f t="shared" si="39"/>
        <v>1215.05</v>
      </c>
      <c r="W116">
        <f t="shared" si="39"/>
        <v>281.34999999999997</v>
      </c>
      <c r="X116">
        <f t="shared" si="39"/>
        <v>109.63333333333334</v>
      </c>
      <c r="Y116">
        <f t="shared" si="39"/>
        <v>101.5</v>
      </c>
      <c r="Z116">
        <f t="shared" si="39"/>
        <v>58.266666666666666</v>
      </c>
      <c r="AA116">
        <f t="shared" si="39"/>
        <v>104.50000000000001</v>
      </c>
      <c r="AB116">
        <f t="shared" si="39"/>
        <v>112.95</v>
      </c>
      <c r="AC116">
        <f t="shared" si="39"/>
        <v>39.966666666666661</v>
      </c>
      <c r="AD116">
        <f t="shared" si="39"/>
        <v>57.5</v>
      </c>
      <c r="AE116">
        <f t="shared" si="39"/>
        <v>21.75</v>
      </c>
      <c r="AF116" s="12">
        <f t="shared" si="25"/>
        <v>0.45975276227983808</v>
      </c>
      <c r="AG116">
        <f t="shared" si="28"/>
        <v>3501</v>
      </c>
      <c r="AH116">
        <f t="shared" si="29"/>
        <v>1202.26</v>
      </c>
      <c r="AI116">
        <f t="shared" si="30"/>
        <v>271.41999999999996</v>
      </c>
      <c r="AJ116">
        <f t="shared" si="31"/>
        <v>102.96</v>
      </c>
      <c r="AK116">
        <f t="shared" si="32"/>
        <v>92.8</v>
      </c>
      <c r="AL116">
        <f t="shared" si="33"/>
        <v>51.52</v>
      </c>
      <c r="AM116">
        <f t="shared" si="34"/>
        <v>87.4</v>
      </c>
      <c r="AN116">
        <f t="shared" si="35"/>
        <v>85.34</v>
      </c>
      <c r="AO116">
        <f t="shared" si="36"/>
        <v>26.16</v>
      </c>
      <c r="AP116">
        <f t="shared" si="37"/>
        <v>23</v>
      </c>
      <c r="AQ116">
        <f t="shared" si="38"/>
        <v>0.44665736790285532</v>
      </c>
    </row>
    <row r="117" spans="1:43" x14ac:dyDescent="0.35">
      <c r="A117" t="s">
        <v>219</v>
      </c>
      <c r="B117" t="s">
        <v>220</v>
      </c>
      <c r="C117">
        <f>VLOOKUP(CONCATENATE("2024",'2024_60'!A117),aktivnepesseg!$C$2:$D$2226,2,FALSE)</f>
        <v>9934</v>
      </c>
      <c r="D117">
        <f t="shared" si="26"/>
        <v>7002</v>
      </c>
      <c r="E117">
        <f t="shared" si="27"/>
        <v>2932</v>
      </c>
      <c r="F117">
        <v>967</v>
      </c>
      <c r="G117">
        <v>265</v>
      </c>
      <c r="H117">
        <v>122</v>
      </c>
      <c r="I117">
        <v>121</v>
      </c>
      <c r="J117">
        <v>89</v>
      </c>
      <c r="K117">
        <v>149</v>
      </c>
      <c r="L117">
        <v>291</v>
      </c>
      <c r="M117">
        <v>94</v>
      </c>
      <c r="N117">
        <v>219</v>
      </c>
      <c r="O117">
        <v>211</v>
      </c>
      <c r="P117">
        <v>985</v>
      </c>
      <c r="Q117">
        <v>980</v>
      </c>
      <c r="R117">
        <v>2032</v>
      </c>
      <c r="S117">
        <v>444</v>
      </c>
      <c r="T117">
        <v>33</v>
      </c>
      <c r="U117">
        <f t="shared" si="39"/>
        <v>2932</v>
      </c>
      <c r="V117">
        <f t="shared" si="39"/>
        <v>918.65</v>
      </c>
      <c r="W117">
        <f t="shared" si="39"/>
        <v>225.25</v>
      </c>
      <c r="X117">
        <f t="shared" si="39"/>
        <v>93.533333333333346</v>
      </c>
      <c r="Y117">
        <f t="shared" si="39"/>
        <v>84.699999999999989</v>
      </c>
      <c r="Z117">
        <f t="shared" si="39"/>
        <v>56.366666666666667</v>
      </c>
      <c r="AA117">
        <f t="shared" si="39"/>
        <v>81.95</v>
      </c>
      <c r="AB117">
        <f t="shared" si="39"/>
        <v>130.95000000000002</v>
      </c>
      <c r="AC117">
        <f t="shared" si="39"/>
        <v>34.466666666666661</v>
      </c>
      <c r="AD117">
        <f t="shared" si="39"/>
        <v>54.75</v>
      </c>
      <c r="AE117">
        <f t="shared" si="39"/>
        <v>17.583333333333332</v>
      </c>
      <c r="AF117" s="12">
        <f t="shared" si="25"/>
        <v>0.4660962351520031</v>
      </c>
      <c r="AG117">
        <f t="shared" si="28"/>
        <v>2932</v>
      </c>
      <c r="AH117">
        <f t="shared" si="29"/>
        <v>908.9799999999999</v>
      </c>
      <c r="AI117">
        <f t="shared" si="30"/>
        <v>217.29999999999998</v>
      </c>
      <c r="AJ117">
        <f t="shared" si="31"/>
        <v>87.84</v>
      </c>
      <c r="AK117">
        <f t="shared" si="32"/>
        <v>77.44</v>
      </c>
      <c r="AL117">
        <f t="shared" si="33"/>
        <v>49.84</v>
      </c>
      <c r="AM117">
        <f t="shared" si="34"/>
        <v>68.540000000000006</v>
      </c>
      <c r="AN117">
        <f t="shared" si="35"/>
        <v>98.940000000000012</v>
      </c>
      <c r="AO117">
        <f t="shared" si="36"/>
        <v>22.56</v>
      </c>
      <c r="AP117">
        <f t="shared" si="37"/>
        <v>21.900000000000002</v>
      </c>
      <c r="AQ117">
        <f t="shared" si="38"/>
        <v>0.45151399234950668</v>
      </c>
    </row>
    <row r="118" spans="1:43" x14ac:dyDescent="0.35">
      <c r="A118" t="s">
        <v>221</v>
      </c>
      <c r="B118" t="s">
        <v>222</v>
      </c>
      <c r="C118">
        <f>VLOOKUP(CONCATENATE("2024",'2024_60'!A118),aktivnepesseg!$C$2:$D$2226,2,FALSE)</f>
        <v>27981</v>
      </c>
      <c r="D118">
        <f t="shared" si="26"/>
        <v>21561</v>
      </c>
      <c r="E118">
        <f t="shared" si="27"/>
        <v>6420</v>
      </c>
      <c r="F118">
        <v>3084</v>
      </c>
      <c r="G118">
        <v>698</v>
      </c>
      <c r="H118">
        <v>362</v>
      </c>
      <c r="I118">
        <v>435</v>
      </c>
      <c r="J118">
        <v>279</v>
      </c>
      <c r="K118">
        <v>476</v>
      </c>
      <c r="L118">
        <v>807</v>
      </c>
      <c r="M118">
        <v>368</v>
      </c>
      <c r="N118">
        <v>663</v>
      </c>
      <c r="O118">
        <v>682</v>
      </c>
      <c r="P118">
        <v>2769</v>
      </c>
      <c r="Q118">
        <v>2450</v>
      </c>
      <c r="R118">
        <v>6834</v>
      </c>
      <c r="S118">
        <v>1533</v>
      </c>
      <c r="T118">
        <v>121</v>
      </c>
      <c r="U118">
        <f t="shared" si="39"/>
        <v>6420</v>
      </c>
      <c r="V118">
        <f t="shared" si="39"/>
        <v>2929.7999999999997</v>
      </c>
      <c r="W118">
        <f t="shared" si="39"/>
        <v>593.29999999999995</v>
      </c>
      <c r="X118">
        <f t="shared" si="39"/>
        <v>277.53333333333336</v>
      </c>
      <c r="Y118">
        <f t="shared" si="39"/>
        <v>304.5</v>
      </c>
      <c r="Z118">
        <f t="shared" si="39"/>
        <v>176.7</v>
      </c>
      <c r="AA118">
        <f t="shared" si="39"/>
        <v>261.8</v>
      </c>
      <c r="AB118">
        <f t="shared" si="39"/>
        <v>363.15000000000003</v>
      </c>
      <c r="AC118">
        <f t="shared" si="39"/>
        <v>134.93333333333334</v>
      </c>
      <c r="AD118">
        <f t="shared" si="39"/>
        <v>165.75</v>
      </c>
      <c r="AE118">
        <f t="shared" si="39"/>
        <v>56.833333333333329</v>
      </c>
      <c r="AF118" s="12">
        <f t="shared" si="25"/>
        <v>0.41757978628354947</v>
      </c>
      <c r="AG118">
        <f t="shared" si="28"/>
        <v>6420</v>
      </c>
      <c r="AH118">
        <f t="shared" si="29"/>
        <v>2898.96</v>
      </c>
      <c r="AI118">
        <f t="shared" si="30"/>
        <v>572.36</v>
      </c>
      <c r="AJ118">
        <f t="shared" si="31"/>
        <v>260.64</v>
      </c>
      <c r="AK118">
        <f t="shared" si="32"/>
        <v>278.40000000000003</v>
      </c>
      <c r="AL118">
        <f t="shared" si="33"/>
        <v>156.24</v>
      </c>
      <c r="AM118">
        <f t="shared" si="34"/>
        <v>218.96</v>
      </c>
      <c r="AN118">
        <f t="shared" si="35"/>
        <v>274.38</v>
      </c>
      <c r="AO118">
        <f t="shared" si="36"/>
        <v>88.32</v>
      </c>
      <c r="AP118">
        <f t="shared" si="37"/>
        <v>66.3</v>
      </c>
      <c r="AQ118">
        <f t="shared" si="38"/>
        <v>0.40150673671419879</v>
      </c>
    </row>
    <row r="119" spans="1:43" x14ac:dyDescent="0.35">
      <c r="A119" t="s">
        <v>223</v>
      </c>
      <c r="B119" t="s">
        <v>224</v>
      </c>
      <c r="C119">
        <f>VLOOKUP(CONCATENATE("2024",'2024_60'!A119),aktivnepesseg!$C$2:$D$2226,2,FALSE)</f>
        <v>22423</v>
      </c>
      <c r="D119">
        <f t="shared" si="26"/>
        <v>14788</v>
      </c>
      <c r="E119">
        <f t="shared" si="27"/>
        <v>7635</v>
      </c>
      <c r="F119">
        <v>2150</v>
      </c>
      <c r="G119">
        <v>639</v>
      </c>
      <c r="H119">
        <v>324</v>
      </c>
      <c r="I119">
        <v>303</v>
      </c>
      <c r="J119">
        <v>227</v>
      </c>
      <c r="K119">
        <v>379</v>
      </c>
      <c r="L119">
        <v>631</v>
      </c>
      <c r="M119">
        <v>210</v>
      </c>
      <c r="N119">
        <v>464</v>
      </c>
      <c r="O119">
        <v>447</v>
      </c>
      <c r="P119">
        <v>2035</v>
      </c>
      <c r="Q119">
        <v>1760</v>
      </c>
      <c r="R119">
        <v>4185</v>
      </c>
      <c r="S119">
        <v>917</v>
      </c>
      <c r="T119">
        <v>117</v>
      </c>
      <c r="U119">
        <f t="shared" si="39"/>
        <v>7635</v>
      </c>
      <c r="V119">
        <f t="shared" si="39"/>
        <v>2042.5</v>
      </c>
      <c r="W119">
        <f t="shared" ref="W119:AE147" si="40">G119*G$5</f>
        <v>543.15</v>
      </c>
      <c r="X119">
        <f t="shared" si="40"/>
        <v>248.4</v>
      </c>
      <c r="Y119">
        <f t="shared" si="40"/>
        <v>212.1</v>
      </c>
      <c r="Z119">
        <f t="shared" si="40"/>
        <v>143.76666666666665</v>
      </c>
      <c r="AA119">
        <f t="shared" si="40"/>
        <v>208.45000000000002</v>
      </c>
      <c r="AB119">
        <f t="shared" si="40"/>
        <v>283.95</v>
      </c>
      <c r="AC119">
        <f t="shared" si="40"/>
        <v>77</v>
      </c>
      <c r="AD119">
        <f t="shared" si="40"/>
        <v>116</v>
      </c>
      <c r="AE119">
        <f t="shared" si="40"/>
        <v>37.25</v>
      </c>
      <c r="AF119" s="12">
        <f t="shared" si="25"/>
        <v>0.51498758715009885</v>
      </c>
      <c r="AG119">
        <f t="shared" si="28"/>
        <v>7635</v>
      </c>
      <c r="AH119">
        <f t="shared" si="29"/>
        <v>2020.9999999999998</v>
      </c>
      <c r="AI119">
        <f t="shared" si="30"/>
        <v>523.98</v>
      </c>
      <c r="AJ119">
        <f t="shared" si="31"/>
        <v>233.28</v>
      </c>
      <c r="AK119">
        <f t="shared" si="32"/>
        <v>193.92000000000002</v>
      </c>
      <c r="AL119">
        <f t="shared" si="33"/>
        <v>127.12000000000002</v>
      </c>
      <c r="AM119">
        <f t="shared" si="34"/>
        <v>174.34</v>
      </c>
      <c r="AN119">
        <f t="shared" si="35"/>
        <v>214.54000000000002</v>
      </c>
      <c r="AO119">
        <f t="shared" si="36"/>
        <v>50.4</v>
      </c>
      <c r="AP119">
        <f t="shared" si="37"/>
        <v>46.400000000000006</v>
      </c>
      <c r="AQ119">
        <f t="shared" si="38"/>
        <v>0.50037818311555105</v>
      </c>
    </row>
    <row r="120" spans="1:43" x14ac:dyDescent="0.35">
      <c r="A120" t="s">
        <v>225</v>
      </c>
      <c r="B120" t="s">
        <v>226</v>
      </c>
      <c r="C120">
        <f>VLOOKUP(CONCATENATE("2024",'2024_60'!A120),aktivnepesseg!$C$2:$D$2226,2,FALSE)</f>
        <v>19062</v>
      </c>
      <c r="D120">
        <f t="shared" si="26"/>
        <v>15446</v>
      </c>
      <c r="E120">
        <f t="shared" si="27"/>
        <v>3616</v>
      </c>
      <c r="F120">
        <v>1318</v>
      </c>
      <c r="G120">
        <v>409</v>
      </c>
      <c r="H120">
        <v>244</v>
      </c>
      <c r="I120">
        <v>288</v>
      </c>
      <c r="J120">
        <v>212</v>
      </c>
      <c r="K120">
        <v>288</v>
      </c>
      <c r="L120">
        <v>403</v>
      </c>
      <c r="M120">
        <v>241</v>
      </c>
      <c r="N120">
        <v>455</v>
      </c>
      <c r="O120">
        <v>469</v>
      </c>
      <c r="P120">
        <v>1929</v>
      </c>
      <c r="Q120">
        <v>1551</v>
      </c>
      <c r="R120">
        <v>5266</v>
      </c>
      <c r="S120">
        <v>2033</v>
      </c>
      <c r="T120">
        <v>340</v>
      </c>
      <c r="U120">
        <f t="shared" ref="U120:Y151" si="41">E120*E$5</f>
        <v>3616</v>
      </c>
      <c r="V120">
        <f t="shared" si="41"/>
        <v>1252.0999999999999</v>
      </c>
      <c r="W120">
        <f t="shared" si="40"/>
        <v>347.65</v>
      </c>
      <c r="X120">
        <f t="shared" si="40"/>
        <v>187.06666666666669</v>
      </c>
      <c r="Y120">
        <f t="shared" si="40"/>
        <v>201.6</v>
      </c>
      <c r="Z120">
        <f t="shared" si="40"/>
        <v>134.26666666666665</v>
      </c>
      <c r="AA120">
        <f t="shared" si="40"/>
        <v>158.4</v>
      </c>
      <c r="AB120">
        <f t="shared" si="40"/>
        <v>181.35</v>
      </c>
      <c r="AC120">
        <f t="shared" si="40"/>
        <v>88.36666666666666</v>
      </c>
      <c r="AD120">
        <f t="shared" si="40"/>
        <v>113.75</v>
      </c>
      <c r="AE120">
        <f t="shared" si="40"/>
        <v>39.083333333333329</v>
      </c>
      <c r="AF120" s="12">
        <f t="shared" si="25"/>
        <v>0.33153044451439162</v>
      </c>
      <c r="AG120">
        <f t="shared" si="28"/>
        <v>3616</v>
      </c>
      <c r="AH120">
        <f t="shared" si="29"/>
        <v>1238.9199999999998</v>
      </c>
      <c r="AI120">
        <f t="shared" si="30"/>
        <v>335.38</v>
      </c>
      <c r="AJ120">
        <f t="shared" si="31"/>
        <v>175.68</v>
      </c>
      <c r="AK120">
        <f t="shared" si="32"/>
        <v>184.32</v>
      </c>
      <c r="AL120">
        <f t="shared" si="33"/>
        <v>118.72000000000001</v>
      </c>
      <c r="AM120">
        <f t="shared" si="34"/>
        <v>132.48000000000002</v>
      </c>
      <c r="AN120">
        <f t="shared" si="35"/>
        <v>137.02000000000001</v>
      </c>
      <c r="AO120">
        <f t="shared" si="36"/>
        <v>57.839999999999996</v>
      </c>
      <c r="AP120">
        <f t="shared" si="37"/>
        <v>45.5</v>
      </c>
      <c r="AQ120">
        <f t="shared" si="38"/>
        <v>0.31695834644843146</v>
      </c>
    </row>
    <row r="121" spans="1:43" x14ac:dyDescent="0.35">
      <c r="A121" t="s">
        <v>227</v>
      </c>
      <c r="B121" t="s">
        <v>228</v>
      </c>
      <c r="C121">
        <f>VLOOKUP(CONCATENATE("2024",'2024_60'!A121),aktivnepesseg!$C$2:$D$2226,2,FALSE)</f>
        <v>41728</v>
      </c>
      <c r="D121">
        <f t="shared" si="26"/>
        <v>30393</v>
      </c>
      <c r="E121">
        <f t="shared" si="27"/>
        <v>11335</v>
      </c>
      <c r="F121">
        <v>3891</v>
      </c>
      <c r="G121">
        <v>1255</v>
      </c>
      <c r="H121">
        <v>681</v>
      </c>
      <c r="I121">
        <v>653</v>
      </c>
      <c r="J121">
        <v>556</v>
      </c>
      <c r="K121">
        <v>905</v>
      </c>
      <c r="L121">
        <v>1848</v>
      </c>
      <c r="M121">
        <v>521</v>
      </c>
      <c r="N121">
        <v>947</v>
      </c>
      <c r="O121">
        <v>943</v>
      </c>
      <c r="P121">
        <v>3784</v>
      </c>
      <c r="Q121">
        <v>3409</v>
      </c>
      <c r="R121">
        <v>8917</v>
      </c>
      <c r="S121">
        <v>1895</v>
      </c>
      <c r="T121">
        <v>188</v>
      </c>
      <c r="U121">
        <f t="shared" si="41"/>
        <v>11335</v>
      </c>
      <c r="V121">
        <f t="shared" si="41"/>
        <v>3696.45</v>
      </c>
      <c r="W121">
        <f t="shared" si="40"/>
        <v>1066.75</v>
      </c>
      <c r="X121">
        <f t="shared" si="40"/>
        <v>522.1</v>
      </c>
      <c r="Y121">
        <f t="shared" si="40"/>
        <v>457.09999999999997</v>
      </c>
      <c r="Z121">
        <f t="shared" si="40"/>
        <v>352.13333333333333</v>
      </c>
      <c r="AA121">
        <f t="shared" si="40"/>
        <v>497.75000000000006</v>
      </c>
      <c r="AB121">
        <f t="shared" si="40"/>
        <v>831.6</v>
      </c>
      <c r="AC121">
        <f t="shared" si="40"/>
        <v>191.03333333333333</v>
      </c>
      <c r="AD121">
        <f t="shared" si="40"/>
        <v>236.75</v>
      </c>
      <c r="AE121">
        <f t="shared" si="40"/>
        <v>78.583333333333329</v>
      </c>
      <c r="AF121" s="12">
        <f t="shared" si="25"/>
        <v>0.46168639762269931</v>
      </c>
      <c r="AG121">
        <f t="shared" si="28"/>
        <v>11335</v>
      </c>
      <c r="AH121">
        <f t="shared" si="29"/>
        <v>3657.54</v>
      </c>
      <c r="AI121">
        <f t="shared" si="30"/>
        <v>1029.0999999999999</v>
      </c>
      <c r="AJ121">
        <f t="shared" si="31"/>
        <v>490.32</v>
      </c>
      <c r="AK121">
        <f t="shared" si="32"/>
        <v>417.92</v>
      </c>
      <c r="AL121">
        <f t="shared" si="33"/>
        <v>311.36</v>
      </c>
      <c r="AM121">
        <f t="shared" si="34"/>
        <v>416.3</v>
      </c>
      <c r="AN121">
        <f t="shared" si="35"/>
        <v>628.32000000000005</v>
      </c>
      <c r="AO121">
        <f t="shared" si="36"/>
        <v>125.03999999999999</v>
      </c>
      <c r="AP121">
        <f t="shared" si="37"/>
        <v>94.7</v>
      </c>
      <c r="AQ121">
        <f t="shared" si="38"/>
        <v>0.44348159509202462</v>
      </c>
    </row>
    <row r="122" spans="1:43" x14ac:dyDescent="0.35">
      <c r="A122" t="s">
        <v>229</v>
      </c>
      <c r="B122" t="s">
        <v>230</v>
      </c>
      <c r="C122">
        <f>VLOOKUP(CONCATENATE("2024",'2024_60'!A122),aktivnepesseg!$C$2:$D$2226,2,FALSE)</f>
        <v>9292</v>
      </c>
      <c r="D122">
        <f t="shared" si="26"/>
        <v>6933</v>
      </c>
      <c r="E122">
        <f t="shared" si="27"/>
        <v>2359</v>
      </c>
      <c r="F122">
        <v>923</v>
      </c>
      <c r="G122">
        <v>295</v>
      </c>
      <c r="H122">
        <v>186</v>
      </c>
      <c r="I122">
        <v>182</v>
      </c>
      <c r="J122">
        <v>161</v>
      </c>
      <c r="K122">
        <v>259</v>
      </c>
      <c r="L122">
        <v>496</v>
      </c>
      <c r="M122">
        <v>107</v>
      </c>
      <c r="N122">
        <v>237</v>
      </c>
      <c r="O122">
        <v>241</v>
      </c>
      <c r="P122">
        <v>912</v>
      </c>
      <c r="Q122">
        <v>714</v>
      </c>
      <c r="R122">
        <v>1774</v>
      </c>
      <c r="S122">
        <v>422</v>
      </c>
      <c r="T122">
        <v>24</v>
      </c>
      <c r="U122">
        <f t="shared" si="41"/>
        <v>2359</v>
      </c>
      <c r="V122">
        <f t="shared" si="41"/>
        <v>876.84999999999991</v>
      </c>
      <c r="W122">
        <f t="shared" si="40"/>
        <v>250.75</v>
      </c>
      <c r="X122">
        <f t="shared" si="40"/>
        <v>142.60000000000002</v>
      </c>
      <c r="Y122">
        <f t="shared" si="40"/>
        <v>127.39999999999999</v>
      </c>
      <c r="Z122">
        <f t="shared" si="40"/>
        <v>101.96666666666667</v>
      </c>
      <c r="AA122">
        <f t="shared" si="40"/>
        <v>142.45000000000002</v>
      </c>
      <c r="AB122">
        <f t="shared" si="40"/>
        <v>223.20000000000002</v>
      </c>
      <c r="AC122">
        <f t="shared" si="40"/>
        <v>39.233333333333327</v>
      </c>
      <c r="AD122">
        <f t="shared" si="40"/>
        <v>59.25</v>
      </c>
      <c r="AE122">
        <f t="shared" si="40"/>
        <v>20.083333333333332</v>
      </c>
      <c r="AF122" s="12">
        <f t="shared" si="25"/>
        <v>0.4673679867986798</v>
      </c>
      <c r="AG122">
        <f t="shared" si="28"/>
        <v>2359</v>
      </c>
      <c r="AH122">
        <f t="shared" si="29"/>
        <v>867.62</v>
      </c>
      <c r="AI122">
        <f t="shared" si="30"/>
        <v>241.89999999999998</v>
      </c>
      <c r="AJ122">
        <f t="shared" si="31"/>
        <v>133.91999999999999</v>
      </c>
      <c r="AK122">
        <f t="shared" si="32"/>
        <v>116.48</v>
      </c>
      <c r="AL122">
        <f t="shared" si="33"/>
        <v>90.160000000000011</v>
      </c>
      <c r="AM122">
        <f t="shared" si="34"/>
        <v>119.14</v>
      </c>
      <c r="AN122">
        <f t="shared" si="35"/>
        <v>168.64000000000001</v>
      </c>
      <c r="AO122">
        <f t="shared" si="36"/>
        <v>25.68</v>
      </c>
      <c r="AP122">
        <f t="shared" si="37"/>
        <v>23.700000000000003</v>
      </c>
      <c r="AQ122">
        <f t="shared" si="38"/>
        <v>0.44621609987085664</v>
      </c>
    </row>
    <row r="123" spans="1:43" x14ac:dyDescent="0.35">
      <c r="A123" t="s">
        <v>231</v>
      </c>
      <c r="B123" t="s">
        <v>232</v>
      </c>
      <c r="C123">
        <f>VLOOKUP(CONCATENATE("2024",'2024_60'!A123),aktivnepesseg!$C$2:$D$2226,2,FALSE)</f>
        <v>23235</v>
      </c>
      <c r="D123">
        <f t="shared" si="26"/>
        <v>16865</v>
      </c>
      <c r="E123">
        <f t="shared" si="27"/>
        <v>6370</v>
      </c>
      <c r="F123">
        <v>3070</v>
      </c>
      <c r="G123">
        <v>648</v>
      </c>
      <c r="H123">
        <v>337</v>
      </c>
      <c r="I123">
        <v>368</v>
      </c>
      <c r="J123">
        <v>230</v>
      </c>
      <c r="K123">
        <v>458</v>
      </c>
      <c r="L123">
        <v>955</v>
      </c>
      <c r="M123">
        <v>270</v>
      </c>
      <c r="N123">
        <v>504</v>
      </c>
      <c r="O123">
        <v>516</v>
      </c>
      <c r="P123">
        <v>1987</v>
      </c>
      <c r="Q123">
        <v>2025</v>
      </c>
      <c r="R123">
        <v>4537</v>
      </c>
      <c r="S123">
        <v>882</v>
      </c>
      <c r="T123">
        <v>78</v>
      </c>
      <c r="U123">
        <f t="shared" si="41"/>
        <v>6370</v>
      </c>
      <c r="V123">
        <f t="shared" si="41"/>
        <v>2916.5</v>
      </c>
      <c r="W123">
        <f t="shared" si="40"/>
        <v>550.79999999999995</v>
      </c>
      <c r="X123">
        <f t="shared" si="40"/>
        <v>258.36666666666667</v>
      </c>
      <c r="Y123">
        <f t="shared" si="40"/>
        <v>257.59999999999997</v>
      </c>
      <c r="Z123">
        <f t="shared" si="40"/>
        <v>145.66666666666666</v>
      </c>
      <c r="AA123">
        <f t="shared" si="40"/>
        <v>251.90000000000003</v>
      </c>
      <c r="AB123">
        <f t="shared" si="40"/>
        <v>429.75</v>
      </c>
      <c r="AC123">
        <f t="shared" si="40"/>
        <v>99</v>
      </c>
      <c r="AD123">
        <f t="shared" si="40"/>
        <v>126</v>
      </c>
      <c r="AE123">
        <f t="shared" si="40"/>
        <v>43</v>
      </c>
      <c r="AF123" s="12">
        <f t="shared" si="25"/>
        <v>0.49273007675202635</v>
      </c>
      <c r="AG123">
        <f t="shared" si="28"/>
        <v>6370</v>
      </c>
      <c r="AH123">
        <f t="shared" si="29"/>
        <v>2885.7999999999997</v>
      </c>
      <c r="AI123">
        <f t="shared" si="30"/>
        <v>531.36</v>
      </c>
      <c r="AJ123">
        <f t="shared" si="31"/>
        <v>242.64</v>
      </c>
      <c r="AK123">
        <f t="shared" si="32"/>
        <v>235.52</v>
      </c>
      <c r="AL123">
        <f t="shared" si="33"/>
        <v>128.80000000000001</v>
      </c>
      <c r="AM123">
        <f t="shared" si="34"/>
        <v>210.68</v>
      </c>
      <c r="AN123">
        <f t="shared" si="35"/>
        <v>324.70000000000005</v>
      </c>
      <c r="AO123">
        <f t="shared" si="36"/>
        <v>64.8</v>
      </c>
      <c r="AP123">
        <f t="shared" si="37"/>
        <v>50.400000000000006</v>
      </c>
      <c r="AQ123">
        <f t="shared" si="38"/>
        <v>0.47534753604475999</v>
      </c>
    </row>
    <row r="124" spans="1:43" x14ac:dyDescent="0.35">
      <c r="A124" t="s">
        <v>233</v>
      </c>
      <c r="B124" t="s">
        <v>234</v>
      </c>
      <c r="C124">
        <f>VLOOKUP(CONCATENATE("2024",'2024_60'!A124),aktivnepesseg!$C$2:$D$2226,2,FALSE)</f>
        <v>25997</v>
      </c>
      <c r="D124">
        <f t="shared" si="26"/>
        <v>19752</v>
      </c>
      <c r="E124">
        <f t="shared" si="27"/>
        <v>6245</v>
      </c>
      <c r="F124">
        <v>2421</v>
      </c>
      <c r="G124">
        <v>624</v>
      </c>
      <c r="H124">
        <v>313</v>
      </c>
      <c r="I124">
        <v>341</v>
      </c>
      <c r="J124">
        <v>245</v>
      </c>
      <c r="K124">
        <v>446</v>
      </c>
      <c r="L124">
        <v>727</v>
      </c>
      <c r="M124">
        <v>298</v>
      </c>
      <c r="N124">
        <v>628</v>
      </c>
      <c r="O124">
        <v>619</v>
      </c>
      <c r="P124">
        <v>2488</v>
      </c>
      <c r="Q124">
        <v>2160</v>
      </c>
      <c r="R124">
        <v>6537</v>
      </c>
      <c r="S124">
        <v>1730</v>
      </c>
      <c r="T124">
        <v>175</v>
      </c>
      <c r="U124">
        <f t="shared" si="41"/>
        <v>6245</v>
      </c>
      <c r="V124">
        <f t="shared" si="41"/>
        <v>2299.9499999999998</v>
      </c>
      <c r="W124">
        <f t="shared" si="40"/>
        <v>530.4</v>
      </c>
      <c r="X124">
        <f t="shared" si="40"/>
        <v>239.9666666666667</v>
      </c>
      <c r="Y124">
        <f t="shared" si="40"/>
        <v>238.7</v>
      </c>
      <c r="Z124">
        <f t="shared" si="40"/>
        <v>155.16666666666666</v>
      </c>
      <c r="AA124">
        <f t="shared" si="40"/>
        <v>245.3</v>
      </c>
      <c r="AB124">
        <f t="shared" si="40"/>
        <v>327.15000000000003</v>
      </c>
      <c r="AC124">
        <f t="shared" si="40"/>
        <v>109.26666666666667</v>
      </c>
      <c r="AD124">
        <f t="shared" si="40"/>
        <v>157</v>
      </c>
      <c r="AE124">
        <f t="shared" si="40"/>
        <v>51.583333333333329</v>
      </c>
      <c r="AF124" s="12">
        <f t="shared" si="25"/>
        <v>0.40771948045287276</v>
      </c>
      <c r="AG124">
        <f t="shared" si="28"/>
        <v>6245</v>
      </c>
      <c r="AH124">
        <f t="shared" si="29"/>
        <v>2275.7399999999998</v>
      </c>
      <c r="AI124">
        <f t="shared" si="30"/>
        <v>511.67999999999995</v>
      </c>
      <c r="AJ124">
        <f t="shared" si="31"/>
        <v>225.35999999999999</v>
      </c>
      <c r="AK124">
        <f t="shared" si="32"/>
        <v>218.24</v>
      </c>
      <c r="AL124">
        <f t="shared" si="33"/>
        <v>137.20000000000002</v>
      </c>
      <c r="AM124">
        <f t="shared" si="34"/>
        <v>205.16</v>
      </c>
      <c r="AN124">
        <f t="shared" si="35"/>
        <v>247.18</v>
      </c>
      <c r="AO124">
        <f t="shared" si="36"/>
        <v>71.52</v>
      </c>
      <c r="AP124">
        <f t="shared" si="37"/>
        <v>62.800000000000004</v>
      </c>
      <c r="AQ124">
        <f t="shared" si="38"/>
        <v>0.39234834788629463</v>
      </c>
    </row>
    <row r="125" spans="1:43" x14ac:dyDescent="0.35">
      <c r="A125" t="s">
        <v>235</v>
      </c>
      <c r="B125" t="s">
        <v>236</v>
      </c>
      <c r="C125">
        <f>VLOOKUP(CONCATENATE("2024",'2024_60'!A125),aktivnepesseg!$C$2:$D$2226,2,FALSE)</f>
        <v>16334</v>
      </c>
      <c r="D125">
        <f t="shared" si="26"/>
        <v>13216</v>
      </c>
      <c r="E125">
        <f t="shared" si="27"/>
        <v>3118</v>
      </c>
      <c r="F125">
        <v>1743</v>
      </c>
      <c r="G125">
        <v>429</v>
      </c>
      <c r="H125">
        <v>247</v>
      </c>
      <c r="I125">
        <v>280</v>
      </c>
      <c r="J125">
        <v>184</v>
      </c>
      <c r="K125">
        <v>303</v>
      </c>
      <c r="L125">
        <v>486</v>
      </c>
      <c r="M125">
        <v>217</v>
      </c>
      <c r="N125">
        <v>405</v>
      </c>
      <c r="O125">
        <v>462</v>
      </c>
      <c r="P125">
        <v>1891</v>
      </c>
      <c r="Q125">
        <v>1719</v>
      </c>
      <c r="R125">
        <v>3964</v>
      </c>
      <c r="S125">
        <v>792</v>
      </c>
      <c r="T125">
        <v>94</v>
      </c>
      <c r="U125">
        <f t="shared" si="41"/>
        <v>3118</v>
      </c>
      <c r="V125">
        <f t="shared" si="41"/>
        <v>1655.85</v>
      </c>
      <c r="W125">
        <f t="shared" si="40"/>
        <v>364.65</v>
      </c>
      <c r="X125">
        <f t="shared" si="40"/>
        <v>189.36666666666667</v>
      </c>
      <c r="Y125">
        <f t="shared" si="40"/>
        <v>196</v>
      </c>
      <c r="Z125">
        <f t="shared" si="40"/>
        <v>116.53333333333333</v>
      </c>
      <c r="AA125">
        <f t="shared" si="40"/>
        <v>166.65</v>
      </c>
      <c r="AB125">
        <f t="shared" si="40"/>
        <v>218.70000000000002</v>
      </c>
      <c r="AC125">
        <f t="shared" si="40"/>
        <v>79.566666666666663</v>
      </c>
      <c r="AD125">
        <f t="shared" si="40"/>
        <v>101.25</v>
      </c>
      <c r="AE125">
        <f t="shared" si="40"/>
        <v>38.5</v>
      </c>
      <c r="AF125" s="12">
        <f t="shared" si="25"/>
        <v>0.38233541488102524</v>
      </c>
      <c r="AG125">
        <f t="shared" si="28"/>
        <v>3118</v>
      </c>
      <c r="AH125">
        <f t="shared" si="29"/>
        <v>1638.4199999999998</v>
      </c>
      <c r="AI125">
        <f t="shared" si="30"/>
        <v>351.78</v>
      </c>
      <c r="AJ125">
        <f t="shared" si="31"/>
        <v>177.84</v>
      </c>
      <c r="AK125">
        <f t="shared" si="32"/>
        <v>179.20000000000002</v>
      </c>
      <c r="AL125">
        <f t="shared" si="33"/>
        <v>103.04</v>
      </c>
      <c r="AM125">
        <f t="shared" si="34"/>
        <v>139.38</v>
      </c>
      <c r="AN125">
        <f t="shared" si="35"/>
        <v>165.24</v>
      </c>
      <c r="AO125">
        <f t="shared" si="36"/>
        <v>52.08</v>
      </c>
      <c r="AP125">
        <f t="shared" si="37"/>
        <v>40.5</v>
      </c>
      <c r="AQ125">
        <f t="shared" si="38"/>
        <v>0.36521856250765272</v>
      </c>
    </row>
    <row r="126" spans="1:43" x14ac:dyDescent="0.35">
      <c r="A126" t="s">
        <v>237</v>
      </c>
      <c r="B126" t="s">
        <v>238</v>
      </c>
      <c r="C126">
        <f>VLOOKUP(CONCATENATE("2024",'2024_60'!A126),aktivnepesseg!$C$2:$D$2226,2,FALSE)</f>
        <v>148726</v>
      </c>
      <c r="D126">
        <f t="shared" si="26"/>
        <v>111700</v>
      </c>
      <c r="E126">
        <f t="shared" si="27"/>
        <v>37026</v>
      </c>
      <c r="F126">
        <v>10978</v>
      </c>
      <c r="G126">
        <v>3583</v>
      </c>
      <c r="H126">
        <v>2012</v>
      </c>
      <c r="I126">
        <v>2190</v>
      </c>
      <c r="J126">
        <v>1521</v>
      </c>
      <c r="K126">
        <v>2240</v>
      </c>
      <c r="L126">
        <v>3117</v>
      </c>
      <c r="M126">
        <v>1707</v>
      </c>
      <c r="N126">
        <v>3116</v>
      </c>
      <c r="O126">
        <v>3287</v>
      </c>
      <c r="P126">
        <v>12895</v>
      </c>
      <c r="Q126">
        <v>11840</v>
      </c>
      <c r="R126">
        <v>38159</v>
      </c>
      <c r="S126">
        <v>12677</v>
      </c>
      <c r="T126">
        <v>2378</v>
      </c>
      <c r="U126">
        <f t="shared" si="41"/>
        <v>37026</v>
      </c>
      <c r="V126">
        <f t="shared" si="41"/>
        <v>10429.1</v>
      </c>
      <c r="W126">
        <f t="shared" si="40"/>
        <v>3045.5499999999997</v>
      </c>
      <c r="X126">
        <f t="shared" si="40"/>
        <v>1542.5333333333335</v>
      </c>
      <c r="Y126">
        <f t="shared" si="40"/>
        <v>1533</v>
      </c>
      <c r="Z126">
        <f t="shared" si="40"/>
        <v>963.3</v>
      </c>
      <c r="AA126">
        <f t="shared" si="40"/>
        <v>1232</v>
      </c>
      <c r="AB126">
        <f t="shared" si="40"/>
        <v>1402.65</v>
      </c>
      <c r="AC126">
        <f t="shared" si="40"/>
        <v>625.9</v>
      </c>
      <c r="AD126">
        <f t="shared" si="40"/>
        <v>779</v>
      </c>
      <c r="AE126">
        <f t="shared" si="40"/>
        <v>273.91666666666663</v>
      </c>
      <c r="AF126" s="12">
        <f t="shared" si="25"/>
        <v>0.39571393031480712</v>
      </c>
      <c r="AG126">
        <f t="shared" si="28"/>
        <v>37026</v>
      </c>
      <c r="AH126">
        <f t="shared" si="29"/>
        <v>10319.32</v>
      </c>
      <c r="AI126">
        <f t="shared" si="30"/>
        <v>2938.06</v>
      </c>
      <c r="AJ126">
        <f t="shared" si="31"/>
        <v>1448.6399999999999</v>
      </c>
      <c r="AK126">
        <f t="shared" si="32"/>
        <v>1401.6000000000001</v>
      </c>
      <c r="AL126">
        <f t="shared" si="33"/>
        <v>851.7600000000001</v>
      </c>
      <c r="AM126">
        <f t="shared" si="34"/>
        <v>1030.4000000000001</v>
      </c>
      <c r="AN126">
        <f t="shared" si="35"/>
        <v>1059.78</v>
      </c>
      <c r="AO126">
        <f t="shared" si="36"/>
        <v>409.68</v>
      </c>
      <c r="AP126">
        <f t="shared" si="37"/>
        <v>311.60000000000002</v>
      </c>
      <c r="AQ126">
        <f t="shared" si="38"/>
        <v>0.38188911152051419</v>
      </c>
    </row>
    <row r="127" spans="1:43" x14ac:dyDescent="0.35">
      <c r="A127" t="s">
        <v>239</v>
      </c>
      <c r="B127" t="s">
        <v>240</v>
      </c>
      <c r="C127">
        <f>VLOOKUP(CONCATENATE("2024",'2024_60'!A127),aktivnepesseg!$C$2:$D$2226,2,FALSE)</f>
        <v>22040</v>
      </c>
      <c r="D127">
        <f t="shared" si="26"/>
        <v>15689</v>
      </c>
      <c r="E127">
        <f t="shared" si="27"/>
        <v>6351</v>
      </c>
      <c r="F127">
        <v>2192</v>
      </c>
      <c r="G127">
        <v>504</v>
      </c>
      <c r="H127">
        <v>247</v>
      </c>
      <c r="I127">
        <v>289</v>
      </c>
      <c r="J127">
        <v>188</v>
      </c>
      <c r="K127">
        <v>303</v>
      </c>
      <c r="L127">
        <v>590</v>
      </c>
      <c r="M127">
        <v>200</v>
      </c>
      <c r="N127">
        <v>451</v>
      </c>
      <c r="O127">
        <v>494</v>
      </c>
      <c r="P127">
        <v>2021</v>
      </c>
      <c r="Q127">
        <v>1803</v>
      </c>
      <c r="R127">
        <v>5189</v>
      </c>
      <c r="S127">
        <v>1056</v>
      </c>
      <c r="T127">
        <v>162</v>
      </c>
      <c r="U127">
        <f t="shared" si="41"/>
        <v>6351</v>
      </c>
      <c r="V127">
        <f t="shared" si="41"/>
        <v>2082.4</v>
      </c>
      <c r="W127">
        <f t="shared" si="40"/>
        <v>428.4</v>
      </c>
      <c r="X127">
        <f t="shared" si="40"/>
        <v>189.36666666666667</v>
      </c>
      <c r="Y127">
        <f t="shared" si="40"/>
        <v>202.29999999999998</v>
      </c>
      <c r="Z127">
        <f t="shared" si="40"/>
        <v>119.06666666666666</v>
      </c>
      <c r="AA127">
        <f t="shared" si="40"/>
        <v>166.65</v>
      </c>
      <c r="AB127">
        <f t="shared" si="40"/>
        <v>265.5</v>
      </c>
      <c r="AC127">
        <f t="shared" si="40"/>
        <v>73.333333333333329</v>
      </c>
      <c r="AD127">
        <f t="shared" si="40"/>
        <v>112.75</v>
      </c>
      <c r="AE127">
        <f t="shared" si="40"/>
        <v>41.166666666666664</v>
      </c>
      <c r="AF127" s="12">
        <f t="shared" si="25"/>
        <v>0.45516938898971565</v>
      </c>
      <c r="AG127">
        <f t="shared" si="28"/>
        <v>6351</v>
      </c>
      <c r="AH127">
        <f t="shared" si="29"/>
        <v>2060.48</v>
      </c>
      <c r="AI127">
        <f t="shared" si="30"/>
        <v>413.28</v>
      </c>
      <c r="AJ127">
        <f t="shared" si="31"/>
        <v>177.84</v>
      </c>
      <c r="AK127">
        <f t="shared" si="32"/>
        <v>184.96</v>
      </c>
      <c r="AL127">
        <f t="shared" si="33"/>
        <v>105.28000000000002</v>
      </c>
      <c r="AM127">
        <f t="shared" si="34"/>
        <v>139.38</v>
      </c>
      <c r="AN127">
        <f t="shared" si="35"/>
        <v>200.60000000000002</v>
      </c>
      <c r="AO127">
        <f t="shared" si="36"/>
        <v>48</v>
      </c>
      <c r="AP127">
        <f t="shared" si="37"/>
        <v>45.1</v>
      </c>
      <c r="AQ127">
        <f t="shared" si="38"/>
        <v>0.44128493647912886</v>
      </c>
    </row>
    <row r="128" spans="1:43" x14ac:dyDescent="0.35">
      <c r="A128" t="s">
        <v>241</v>
      </c>
      <c r="B128" t="s">
        <v>242</v>
      </c>
      <c r="C128">
        <f>VLOOKUP(CONCATENATE("2024",'2024_60'!A128),aktivnepesseg!$C$2:$D$2226,2,FALSE)</f>
        <v>50615</v>
      </c>
      <c r="D128">
        <f t="shared" si="26"/>
        <v>41294</v>
      </c>
      <c r="E128">
        <f t="shared" si="27"/>
        <v>9321</v>
      </c>
      <c r="F128">
        <v>3456</v>
      </c>
      <c r="G128">
        <v>1108</v>
      </c>
      <c r="H128">
        <v>685</v>
      </c>
      <c r="I128">
        <v>862</v>
      </c>
      <c r="J128">
        <v>539</v>
      </c>
      <c r="K128">
        <v>767</v>
      </c>
      <c r="L128">
        <v>1200</v>
      </c>
      <c r="M128">
        <v>663</v>
      </c>
      <c r="N128">
        <v>1154</v>
      </c>
      <c r="O128">
        <v>1309</v>
      </c>
      <c r="P128">
        <v>5232</v>
      </c>
      <c r="Q128">
        <v>3820</v>
      </c>
      <c r="R128">
        <v>14223</v>
      </c>
      <c r="S128">
        <v>5479</v>
      </c>
      <c r="T128">
        <v>797</v>
      </c>
      <c r="U128">
        <f t="shared" si="41"/>
        <v>9321</v>
      </c>
      <c r="V128">
        <f t="shared" si="41"/>
        <v>3283.2</v>
      </c>
      <c r="W128">
        <f t="shared" si="40"/>
        <v>941.8</v>
      </c>
      <c r="X128">
        <f t="shared" si="40"/>
        <v>525.16666666666674</v>
      </c>
      <c r="Y128">
        <f t="shared" si="40"/>
        <v>603.4</v>
      </c>
      <c r="Z128">
        <f t="shared" si="40"/>
        <v>341.36666666666667</v>
      </c>
      <c r="AA128">
        <f t="shared" si="40"/>
        <v>421.85</v>
      </c>
      <c r="AB128">
        <f t="shared" si="40"/>
        <v>540</v>
      </c>
      <c r="AC128">
        <f t="shared" si="40"/>
        <v>243.1</v>
      </c>
      <c r="AD128">
        <f t="shared" si="40"/>
        <v>288.5</v>
      </c>
      <c r="AE128">
        <f t="shared" si="40"/>
        <v>109.08333333333333</v>
      </c>
      <c r="AF128" s="12">
        <f t="shared" si="25"/>
        <v>0.32833086370970394</v>
      </c>
      <c r="AG128">
        <f t="shared" si="28"/>
        <v>9321</v>
      </c>
      <c r="AH128">
        <f t="shared" si="29"/>
        <v>3248.64</v>
      </c>
      <c r="AI128">
        <f t="shared" si="30"/>
        <v>908.56</v>
      </c>
      <c r="AJ128">
        <f t="shared" si="31"/>
        <v>493.2</v>
      </c>
      <c r="AK128">
        <f t="shared" si="32"/>
        <v>551.68000000000006</v>
      </c>
      <c r="AL128">
        <f t="shared" si="33"/>
        <v>301.84000000000003</v>
      </c>
      <c r="AM128">
        <f t="shared" si="34"/>
        <v>352.82</v>
      </c>
      <c r="AN128">
        <f t="shared" si="35"/>
        <v>408.00000000000006</v>
      </c>
      <c r="AO128">
        <f t="shared" si="36"/>
        <v>159.12</v>
      </c>
      <c r="AP128">
        <f t="shared" si="37"/>
        <v>115.4</v>
      </c>
      <c r="AQ128">
        <f t="shared" si="38"/>
        <v>0.31335098291020447</v>
      </c>
    </row>
    <row r="129" spans="1:43" x14ac:dyDescent="0.35">
      <c r="A129" t="s">
        <v>243</v>
      </c>
      <c r="B129" t="s">
        <v>244</v>
      </c>
      <c r="C129">
        <f>VLOOKUP(CONCATENATE("2024",'2024_60'!A129),aktivnepesseg!$C$2:$D$2226,2,FALSE)</f>
        <v>19499</v>
      </c>
      <c r="D129">
        <f t="shared" si="26"/>
        <v>15375</v>
      </c>
      <c r="E129">
        <f t="shared" si="27"/>
        <v>4124</v>
      </c>
      <c r="F129">
        <v>3262</v>
      </c>
      <c r="G129">
        <v>402</v>
      </c>
      <c r="H129">
        <v>223</v>
      </c>
      <c r="I129">
        <v>274</v>
      </c>
      <c r="J129">
        <v>178</v>
      </c>
      <c r="K129">
        <v>285</v>
      </c>
      <c r="L129">
        <v>416</v>
      </c>
      <c r="M129">
        <v>250</v>
      </c>
      <c r="N129">
        <v>464</v>
      </c>
      <c r="O129">
        <v>470</v>
      </c>
      <c r="P129">
        <v>2186</v>
      </c>
      <c r="Q129">
        <v>1760</v>
      </c>
      <c r="R129">
        <v>4095</v>
      </c>
      <c r="S129">
        <v>982</v>
      </c>
      <c r="T129">
        <v>128</v>
      </c>
      <c r="U129">
        <f t="shared" si="41"/>
        <v>4124</v>
      </c>
      <c r="V129">
        <f t="shared" si="41"/>
        <v>3098.8999999999996</v>
      </c>
      <c r="W129">
        <f t="shared" si="40"/>
        <v>341.7</v>
      </c>
      <c r="X129">
        <f t="shared" si="40"/>
        <v>170.96666666666667</v>
      </c>
      <c r="Y129">
        <f t="shared" si="40"/>
        <v>191.79999999999998</v>
      </c>
      <c r="Z129">
        <f t="shared" si="40"/>
        <v>112.73333333333333</v>
      </c>
      <c r="AA129">
        <f t="shared" si="40"/>
        <v>156.75</v>
      </c>
      <c r="AB129">
        <f t="shared" si="40"/>
        <v>187.20000000000002</v>
      </c>
      <c r="AC129">
        <f t="shared" si="40"/>
        <v>91.666666666666657</v>
      </c>
      <c r="AD129">
        <f t="shared" si="40"/>
        <v>116</v>
      </c>
      <c r="AE129">
        <f t="shared" si="40"/>
        <v>39.166666666666664</v>
      </c>
      <c r="AF129" s="12">
        <f t="shared" si="25"/>
        <v>0.44263210079149345</v>
      </c>
      <c r="AG129">
        <f t="shared" si="28"/>
        <v>4124</v>
      </c>
      <c r="AH129">
        <f t="shared" si="29"/>
        <v>3066.2799999999997</v>
      </c>
      <c r="AI129">
        <f t="shared" si="30"/>
        <v>329.64</v>
      </c>
      <c r="AJ129">
        <f t="shared" si="31"/>
        <v>160.56</v>
      </c>
      <c r="AK129">
        <f t="shared" si="32"/>
        <v>175.36</v>
      </c>
      <c r="AL129">
        <f t="shared" si="33"/>
        <v>99.68</v>
      </c>
      <c r="AM129">
        <f t="shared" si="34"/>
        <v>131.1</v>
      </c>
      <c r="AN129">
        <f t="shared" si="35"/>
        <v>141.44</v>
      </c>
      <c r="AO129">
        <f t="shared" si="36"/>
        <v>60</v>
      </c>
      <c r="AP129">
        <f t="shared" si="37"/>
        <v>46.400000000000006</v>
      </c>
      <c r="AQ129">
        <f t="shared" si="38"/>
        <v>0.42743012462177554</v>
      </c>
    </row>
    <row r="130" spans="1:43" x14ac:dyDescent="0.35">
      <c r="A130" t="s">
        <v>245</v>
      </c>
      <c r="B130" t="s">
        <v>246</v>
      </c>
      <c r="C130">
        <f>VLOOKUP(CONCATENATE("2024",'2024_60'!A130),aktivnepesseg!$C$2:$D$2226,2,FALSE)</f>
        <v>22363</v>
      </c>
      <c r="D130">
        <f t="shared" si="26"/>
        <v>18353</v>
      </c>
      <c r="E130">
        <f t="shared" si="27"/>
        <v>4010</v>
      </c>
      <c r="F130">
        <v>1648</v>
      </c>
      <c r="G130">
        <v>484</v>
      </c>
      <c r="H130">
        <v>247</v>
      </c>
      <c r="I130">
        <v>249</v>
      </c>
      <c r="J130">
        <v>195</v>
      </c>
      <c r="K130">
        <v>271</v>
      </c>
      <c r="L130">
        <v>319</v>
      </c>
      <c r="M130">
        <v>222</v>
      </c>
      <c r="N130">
        <v>482</v>
      </c>
      <c r="O130">
        <v>485</v>
      </c>
      <c r="P130">
        <v>1938</v>
      </c>
      <c r="Q130">
        <v>1848</v>
      </c>
      <c r="R130">
        <v>7182</v>
      </c>
      <c r="S130">
        <v>2456</v>
      </c>
      <c r="T130">
        <v>327</v>
      </c>
      <c r="U130">
        <f t="shared" si="41"/>
        <v>4010</v>
      </c>
      <c r="V130">
        <f t="shared" si="41"/>
        <v>1565.6</v>
      </c>
      <c r="W130">
        <f t="shared" si="40"/>
        <v>411.4</v>
      </c>
      <c r="X130">
        <f t="shared" si="40"/>
        <v>189.36666666666667</v>
      </c>
      <c r="Y130">
        <f t="shared" si="40"/>
        <v>174.29999999999998</v>
      </c>
      <c r="Z130">
        <f t="shared" si="40"/>
        <v>123.5</v>
      </c>
      <c r="AA130">
        <f t="shared" si="40"/>
        <v>149.05000000000001</v>
      </c>
      <c r="AB130">
        <f t="shared" si="40"/>
        <v>143.55000000000001</v>
      </c>
      <c r="AC130">
        <f t="shared" si="40"/>
        <v>81.399999999999991</v>
      </c>
      <c r="AD130">
        <f t="shared" si="40"/>
        <v>120.5</v>
      </c>
      <c r="AE130">
        <f t="shared" si="40"/>
        <v>40.416666666666664</v>
      </c>
      <c r="AF130" s="12">
        <f t="shared" si="25"/>
        <v>0.31342321393969208</v>
      </c>
      <c r="AG130">
        <f t="shared" si="28"/>
        <v>4010</v>
      </c>
      <c r="AH130">
        <f t="shared" si="29"/>
        <v>1549.12</v>
      </c>
      <c r="AI130">
        <f t="shared" si="30"/>
        <v>396.88</v>
      </c>
      <c r="AJ130">
        <f t="shared" si="31"/>
        <v>177.84</v>
      </c>
      <c r="AK130">
        <f t="shared" si="32"/>
        <v>159.36000000000001</v>
      </c>
      <c r="AL130">
        <f t="shared" si="33"/>
        <v>109.20000000000002</v>
      </c>
      <c r="AM130">
        <f t="shared" si="34"/>
        <v>124.66000000000001</v>
      </c>
      <c r="AN130">
        <f t="shared" si="35"/>
        <v>108.46000000000001</v>
      </c>
      <c r="AO130">
        <f t="shared" si="36"/>
        <v>53.28</v>
      </c>
      <c r="AP130">
        <f t="shared" si="37"/>
        <v>48.2</v>
      </c>
      <c r="AQ130">
        <f t="shared" si="38"/>
        <v>0.30125653982023876</v>
      </c>
    </row>
    <row r="131" spans="1:43" x14ac:dyDescent="0.35">
      <c r="A131" t="s">
        <v>247</v>
      </c>
      <c r="B131" t="s">
        <v>248</v>
      </c>
      <c r="C131">
        <f>VLOOKUP(CONCATENATE("2024",'2024_60'!A131),aktivnepesseg!$C$2:$D$2226,2,FALSE)</f>
        <v>54956</v>
      </c>
      <c r="D131">
        <f t="shared" si="26"/>
        <v>35423</v>
      </c>
      <c r="E131">
        <f t="shared" si="27"/>
        <v>19533</v>
      </c>
      <c r="F131">
        <v>4499</v>
      </c>
      <c r="G131">
        <v>1412</v>
      </c>
      <c r="H131">
        <v>729</v>
      </c>
      <c r="I131">
        <v>867</v>
      </c>
      <c r="J131">
        <v>492</v>
      </c>
      <c r="K131">
        <v>727</v>
      </c>
      <c r="L131">
        <v>849</v>
      </c>
      <c r="M131">
        <v>574</v>
      </c>
      <c r="N131">
        <v>952</v>
      </c>
      <c r="O131">
        <v>1085</v>
      </c>
      <c r="P131">
        <v>4283</v>
      </c>
      <c r="Q131">
        <v>3414</v>
      </c>
      <c r="R131">
        <v>11570</v>
      </c>
      <c r="S131">
        <v>3392</v>
      </c>
      <c r="T131">
        <v>578</v>
      </c>
      <c r="U131">
        <f t="shared" si="41"/>
        <v>19533</v>
      </c>
      <c r="V131">
        <f t="shared" si="41"/>
        <v>4274.05</v>
      </c>
      <c r="W131">
        <f t="shared" si="40"/>
        <v>1200.2</v>
      </c>
      <c r="X131">
        <f t="shared" si="40"/>
        <v>558.90000000000009</v>
      </c>
      <c r="Y131">
        <f t="shared" si="40"/>
        <v>606.9</v>
      </c>
      <c r="Z131">
        <f t="shared" si="40"/>
        <v>311.59999999999997</v>
      </c>
      <c r="AA131">
        <f t="shared" si="40"/>
        <v>399.85</v>
      </c>
      <c r="AB131">
        <f t="shared" si="40"/>
        <v>382.05</v>
      </c>
      <c r="AC131">
        <f t="shared" si="40"/>
        <v>210.46666666666664</v>
      </c>
      <c r="AD131">
        <f t="shared" si="40"/>
        <v>238</v>
      </c>
      <c r="AE131">
        <f t="shared" si="40"/>
        <v>90.416666666666657</v>
      </c>
      <c r="AF131" s="12">
        <f t="shared" si="25"/>
        <v>0.50595809981318385</v>
      </c>
      <c r="AG131">
        <f t="shared" si="28"/>
        <v>19533</v>
      </c>
      <c r="AH131">
        <f t="shared" si="29"/>
        <v>4229.0599999999995</v>
      </c>
      <c r="AI131">
        <f t="shared" si="30"/>
        <v>1157.8399999999999</v>
      </c>
      <c r="AJ131">
        <f t="shared" si="31"/>
        <v>524.88</v>
      </c>
      <c r="AK131">
        <f t="shared" si="32"/>
        <v>554.88</v>
      </c>
      <c r="AL131">
        <f t="shared" si="33"/>
        <v>275.52000000000004</v>
      </c>
      <c r="AM131">
        <f t="shared" si="34"/>
        <v>334.42</v>
      </c>
      <c r="AN131">
        <f t="shared" si="35"/>
        <v>288.66000000000003</v>
      </c>
      <c r="AO131">
        <f t="shared" si="36"/>
        <v>137.76</v>
      </c>
      <c r="AP131">
        <f t="shared" si="37"/>
        <v>95.2</v>
      </c>
      <c r="AQ131">
        <f t="shared" si="38"/>
        <v>0.49368986097969281</v>
      </c>
    </row>
    <row r="132" spans="1:43" x14ac:dyDescent="0.35">
      <c r="A132" t="s">
        <v>249</v>
      </c>
      <c r="B132" t="s">
        <v>250</v>
      </c>
      <c r="C132">
        <f>VLOOKUP(CONCATENATE("2024",'2024_60'!A132),aktivnepesseg!$C$2:$D$2226,2,FALSE)</f>
        <v>15451</v>
      </c>
      <c r="D132">
        <f t="shared" si="26"/>
        <v>11217</v>
      </c>
      <c r="E132">
        <f t="shared" si="27"/>
        <v>4234</v>
      </c>
      <c r="F132">
        <v>1540</v>
      </c>
      <c r="G132">
        <v>529</v>
      </c>
      <c r="H132">
        <v>271</v>
      </c>
      <c r="I132">
        <v>205</v>
      </c>
      <c r="J132">
        <v>196</v>
      </c>
      <c r="K132">
        <v>323</v>
      </c>
      <c r="L132">
        <v>452</v>
      </c>
      <c r="M132">
        <v>151</v>
      </c>
      <c r="N132">
        <v>331</v>
      </c>
      <c r="O132">
        <v>388</v>
      </c>
      <c r="P132">
        <v>1596</v>
      </c>
      <c r="Q132">
        <v>1257</v>
      </c>
      <c r="R132">
        <v>3254</v>
      </c>
      <c r="S132">
        <v>634</v>
      </c>
      <c r="T132">
        <v>90</v>
      </c>
      <c r="U132">
        <f t="shared" si="41"/>
        <v>4234</v>
      </c>
      <c r="V132">
        <f t="shared" si="41"/>
        <v>1463</v>
      </c>
      <c r="W132">
        <f t="shared" si="40"/>
        <v>449.65</v>
      </c>
      <c r="X132">
        <f t="shared" si="40"/>
        <v>207.76666666666668</v>
      </c>
      <c r="Y132">
        <f t="shared" si="40"/>
        <v>143.5</v>
      </c>
      <c r="Z132">
        <f t="shared" si="40"/>
        <v>124.13333333333333</v>
      </c>
      <c r="AA132">
        <f t="shared" si="40"/>
        <v>177.65</v>
      </c>
      <c r="AB132">
        <f t="shared" si="40"/>
        <v>203.4</v>
      </c>
      <c r="AC132">
        <f t="shared" si="40"/>
        <v>55.36666666666666</v>
      </c>
      <c r="AD132">
        <f t="shared" si="40"/>
        <v>82.75</v>
      </c>
      <c r="AE132">
        <f t="shared" si="40"/>
        <v>32.333333333333329</v>
      </c>
      <c r="AF132" s="12">
        <f t="shared" si="25"/>
        <v>0.46427739304899351</v>
      </c>
      <c r="AG132">
        <f t="shared" si="28"/>
        <v>4234</v>
      </c>
      <c r="AH132">
        <f t="shared" si="29"/>
        <v>1447.6</v>
      </c>
      <c r="AI132">
        <f t="shared" si="30"/>
        <v>433.78</v>
      </c>
      <c r="AJ132">
        <f t="shared" si="31"/>
        <v>195.12</v>
      </c>
      <c r="AK132">
        <f t="shared" si="32"/>
        <v>131.19999999999999</v>
      </c>
      <c r="AL132">
        <f t="shared" si="33"/>
        <v>109.76</v>
      </c>
      <c r="AM132">
        <f t="shared" si="34"/>
        <v>148.58000000000001</v>
      </c>
      <c r="AN132">
        <f t="shared" si="35"/>
        <v>153.68</v>
      </c>
      <c r="AO132">
        <f t="shared" si="36"/>
        <v>36.24</v>
      </c>
      <c r="AP132">
        <f t="shared" si="37"/>
        <v>33.1</v>
      </c>
      <c r="AQ132">
        <f t="shared" si="38"/>
        <v>0.44806549737881046</v>
      </c>
    </row>
    <row r="133" spans="1:43" x14ac:dyDescent="0.35">
      <c r="A133" t="s">
        <v>251</v>
      </c>
      <c r="B133" t="s">
        <v>252</v>
      </c>
      <c r="C133">
        <f>VLOOKUP(CONCATENATE("2024",'2024_60'!A133),aktivnepesseg!$C$2:$D$2226,2,FALSE)</f>
        <v>19849</v>
      </c>
      <c r="D133">
        <f t="shared" si="26"/>
        <v>14832</v>
      </c>
      <c r="E133">
        <f t="shared" si="27"/>
        <v>5017</v>
      </c>
      <c r="F133">
        <v>1910</v>
      </c>
      <c r="G133">
        <v>539</v>
      </c>
      <c r="H133">
        <v>263</v>
      </c>
      <c r="I133">
        <v>314</v>
      </c>
      <c r="J133">
        <v>245</v>
      </c>
      <c r="K133">
        <v>432</v>
      </c>
      <c r="L133">
        <v>959</v>
      </c>
      <c r="M133">
        <v>269</v>
      </c>
      <c r="N133">
        <v>541</v>
      </c>
      <c r="O133">
        <v>554</v>
      </c>
      <c r="P133">
        <v>2359</v>
      </c>
      <c r="Q133">
        <v>1705</v>
      </c>
      <c r="R133">
        <v>3909</v>
      </c>
      <c r="S133">
        <v>774</v>
      </c>
      <c r="T133">
        <v>59</v>
      </c>
      <c r="U133">
        <f t="shared" si="41"/>
        <v>5017</v>
      </c>
      <c r="V133">
        <f t="shared" si="41"/>
        <v>1814.5</v>
      </c>
      <c r="W133">
        <f t="shared" si="40"/>
        <v>458.15</v>
      </c>
      <c r="X133">
        <f t="shared" si="40"/>
        <v>201.63333333333335</v>
      </c>
      <c r="Y133">
        <f t="shared" si="40"/>
        <v>219.79999999999998</v>
      </c>
      <c r="Z133">
        <f t="shared" si="40"/>
        <v>155.16666666666666</v>
      </c>
      <c r="AA133">
        <f t="shared" si="40"/>
        <v>237.60000000000002</v>
      </c>
      <c r="AB133">
        <f t="shared" si="40"/>
        <v>431.55</v>
      </c>
      <c r="AC133">
        <f t="shared" si="40"/>
        <v>98.633333333333326</v>
      </c>
      <c r="AD133">
        <f t="shared" si="40"/>
        <v>135.25</v>
      </c>
      <c r="AE133">
        <f t="shared" si="40"/>
        <v>46.166666666666664</v>
      </c>
      <c r="AF133" s="12">
        <f t="shared" si="25"/>
        <v>0.44412564864728699</v>
      </c>
      <c r="AG133">
        <f t="shared" si="28"/>
        <v>5017</v>
      </c>
      <c r="AH133">
        <f t="shared" si="29"/>
        <v>1795.3999999999999</v>
      </c>
      <c r="AI133">
        <f t="shared" si="30"/>
        <v>441.97999999999996</v>
      </c>
      <c r="AJ133">
        <f t="shared" si="31"/>
        <v>189.35999999999999</v>
      </c>
      <c r="AK133">
        <f t="shared" si="32"/>
        <v>200.96</v>
      </c>
      <c r="AL133">
        <f t="shared" si="33"/>
        <v>137.20000000000002</v>
      </c>
      <c r="AM133">
        <f t="shared" si="34"/>
        <v>198.72</v>
      </c>
      <c r="AN133">
        <f t="shared" si="35"/>
        <v>326.06</v>
      </c>
      <c r="AO133">
        <f t="shared" si="36"/>
        <v>64.56</v>
      </c>
      <c r="AP133">
        <f t="shared" si="37"/>
        <v>54.1</v>
      </c>
      <c r="AQ133">
        <f t="shared" si="38"/>
        <v>0.42447176180160201</v>
      </c>
    </row>
    <row r="134" spans="1:43" x14ac:dyDescent="0.35">
      <c r="A134" t="s">
        <v>253</v>
      </c>
      <c r="B134" t="s">
        <v>254</v>
      </c>
      <c r="C134">
        <f>VLOOKUP(CONCATENATE("2024",'2024_60'!A134),aktivnepesseg!$C$2:$D$2226,2,FALSE)</f>
        <v>47020</v>
      </c>
      <c r="D134">
        <f t="shared" si="26"/>
        <v>34752</v>
      </c>
      <c r="E134">
        <f t="shared" si="27"/>
        <v>12268</v>
      </c>
      <c r="F134">
        <v>4605</v>
      </c>
      <c r="G134">
        <v>1222</v>
      </c>
      <c r="H134">
        <v>632</v>
      </c>
      <c r="I134">
        <v>662</v>
      </c>
      <c r="J134">
        <v>414</v>
      </c>
      <c r="K134">
        <v>651</v>
      </c>
      <c r="L134">
        <v>988</v>
      </c>
      <c r="M134">
        <v>471</v>
      </c>
      <c r="N134">
        <v>1013</v>
      </c>
      <c r="O134">
        <v>1014</v>
      </c>
      <c r="P134">
        <v>4882</v>
      </c>
      <c r="Q134">
        <v>4383</v>
      </c>
      <c r="R134">
        <v>10479</v>
      </c>
      <c r="S134">
        <v>2893</v>
      </c>
      <c r="T134">
        <v>443</v>
      </c>
      <c r="U134">
        <f t="shared" si="41"/>
        <v>12268</v>
      </c>
      <c r="V134">
        <f t="shared" si="41"/>
        <v>4374.75</v>
      </c>
      <c r="W134">
        <f t="shared" si="40"/>
        <v>1038.7</v>
      </c>
      <c r="X134">
        <f t="shared" si="40"/>
        <v>484.53333333333336</v>
      </c>
      <c r="Y134">
        <f t="shared" si="40"/>
        <v>463.4</v>
      </c>
      <c r="Z134">
        <f t="shared" si="40"/>
        <v>262.2</v>
      </c>
      <c r="AA134">
        <f t="shared" si="40"/>
        <v>358.05</v>
      </c>
      <c r="AB134">
        <f t="shared" si="40"/>
        <v>444.6</v>
      </c>
      <c r="AC134">
        <f t="shared" si="40"/>
        <v>172.7</v>
      </c>
      <c r="AD134">
        <f t="shared" si="40"/>
        <v>253.25</v>
      </c>
      <c r="AE134">
        <f t="shared" si="40"/>
        <v>84.5</v>
      </c>
      <c r="AF134" s="12">
        <f t="shared" si="25"/>
        <v>0.42970402665532398</v>
      </c>
      <c r="AG134">
        <f t="shared" si="28"/>
        <v>12268</v>
      </c>
      <c r="AH134">
        <f t="shared" si="29"/>
        <v>4328.7</v>
      </c>
      <c r="AI134">
        <f t="shared" si="30"/>
        <v>1002.04</v>
      </c>
      <c r="AJ134">
        <f t="shared" si="31"/>
        <v>455.03999999999996</v>
      </c>
      <c r="AK134">
        <f t="shared" si="32"/>
        <v>423.68</v>
      </c>
      <c r="AL134">
        <f t="shared" si="33"/>
        <v>231.84000000000003</v>
      </c>
      <c r="AM134">
        <f t="shared" si="34"/>
        <v>299.46000000000004</v>
      </c>
      <c r="AN134">
        <f t="shared" si="35"/>
        <v>335.92</v>
      </c>
      <c r="AO134">
        <f t="shared" si="36"/>
        <v>113.03999999999999</v>
      </c>
      <c r="AP134">
        <f t="shared" si="37"/>
        <v>101.30000000000001</v>
      </c>
      <c r="AQ134">
        <f t="shared" si="38"/>
        <v>0.41597235219055723</v>
      </c>
    </row>
    <row r="135" spans="1:43" x14ac:dyDescent="0.35">
      <c r="A135" t="s">
        <v>255</v>
      </c>
      <c r="B135" t="s">
        <v>256</v>
      </c>
      <c r="C135">
        <f>VLOOKUP(CONCATENATE("2024",'2024_60'!A135),aktivnepesseg!$C$2:$D$2226,2,FALSE)</f>
        <v>50834</v>
      </c>
      <c r="D135">
        <f t="shared" si="26"/>
        <v>39836</v>
      </c>
      <c r="E135">
        <f t="shared" si="27"/>
        <v>10998</v>
      </c>
      <c r="F135">
        <v>3631</v>
      </c>
      <c r="G135">
        <v>1157</v>
      </c>
      <c r="H135">
        <v>696</v>
      </c>
      <c r="I135">
        <v>797</v>
      </c>
      <c r="J135">
        <v>580</v>
      </c>
      <c r="K135">
        <v>873</v>
      </c>
      <c r="L135">
        <v>1354</v>
      </c>
      <c r="M135">
        <v>651</v>
      </c>
      <c r="N135">
        <v>1291</v>
      </c>
      <c r="O135">
        <v>1356</v>
      </c>
      <c r="P135">
        <v>5614</v>
      </c>
      <c r="Q135">
        <v>4098</v>
      </c>
      <c r="R135">
        <v>13597</v>
      </c>
      <c r="S135">
        <v>3792</v>
      </c>
      <c r="T135">
        <v>349</v>
      </c>
      <c r="U135">
        <f t="shared" si="41"/>
        <v>10998</v>
      </c>
      <c r="V135">
        <f t="shared" si="41"/>
        <v>3449.45</v>
      </c>
      <c r="W135">
        <f t="shared" si="40"/>
        <v>983.44999999999993</v>
      </c>
      <c r="X135">
        <f t="shared" si="40"/>
        <v>533.6</v>
      </c>
      <c r="Y135">
        <f t="shared" si="40"/>
        <v>557.9</v>
      </c>
      <c r="Z135">
        <f t="shared" si="40"/>
        <v>367.33333333333331</v>
      </c>
      <c r="AA135">
        <f t="shared" si="40"/>
        <v>480.15000000000003</v>
      </c>
      <c r="AB135">
        <f t="shared" si="40"/>
        <v>609.30000000000007</v>
      </c>
      <c r="AC135">
        <f t="shared" si="40"/>
        <v>238.7</v>
      </c>
      <c r="AD135">
        <f t="shared" si="40"/>
        <v>322.75</v>
      </c>
      <c r="AE135">
        <f t="shared" si="40"/>
        <v>113</v>
      </c>
      <c r="AF135" s="12">
        <f t="shared" si="25"/>
        <v>0.36695190882742523</v>
      </c>
      <c r="AG135">
        <f t="shared" si="28"/>
        <v>10998</v>
      </c>
      <c r="AH135">
        <f t="shared" si="29"/>
        <v>3413.14</v>
      </c>
      <c r="AI135">
        <f t="shared" si="30"/>
        <v>948.7399999999999</v>
      </c>
      <c r="AJ135">
        <f t="shared" si="31"/>
        <v>501.12</v>
      </c>
      <c r="AK135">
        <f t="shared" si="32"/>
        <v>510.08</v>
      </c>
      <c r="AL135">
        <f t="shared" si="33"/>
        <v>324.8</v>
      </c>
      <c r="AM135">
        <f t="shared" si="34"/>
        <v>401.58000000000004</v>
      </c>
      <c r="AN135">
        <f t="shared" si="35"/>
        <v>460.36</v>
      </c>
      <c r="AO135">
        <f t="shared" si="36"/>
        <v>156.23999999999998</v>
      </c>
      <c r="AP135">
        <f t="shared" si="37"/>
        <v>129.1</v>
      </c>
      <c r="AQ135">
        <f t="shared" si="38"/>
        <v>0.35100838021796443</v>
      </c>
    </row>
    <row r="136" spans="1:43" x14ac:dyDescent="0.35">
      <c r="A136" t="s">
        <v>257</v>
      </c>
      <c r="B136" t="s">
        <v>258</v>
      </c>
      <c r="C136">
        <f>VLOOKUP(CONCATENATE("2024",'2024_60'!A136),aktivnepesseg!$C$2:$D$2226,2,FALSE)</f>
        <v>17789</v>
      </c>
      <c r="D136">
        <f t="shared" si="26"/>
        <v>13840</v>
      </c>
      <c r="E136">
        <f t="shared" si="27"/>
        <v>3949</v>
      </c>
      <c r="F136">
        <v>1498</v>
      </c>
      <c r="G136">
        <v>453</v>
      </c>
      <c r="H136">
        <v>230</v>
      </c>
      <c r="I136">
        <v>284</v>
      </c>
      <c r="J136">
        <v>192</v>
      </c>
      <c r="K136">
        <v>301</v>
      </c>
      <c r="L136">
        <v>390</v>
      </c>
      <c r="M136">
        <v>205</v>
      </c>
      <c r="N136">
        <v>423</v>
      </c>
      <c r="O136">
        <v>468</v>
      </c>
      <c r="P136">
        <v>1816</v>
      </c>
      <c r="Q136">
        <v>1365</v>
      </c>
      <c r="R136">
        <v>4699</v>
      </c>
      <c r="S136">
        <v>1392</v>
      </c>
      <c r="T136">
        <v>124</v>
      </c>
      <c r="U136">
        <f t="shared" si="41"/>
        <v>3949</v>
      </c>
      <c r="V136">
        <f t="shared" si="41"/>
        <v>1423.1</v>
      </c>
      <c r="W136">
        <f t="shared" si="40"/>
        <v>385.05</v>
      </c>
      <c r="X136">
        <f t="shared" si="40"/>
        <v>176.33333333333334</v>
      </c>
      <c r="Y136">
        <f t="shared" si="40"/>
        <v>198.79999999999998</v>
      </c>
      <c r="Z136">
        <f t="shared" si="40"/>
        <v>121.6</v>
      </c>
      <c r="AA136">
        <f t="shared" si="40"/>
        <v>165.55</v>
      </c>
      <c r="AB136">
        <f t="shared" si="40"/>
        <v>175.5</v>
      </c>
      <c r="AC136">
        <f t="shared" si="40"/>
        <v>75.166666666666657</v>
      </c>
      <c r="AD136">
        <f t="shared" si="40"/>
        <v>105.75</v>
      </c>
      <c r="AE136">
        <f t="shared" si="40"/>
        <v>39</v>
      </c>
      <c r="AF136" s="12">
        <f t="shared" ref="AF136:AF199" si="42">SUM(U136:AE136)/$C136</f>
        <v>0.38309348473775934</v>
      </c>
      <c r="AG136">
        <f t="shared" si="28"/>
        <v>3949</v>
      </c>
      <c r="AH136">
        <f t="shared" si="29"/>
        <v>1408.12</v>
      </c>
      <c r="AI136">
        <f t="shared" si="30"/>
        <v>371.46</v>
      </c>
      <c r="AJ136">
        <f t="shared" si="31"/>
        <v>165.6</v>
      </c>
      <c r="AK136">
        <f t="shared" si="32"/>
        <v>181.76</v>
      </c>
      <c r="AL136">
        <f t="shared" si="33"/>
        <v>107.52000000000001</v>
      </c>
      <c r="AM136">
        <f t="shared" si="34"/>
        <v>138.46</v>
      </c>
      <c r="AN136">
        <f t="shared" si="35"/>
        <v>132.60000000000002</v>
      </c>
      <c r="AO136">
        <f t="shared" si="36"/>
        <v>49.199999999999996</v>
      </c>
      <c r="AP136">
        <f t="shared" si="37"/>
        <v>42.300000000000004</v>
      </c>
      <c r="AQ136">
        <f t="shared" si="38"/>
        <v>0.36798133678115696</v>
      </c>
    </row>
    <row r="137" spans="1:43" x14ac:dyDescent="0.35">
      <c r="A137" t="s">
        <v>259</v>
      </c>
      <c r="B137" t="s">
        <v>260</v>
      </c>
      <c r="C137">
        <f>VLOOKUP(CONCATENATE("2024",'2024_60'!A137),aktivnepesseg!$C$2:$D$2226,2,FALSE)</f>
        <v>19921</v>
      </c>
      <c r="D137">
        <f t="shared" ref="D137:D200" si="43">SUM(F137:T137)</f>
        <v>13875</v>
      </c>
      <c r="E137">
        <f t="shared" ref="E137:E200" si="44">C137-D137</f>
        <v>6046</v>
      </c>
      <c r="F137">
        <v>1889</v>
      </c>
      <c r="G137">
        <v>548</v>
      </c>
      <c r="H137">
        <v>293</v>
      </c>
      <c r="I137">
        <v>285</v>
      </c>
      <c r="J137">
        <v>242</v>
      </c>
      <c r="K137">
        <v>461</v>
      </c>
      <c r="L137">
        <v>780</v>
      </c>
      <c r="M137">
        <v>246</v>
      </c>
      <c r="N137">
        <v>425</v>
      </c>
      <c r="O137">
        <v>529</v>
      </c>
      <c r="P137">
        <v>2172</v>
      </c>
      <c r="Q137">
        <v>1417</v>
      </c>
      <c r="R137">
        <v>3724</v>
      </c>
      <c r="S137">
        <v>805</v>
      </c>
      <c r="T137">
        <v>59</v>
      </c>
      <c r="U137">
        <f t="shared" si="41"/>
        <v>6046</v>
      </c>
      <c r="V137">
        <f t="shared" si="41"/>
        <v>1794.55</v>
      </c>
      <c r="W137">
        <f t="shared" si="40"/>
        <v>465.8</v>
      </c>
      <c r="X137">
        <f t="shared" si="40"/>
        <v>224.63333333333335</v>
      </c>
      <c r="Y137">
        <f t="shared" si="40"/>
        <v>199.5</v>
      </c>
      <c r="Z137">
        <f t="shared" si="40"/>
        <v>153.26666666666665</v>
      </c>
      <c r="AA137">
        <f t="shared" si="40"/>
        <v>253.55</v>
      </c>
      <c r="AB137">
        <f t="shared" si="40"/>
        <v>351</v>
      </c>
      <c r="AC137">
        <f t="shared" si="40"/>
        <v>90.199999999999989</v>
      </c>
      <c r="AD137">
        <f t="shared" si="40"/>
        <v>106.25</v>
      </c>
      <c r="AE137">
        <f t="shared" si="40"/>
        <v>44.083333333333329</v>
      </c>
      <c r="AF137" s="12">
        <f t="shared" si="42"/>
        <v>0.48837073105433132</v>
      </c>
      <c r="AG137">
        <f t="shared" ref="AG137:AG200" si="45">E137*E$6</f>
        <v>6046</v>
      </c>
      <c r="AH137">
        <f t="shared" ref="AH137:AH200" si="46">F137*F$6</f>
        <v>1775.6599999999999</v>
      </c>
      <c r="AI137">
        <f t="shared" ref="AI137:AI200" si="47">G137*G$6</f>
        <v>449.35999999999996</v>
      </c>
      <c r="AJ137">
        <f t="shared" ref="AJ137:AJ200" si="48">H137*H$6</f>
        <v>210.95999999999998</v>
      </c>
      <c r="AK137">
        <f t="shared" ref="AK137:AK200" si="49">I137*I$6</f>
        <v>182.4</v>
      </c>
      <c r="AL137">
        <f t="shared" ref="AL137:AL200" si="50">J137*J$6</f>
        <v>135.52000000000001</v>
      </c>
      <c r="AM137">
        <f t="shared" ref="AM137:AM200" si="51">K137*K$6</f>
        <v>212.06</v>
      </c>
      <c r="AN137">
        <f t="shared" ref="AN137:AN200" si="52">L137*L$6</f>
        <v>265.20000000000005</v>
      </c>
      <c r="AO137">
        <f t="shared" ref="AO137:AO200" si="53">M137*M$6</f>
        <v>59.04</v>
      </c>
      <c r="AP137">
        <f t="shared" ref="AP137:AP200" si="54">N137*N$6</f>
        <v>42.5</v>
      </c>
      <c r="AQ137">
        <f t="shared" ref="AQ137:AQ200" si="55">SUM(AG137:AP137)/$C137</f>
        <v>0.47079463882335226</v>
      </c>
    </row>
    <row r="138" spans="1:43" x14ac:dyDescent="0.35">
      <c r="A138" t="s">
        <v>261</v>
      </c>
      <c r="B138" t="s">
        <v>262</v>
      </c>
      <c r="C138">
        <f>VLOOKUP(CONCATENATE("2024",'2024_60'!A138),aktivnepesseg!$C$2:$D$2226,2,FALSE)</f>
        <v>28113</v>
      </c>
      <c r="D138">
        <f t="shared" si="43"/>
        <v>19968</v>
      </c>
      <c r="E138">
        <f t="shared" si="44"/>
        <v>8145</v>
      </c>
      <c r="F138">
        <v>2511</v>
      </c>
      <c r="G138">
        <v>824</v>
      </c>
      <c r="H138">
        <v>415</v>
      </c>
      <c r="I138">
        <v>381</v>
      </c>
      <c r="J138">
        <v>394</v>
      </c>
      <c r="K138">
        <v>684</v>
      </c>
      <c r="L138">
        <v>1275</v>
      </c>
      <c r="M138">
        <v>324</v>
      </c>
      <c r="N138">
        <v>636</v>
      </c>
      <c r="O138">
        <v>629</v>
      </c>
      <c r="P138">
        <v>2541</v>
      </c>
      <c r="Q138">
        <v>2103</v>
      </c>
      <c r="R138">
        <v>5978</v>
      </c>
      <c r="S138">
        <v>1194</v>
      </c>
      <c r="T138">
        <v>79</v>
      </c>
      <c r="U138">
        <f t="shared" si="41"/>
        <v>8145</v>
      </c>
      <c r="V138">
        <f t="shared" si="41"/>
        <v>2385.4499999999998</v>
      </c>
      <c r="W138">
        <f t="shared" si="40"/>
        <v>700.4</v>
      </c>
      <c r="X138">
        <f t="shared" si="40"/>
        <v>318.16666666666669</v>
      </c>
      <c r="Y138">
        <f t="shared" si="40"/>
        <v>266.7</v>
      </c>
      <c r="Z138">
        <f t="shared" si="40"/>
        <v>249.53333333333333</v>
      </c>
      <c r="AA138">
        <f t="shared" si="40"/>
        <v>376.20000000000005</v>
      </c>
      <c r="AB138">
        <f t="shared" si="40"/>
        <v>573.75</v>
      </c>
      <c r="AC138">
        <f t="shared" si="40"/>
        <v>118.8</v>
      </c>
      <c r="AD138">
        <f t="shared" si="40"/>
        <v>159</v>
      </c>
      <c r="AE138">
        <f t="shared" si="40"/>
        <v>52.416666666666664</v>
      </c>
      <c r="AF138" s="12">
        <f t="shared" si="42"/>
        <v>0.47470624503491859</v>
      </c>
      <c r="AG138">
        <f t="shared" si="45"/>
        <v>8145</v>
      </c>
      <c r="AH138">
        <f t="shared" si="46"/>
        <v>2360.3399999999997</v>
      </c>
      <c r="AI138">
        <f t="shared" si="47"/>
        <v>675.68</v>
      </c>
      <c r="AJ138">
        <f t="shared" si="48"/>
        <v>298.8</v>
      </c>
      <c r="AK138">
        <f t="shared" si="49"/>
        <v>243.84</v>
      </c>
      <c r="AL138">
        <f t="shared" si="50"/>
        <v>220.64000000000001</v>
      </c>
      <c r="AM138">
        <f t="shared" si="51"/>
        <v>314.64</v>
      </c>
      <c r="AN138">
        <f t="shared" si="52"/>
        <v>433.50000000000006</v>
      </c>
      <c r="AO138">
        <f t="shared" si="53"/>
        <v>77.759999999999991</v>
      </c>
      <c r="AP138">
        <f t="shared" si="54"/>
        <v>63.6</v>
      </c>
      <c r="AQ138">
        <f t="shared" si="55"/>
        <v>0.45650766549283245</v>
      </c>
    </row>
    <row r="139" spans="1:43" x14ac:dyDescent="0.35">
      <c r="A139" t="s">
        <v>263</v>
      </c>
      <c r="B139" t="s">
        <v>264</v>
      </c>
      <c r="C139">
        <f>VLOOKUP(CONCATENATE("2024",'2024_60'!A139),aktivnepesseg!$C$2:$D$2226,2,FALSE)</f>
        <v>109344</v>
      </c>
      <c r="D139">
        <f t="shared" si="43"/>
        <v>86751</v>
      </c>
      <c r="E139">
        <f t="shared" si="44"/>
        <v>22593</v>
      </c>
      <c r="F139">
        <v>10437</v>
      </c>
      <c r="G139">
        <v>2528</v>
      </c>
      <c r="H139">
        <v>1387</v>
      </c>
      <c r="I139">
        <v>1629</v>
      </c>
      <c r="J139">
        <v>1189</v>
      </c>
      <c r="K139">
        <v>1677</v>
      </c>
      <c r="L139">
        <v>2673</v>
      </c>
      <c r="M139">
        <v>1496</v>
      </c>
      <c r="N139">
        <v>2455</v>
      </c>
      <c r="O139">
        <v>2627</v>
      </c>
      <c r="P139">
        <v>11437</v>
      </c>
      <c r="Q139">
        <v>9210</v>
      </c>
      <c r="R139">
        <v>27655</v>
      </c>
      <c r="S139">
        <v>8684</v>
      </c>
      <c r="T139">
        <v>1667</v>
      </c>
      <c r="U139">
        <f t="shared" si="41"/>
        <v>22593</v>
      </c>
      <c r="V139">
        <f t="shared" si="41"/>
        <v>9915.15</v>
      </c>
      <c r="W139">
        <f t="shared" si="40"/>
        <v>2148.7999999999997</v>
      </c>
      <c r="X139">
        <f t="shared" si="40"/>
        <v>1063.3666666666668</v>
      </c>
      <c r="Y139">
        <f t="shared" si="40"/>
        <v>1140.3</v>
      </c>
      <c r="Z139">
        <f t="shared" si="40"/>
        <v>753.0333333333333</v>
      </c>
      <c r="AA139">
        <f t="shared" si="40"/>
        <v>922.35</v>
      </c>
      <c r="AB139">
        <f t="shared" si="40"/>
        <v>1202.8500000000001</v>
      </c>
      <c r="AC139">
        <f t="shared" si="40"/>
        <v>548.5333333333333</v>
      </c>
      <c r="AD139">
        <f t="shared" si="40"/>
        <v>613.75</v>
      </c>
      <c r="AE139">
        <f t="shared" si="40"/>
        <v>218.91666666666666</v>
      </c>
      <c r="AF139" s="12">
        <f t="shared" si="42"/>
        <v>0.37606132938249931</v>
      </c>
      <c r="AG139">
        <f t="shared" si="45"/>
        <v>22593</v>
      </c>
      <c r="AH139">
        <f t="shared" si="46"/>
        <v>9810.7799999999988</v>
      </c>
      <c r="AI139">
        <f t="shared" si="47"/>
        <v>2072.96</v>
      </c>
      <c r="AJ139">
        <f t="shared" si="48"/>
        <v>998.64</v>
      </c>
      <c r="AK139">
        <f t="shared" si="49"/>
        <v>1042.56</v>
      </c>
      <c r="AL139">
        <f t="shared" si="50"/>
        <v>665.84</v>
      </c>
      <c r="AM139">
        <f t="shared" si="51"/>
        <v>771.42000000000007</v>
      </c>
      <c r="AN139">
        <f t="shared" si="52"/>
        <v>908.82</v>
      </c>
      <c r="AO139">
        <f t="shared" si="53"/>
        <v>359.03999999999996</v>
      </c>
      <c r="AP139">
        <f t="shared" si="54"/>
        <v>245.5</v>
      </c>
      <c r="AQ139">
        <f t="shared" si="55"/>
        <v>0.36095771144278599</v>
      </c>
    </row>
    <row r="140" spans="1:43" x14ac:dyDescent="0.35">
      <c r="A140" t="s">
        <v>265</v>
      </c>
      <c r="B140" t="s">
        <v>266</v>
      </c>
      <c r="C140">
        <f>VLOOKUP(CONCATENATE("2024",'2024_60'!A140),aktivnepesseg!$C$2:$D$2226,2,FALSE)</f>
        <v>30402</v>
      </c>
      <c r="D140">
        <f t="shared" si="43"/>
        <v>24301</v>
      </c>
      <c r="E140">
        <f t="shared" si="44"/>
        <v>6101</v>
      </c>
      <c r="F140">
        <v>3692</v>
      </c>
      <c r="G140">
        <v>717</v>
      </c>
      <c r="H140">
        <v>369</v>
      </c>
      <c r="I140">
        <v>499</v>
      </c>
      <c r="J140">
        <v>341</v>
      </c>
      <c r="K140">
        <v>524</v>
      </c>
      <c r="L140">
        <v>766</v>
      </c>
      <c r="M140">
        <v>427</v>
      </c>
      <c r="N140">
        <v>744</v>
      </c>
      <c r="O140">
        <v>761</v>
      </c>
      <c r="P140">
        <v>3228</v>
      </c>
      <c r="Q140">
        <v>2825</v>
      </c>
      <c r="R140">
        <v>7364</v>
      </c>
      <c r="S140">
        <v>1785</v>
      </c>
      <c r="T140">
        <v>259</v>
      </c>
      <c r="U140">
        <f t="shared" si="41"/>
        <v>6101</v>
      </c>
      <c r="V140">
        <f t="shared" si="41"/>
        <v>3507.3999999999996</v>
      </c>
      <c r="W140">
        <f t="shared" si="40"/>
        <v>609.44999999999993</v>
      </c>
      <c r="X140">
        <f t="shared" si="40"/>
        <v>282.90000000000003</v>
      </c>
      <c r="Y140">
        <f t="shared" si="40"/>
        <v>349.29999999999995</v>
      </c>
      <c r="Z140">
        <f t="shared" si="40"/>
        <v>215.96666666666667</v>
      </c>
      <c r="AA140">
        <f t="shared" si="40"/>
        <v>288.20000000000005</v>
      </c>
      <c r="AB140">
        <f t="shared" si="40"/>
        <v>344.7</v>
      </c>
      <c r="AC140">
        <f t="shared" si="40"/>
        <v>156.56666666666666</v>
      </c>
      <c r="AD140">
        <f t="shared" si="40"/>
        <v>186</v>
      </c>
      <c r="AE140">
        <f t="shared" si="40"/>
        <v>63.416666666666664</v>
      </c>
      <c r="AF140" s="12">
        <f t="shared" si="42"/>
        <v>0.39816130517729104</v>
      </c>
      <c r="AG140">
        <f t="shared" si="45"/>
        <v>6101</v>
      </c>
      <c r="AH140">
        <f t="shared" si="46"/>
        <v>3470.48</v>
      </c>
      <c r="AI140">
        <f t="shared" si="47"/>
        <v>587.93999999999994</v>
      </c>
      <c r="AJ140">
        <f t="shared" si="48"/>
        <v>265.68</v>
      </c>
      <c r="AK140">
        <f t="shared" si="49"/>
        <v>319.36</v>
      </c>
      <c r="AL140">
        <f t="shared" si="50"/>
        <v>190.96</v>
      </c>
      <c r="AM140">
        <f t="shared" si="51"/>
        <v>241.04000000000002</v>
      </c>
      <c r="AN140">
        <f t="shared" si="52"/>
        <v>260.44</v>
      </c>
      <c r="AO140">
        <f t="shared" si="53"/>
        <v>102.47999999999999</v>
      </c>
      <c r="AP140">
        <f t="shared" si="54"/>
        <v>74.400000000000006</v>
      </c>
      <c r="AQ140">
        <f t="shared" si="55"/>
        <v>0.38200710479573713</v>
      </c>
    </row>
    <row r="141" spans="1:43" x14ac:dyDescent="0.35">
      <c r="A141" t="s">
        <v>267</v>
      </c>
      <c r="B141" t="s">
        <v>268</v>
      </c>
      <c r="C141">
        <f>VLOOKUP(CONCATENATE("2024",'2024_60'!A141),aktivnepesseg!$C$2:$D$2226,2,FALSE)</f>
        <v>17110</v>
      </c>
      <c r="D141">
        <f t="shared" si="43"/>
        <v>14004</v>
      </c>
      <c r="E141">
        <f t="shared" si="44"/>
        <v>3106</v>
      </c>
      <c r="F141">
        <v>1190</v>
      </c>
      <c r="G141">
        <v>392</v>
      </c>
      <c r="H141">
        <v>177</v>
      </c>
      <c r="I141">
        <v>234</v>
      </c>
      <c r="J141">
        <v>157</v>
      </c>
      <c r="K141">
        <v>237</v>
      </c>
      <c r="L141">
        <v>281</v>
      </c>
      <c r="M141">
        <v>172</v>
      </c>
      <c r="N141">
        <v>375</v>
      </c>
      <c r="O141">
        <v>420</v>
      </c>
      <c r="P141">
        <v>1450</v>
      </c>
      <c r="Q141">
        <v>1314</v>
      </c>
      <c r="R141">
        <v>5620</v>
      </c>
      <c r="S141">
        <v>1828</v>
      </c>
      <c r="T141">
        <v>157</v>
      </c>
      <c r="U141">
        <f t="shared" si="41"/>
        <v>3106</v>
      </c>
      <c r="V141">
        <f t="shared" si="41"/>
        <v>1130.5</v>
      </c>
      <c r="W141">
        <f t="shared" si="40"/>
        <v>333.2</v>
      </c>
      <c r="X141">
        <f t="shared" si="40"/>
        <v>135.70000000000002</v>
      </c>
      <c r="Y141">
        <f t="shared" si="40"/>
        <v>163.79999999999998</v>
      </c>
      <c r="Z141">
        <f t="shared" si="40"/>
        <v>99.433333333333323</v>
      </c>
      <c r="AA141">
        <f t="shared" si="40"/>
        <v>130.35000000000002</v>
      </c>
      <c r="AB141">
        <f t="shared" si="40"/>
        <v>126.45</v>
      </c>
      <c r="AC141">
        <f t="shared" si="40"/>
        <v>63.066666666666663</v>
      </c>
      <c r="AD141">
        <f t="shared" si="40"/>
        <v>93.75</v>
      </c>
      <c r="AE141">
        <f t="shared" si="40"/>
        <v>35</v>
      </c>
      <c r="AF141" s="12">
        <f t="shared" si="42"/>
        <v>0.31661309175920516</v>
      </c>
      <c r="AG141">
        <f t="shared" si="45"/>
        <v>3106</v>
      </c>
      <c r="AH141">
        <f t="shared" si="46"/>
        <v>1118.5999999999999</v>
      </c>
      <c r="AI141">
        <f t="shared" si="47"/>
        <v>321.44</v>
      </c>
      <c r="AJ141">
        <f t="shared" si="48"/>
        <v>127.44</v>
      </c>
      <c r="AK141">
        <f t="shared" si="49"/>
        <v>149.76</v>
      </c>
      <c r="AL141">
        <f t="shared" si="50"/>
        <v>87.92</v>
      </c>
      <c r="AM141">
        <f t="shared" si="51"/>
        <v>109.02000000000001</v>
      </c>
      <c r="AN141">
        <f t="shared" si="52"/>
        <v>95.54</v>
      </c>
      <c r="AO141">
        <f t="shared" si="53"/>
        <v>41.28</v>
      </c>
      <c r="AP141">
        <f t="shared" si="54"/>
        <v>37.5</v>
      </c>
      <c r="AQ141">
        <f t="shared" si="55"/>
        <v>0.30359438924605492</v>
      </c>
    </row>
    <row r="142" spans="1:43" x14ac:dyDescent="0.35">
      <c r="A142" t="s">
        <v>269</v>
      </c>
      <c r="B142" t="s">
        <v>270</v>
      </c>
      <c r="C142">
        <f>VLOOKUP(CONCATENATE("2024",'2024_60'!A142),aktivnepesseg!$C$2:$D$2226,2,FALSE)</f>
        <v>32848</v>
      </c>
      <c r="D142">
        <f t="shared" si="43"/>
        <v>21289</v>
      </c>
      <c r="E142">
        <f t="shared" si="44"/>
        <v>11559</v>
      </c>
      <c r="F142">
        <v>2774</v>
      </c>
      <c r="G142">
        <v>1225</v>
      </c>
      <c r="H142">
        <v>637</v>
      </c>
      <c r="I142">
        <v>613</v>
      </c>
      <c r="J142">
        <v>509</v>
      </c>
      <c r="K142">
        <v>791</v>
      </c>
      <c r="L142">
        <v>1332</v>
      </c>
      <c r="M142">
        <v>416</v>
      </c>
      <c r="N142">
        <v>747</v>
      </c>
      <c r="O142">
        <v>653</v>
      </c>
      <c r="P142">
        <v>2376</v>
      </c>
      <c r="Q142">
        <v>2201</v>
      </c>
      <c r="R142">
        <v>5627</v>
      </c>
      <c r="S142">
        <v>1298</v>
      </c>
      <c r="T142">
        <v>90</v>
      </c>
      <c r="U142">
        <f t="shared" si="41"/>
        <v>11559</v>
      </c>
      <c r="V142">
        <f t="shared" si="41"/>
        <v>2635.2999999999997</v>
      </c>
      <c r="W142">
        <f t="shared" si="40"/>
        <v>1041.25</v>
      </c>
      <c r="X142">
        <f t="shared" si="40"/>
        <v>488.36666666666667</v>
      </c>
      <c r="Y142">
        <f t="shared" si="40"/>
        <v>429.09999999999997</v>
      </c>
      <c r="Z142">
        <f t="shared" si="40"/>
        <v>322.36666666666667</v>
      </c>
      <c r="AA142">
        <f t="shared" si="40"/>
        <v>435.05</v>
      </c>
      <c r="AB142">
        <f t="shared" si="40"/>
        <v>599.4</v>
      </c>
      <c r="AC142">
        <f t="shared" si="40"/>
        <v>152.53333333333333</v>
      </c>
      <c r="AD142">
        <f t="shared" si="40"/>
        <v>186.75</v>
      </c>
      <c r="AE142">
        <f t="shared" si="40"/>
        <v>54.416666666666664</v>
      </c>
      <c r="AF142" s="12">
        <f t="shared" si="42"/>
        <v>0.54504180873518426</v>
      </c>
      <c r="AG142">
        <f t="shared" si="45"/>
        <v>11559</v>
      </c>
      <c r="AH142">
        <f t="shared" si="46"/>
        <v>2607.56</v>
      </c>
      <c r="AI142">
        <f t="shared" si="47"/>
        <v>1004.4999999999999</v>
      </c>
      <c r="AJ142">
        <f t="shared" si="48"/>
        <v>458.64</v>
      </c>
      <c r="AK142">
        <f t="shared" si="49"/>
        <v>392.32</v>
      </c>
      <c r="AL142">
        <f t="shared" si="50"/>
        <v>285.04000000000002</v>
      </c>
      <c r="AM142">
        <f t="shared" si="51"/>
        <v>363.86</v>
      </c>
      <c r="AN142">
        <f t="shared" si="52"/>
        <v>452.88000000000005</v>
      </c>
      <c r="AO142">
        <f t="shared" si="53"/>
        <v>99.84</v>
      </c>
      <c r="AP142">
        <f t="shared" si="54"/>
        <v>74.7</v>
      </c>
      <c r="AQ142">
        <f t="shared" si="55"/>
        <v>0.52661775450560155</v>
      </c>
    </row>
    <row r="143" spans="1:43" x14ac:dyDescent="0.35">
      <c r="A143" t="s">
        <v>271</v>
      </c>
      <c r="B143" t="s">
        <v>272</v>
      </c>
      <c r="C143">
        <f>VLOOKUP(CONCATENATE("2024",'2024_60'!A143),aktivnepesseg!$C$2:$D$2226,2,FALSE)</f>
        <v>29846</v>
      </c>
      <c r="D143">
        <f t="shared" si="43"/>
        <v>24575</v>
      </c>
      <c r="E143">
        <f t="shared" si="44"/>
        <v>5271</v>
      </c>
      <c r="F143">
        <v>3112</v>
      </c>
      <c r="G143">
        <v>633</v>
      </c>
      <c r="H143">
        <v>344</v>
      </c>
      <c r="I143">
        <v>394</v>
      </c>
      <c r="J143">
        <v>274</v>
      </c>
      <c r="K143">
        <v>383</v>
      </c>
      <c r="L143">
        <v>625</v>
      </c>
      <c r="M143">
        <v>292</v>
      </c>
      <c r="N143">
        <v>697</v>
      </c>
      <c r="O143">
        <v>741</v>
      </c>
      <c r="P143">
        <v>2933</v>
      </c>
      <c r="Q143">
        <v>2308</v>
      </c>
      <c r="R143">
        <v>6935</v>
      </c>
      <c r="S143">
        <v>3763</v>
      </c>
      <c r="T143">
        <v>1141</v>
      </c>
      <c r="U143">
        <f t="shared" si="41"/>
        <v>5271</v>
      </c>
      <c r="V143">
        <f t="shared" si="41"/>
        <v>2956.3999999999996</v>
      </c>
      <c r="W143">
        <f t="shared" si="40"/>
        <v>538.04999999999995</v>
      </c>
      <c r="X143">
        <f t="shared" si="40"/>
        <v>263.73333333333335</v>
      </c>
      <c r="Y143">
        <f t="shared" si="40"/>
        <v>275.79999999999995</v>
      </c>
      <c r="Z143">
        <f t="shared" si="40"/>
        <v>173.53333333333333</v>
      </c>
      <c r="AA143">
        <f t="shared" si="40"/>
        <v>210.65</v>
      </c>
      <c r="AB143">
        <f t="shared" si="40"/>
        <v>281.25</v>
      </c>
      <c r="AC143">
        <f t="shared" si="40"/>
        <v>107.06666666666666</v>
      </c>
      <c r="AD143">
        <f t="shared" si="40"/>
        <v>174.25</v>
      </c>
      <c r="AE143">
        <f t="shared" si="40"/>
        <v>61.75</v>
      </c>
      <c r="AF143" s="12">
        <f t="shared" si="42"/>
        <v>0.34555663517165891</v>
      </c>
      <c r="AG143">
        <f t="shared" si="45"/>
        <v>5271</v>
      </c>
      <c r="AH143">
        <f t="shared" si="46"/>
        <v>2925.2799999999997</v>
      </c>
      <c r="AI143">
        <f t="shared" si="47"/>
        <v>519.05999999999995</v>
      </c>
      <c r="AJ143">
        <f t="shared" si="48"/>
        <v>247.67999999999998</v>
      </c>
      <c r="AK143">
        <f t="shared" si="49"/>
        <v>252.16</v>
      </c>
      <c r="AL143">
        <f t="shared" si="50"/>
        <v>153.44000000000003</v>
      </c>
      <c r="AM143">
        <f t="shared" si="51"/>
        <v>176.18</v>
      </c>
      <c r="AN143">
        <f t="shared" si="52"/>
        <v>212.50000000000003</v>
      </c>
      <c r="AO143">
        <f t="shared" si="53"/>
        <v>70.08</v>
      </c>
      <c r="AP143">
        <f t="shared" si="54"/>
        <v>69.7</v>
      </c>
      <c r="AQ143">
        <f t="shared" si="55"/>
        <v>0.33160490517992358</v>
      </c>
    </row>
    <row r="144" spans="1:43" x14ac:dyDescent="0.35">
      <c r="A144" t="s">
        <v>273</v>
      </c>
      <c r="B144" t="s">
        <v>274</v>
      </c>
      <c r="C144">
        <f>VLOOKUP(CONCATENATE("2024",'2024_60'!A144),aktivnepesseg!$C$2:$D$2226,2,FALSE)</f>
        <v>10642</v>
      </c>
      <c r="D144">
        <f t="shared" si="43"/>
        <v>8696</v>
      </c>
      <c r="E144">
        <f t="shared" si="44"/>
        <v>1946</v>
      </c>
      <c r="F144">
        <v>840</v>
      </c>
      <c r="G144">
        <v>233</v>
      </c>
      <c r="H144">
        <v>127</v>
      </c>
      <c r="I144">
        <v>107</v>
      </c>
      <c r="J144">
        <v>100</v>
      </c>
      <c r="K144">
        <v>126</v>
      </c>
      <c r="L144">
        <v>200</v>
      </c>
      <c r="M144">
        <v>102</v>
      </c>
      <c r="N144">
        <v>226</v>
      </c>
      <c r="O144">
        <v>241</v>
      </c>
      <c r="P144">
        <v>1099</v>
      </c>
      <c r="Q144">
        <v>966</v>
      </c>
      <c r="R144">
        <v>2916</v>
      </c>
      <c r="S144">
        <v>1254</v>
      </c>
      <c r="T144">
        <v>159</v>
      </c>
      <c r="U144">
        <f t="shared" si="41"/>
        <v>1946</v>
      </c>
      <c r="V144">
        <f t="shared" si="41"/>
        <v>798</v>
      </c>
      <c r="W144">
        <f t="shared" si="40"/>
        <v>198.04999999999998</v>
      </c>
      <c r="X144">
        <f t="shared" si="40"/>
        <v>97.366666666666674</v>
      </c>
      <c r="Y144">
        <f t="shared" si="40"/>
        <v>74.899999999999991</v>
      </c>
      <c r="Z144">
        <f t="shared" si="40"/>
        <v>63.333333333333329</v>
      </c>
      <c r="AA144">
        <f t="shared" si="40"/>
        <v>69.300000000000011</v>
      </c>
      <c r="AB144">
        <f t="shared" si="40"/>
        <v>90</v>
      </c>
      <c r="AC144">
        <f t="shared" si="40"/>
        <v>37.4</v>
      </c>
      <c r="AD144">
        <f t="shared" si="40"/>
        <v>56.5</v>
      </c>
      <c r="AE144">
        <f t="shared" si="40"/>
        <v>20.083333333333332</v>
      </c>
      <c r="AF144" s="12">
        <f t="shared" si="42"/>
        <v>0.32427488567311918</v>
      </c>
      <c r="AG144">
        <f t="shared" si="45"/>
        <v>1946</v>
      </c>
      <c r="AH144">
        <f t="shared" si="46"/>
        <v>789.59999999999991</v>
      </c>
      <c r="AI144">
        <f t="shared" si="47"/>
        <v>191.06</v>
      </c>
      <c r="AJ144">
        <f t="shared" si="48"/>
        <v>91.44</v>
      </c>
      <c r="AK144">
        <f t="shared" si="49"/>
        <v>68.48</v>
      </c>
      <c r="AL144">
        <f t="shared" si="50"/>
        <v>56.000000000000007</v>
      </c>
      <c r="AM144">
        <f t="shared" si="51"/>
        <v>57.96</v>
      </c>
      <c r="AN144">
        <f t="shared" si="52"/>
        <v>68</v>
      </c>
      <c r="AO144">
        <f t="shared" si="53"/>
        <v>24.48</v>
      </c>
      <c r="AP144">
        <f t="shared" si="54"/>
        <v>22.6</v>
      </c>
      <c r="AQ144">
        <f t="shared" si="55"/>
        <v>0.31155985716970491</v>
      </c>
    </row>
    <row r="145" spans="1:43" x14ac:dyDescent="0.35">
      <c r="A145" t="s">
        <v>275</v>
      </c>
      <c r="B145" t="s">
        <v>276</v>
      </c>
      <c r="C145">
        <f>VLOOKUP(CONCATENATE("2024",'2024_60'!A145),aktivnepesseg!$C$2:$D$2226,2,FALSE)</f>
        <v>35995</v>
      </c>
      <c r="D145">
        <f t="shared" si="43"/>
        <v>28601</v>
      </c>
      <c r="E145">
        <f t="shared" si="44"/>
        <v>7394</v>
      </c>
      <c r="F145">
        <v>3144</v>
      </c>
      <c r="G145">
        <v>871</v>
      </c>
      <c r="H145">
        <v>480</v>
      </c>
      <c r="I145">
        <v>600</v>
      </c>
      <c r="J145">
        <v>347</v>
      </c>
      <c r="K145">
        <v>507</v>
      </c>
      <c r="L145">
        <v>879</v>
      </c>
      <c r="M145">
        <v>387</v>
      </c>
      <c r="N145">
        <v>820</v>
      </c>
      <c r="O145">
        <v>871</v>
      </c>
      <c r="P145">
        <v>3344</v>
      </c>
      <c r="Q145">
        <v>3181</v>
      </c>
      <c r="R145">
        <v>10210</v>
      </c>
      <c r="S145">
        <v>2630</v>
      </c>
      <c r="T145">
        <v>330</v>
      </c>
      <c r="U145">
        <f t="shared" si="41"/>
        <v>7394</v>
      </c>
      <c r="V145">
        <f t="shared" si="41"/>
        <v>2986.7999999999997</v>
      </c>
      <c r="W145">
        <f t="shared" si="40"/>
        <v>740.35</v>
      </c>
      <c r="X145">
        <f t="shared" si="40"/>
        <v>368</v>
      </c>
      <c r="Y145">
        <f t="shared" si="40"/>
        <v>420</v>
      </c>
      <c r="Z145">
        <f t="shared" si="40"/>
        <v>219.76666666666665</v>
      </c>
      <c r="AA145">
        <f t="shared" si="40"/>
        <v>278.85000000000002</v>
      </c>
      <c r="AB145">
        <f t="shared" si="40"/>
        <v>395.55</v>
      </c>
      <c r="AC145">
        <f t="shared" si="40"/>
        <v>141.89999999999998</v>
      </c>
      <c r="AD145">
        <f t="shared" si="40"/>
        <v>205</v>
      </c>
      <c r="AE145">
        <f t="shared" si="40"/>
        <v>72.583333333333329</v>
      </c>
      <c r="AF145" s="12">
        <f t="shared" si="42"/>
        <v>0.36735102097513539</v>
      </c>
      <c r="AG145">
        <f t="shared" si="45"/>
        <v>7394</v>
      </c>
      <c r="AH145">
        <f t="shared" si="46"/>
        <v>2955.3599999999997</v>
      </c>
      <c r="AI145">
        <f t="shared" si="47"/>
        <v>714.21999999999991</v>
      </c>
      <c r="AJ145">
        <f t="shared" si="48"/>
        <v>345.59999999999997</v>
      </c>
      <c r="AK145">
        <f t="shared" si="49"/>
        <v>384</v>
      </c>
      <c r="AL145">
        <f t="shared" si="50"/>
        <v>194.32000000000002</v>
      </c>
      <c r="AM145">
        <f t="shared" si="51"/>
        <v>233.22</v>
      </c>
      <c r="AN145">
        <f t="shared" si="52"/>
        <v>298.86</v>
      </c>
      <c r="AO145">
        <f t="shared" si="53"/>
        <v>92.88</v>
      </c>
      <c r="AP145">
        <f t="shared" si="54"/>
        <v>82</v>
      </c>
      <c r="AQ145">
        <f t="shared" si="55"/>
        <v>0.35267287123211555</v>
      </c>
    </row>
    <row r="146" spans="1:43" x14ac:dyDescent="0.35">
      <c r="A146" t="s">
        <v>277</v>
      </c>
      <c r="B146" t="s">
        <v>278</v>
      </c>
      <c r="C146">
        <f>VLOOKUP(CONCATENATE("2024",'2024_60'!A146),aktivnepesseg!$C$2:$D$2226,2,FALSE)</f>
        <v>19180</v>
      </c>
      <c r="D146">
        <f t="shared" si="43"/>
        <v>14878</v>
      </c>
      <c r="E146">
        <f t="shared" si="44"/>
        <v>4302</v>
      </c>
      <c r="F146">
        <v>1647</v>
      </c>
      <c r="G146">
        <v>548</v>
      </c>
      <c r="H146">
        <v>276</v>
      </c>
      <c r="I146">
        <v>340</v>
      </c>
      <c r="J146">
        <v>260</v>
      </c>
      <c r="K146">
        <v>364</v>
      </c>
      <c r="L146">
        <v>570</v>
      </c>
      <c r="M146">
        <v>267</v>
      </c>
      <c r="N146">
        <v>491</v>
      </c>
      <c r="O146">
        <v>489</v>
      </c>
      <c r="P146">
        <v>2147</v>
      </c>
      <c r="Q146">
        <v>1491</v>
      </c>
      <c r="R146">
        <v>4582</v>
      </c>
      <c r="S146">
        <v>1291</v>
      </c>
      <c r="T146">
        <v>115</v>
      </c>
      <c r="U146">
        <f t="shared" si="41"/>
        <v>4302</v>
      </c>
      <c r="V146">
        <f t="shared" si="41"/>
        <v>1564.6499999999999</v>
      </c>
      <c r="W146">
        <f t="shared" si="40"/>
        <v>465.8</v>
      </c>
      <c r="X146">
        <f t="shared" si="40"/>
        <v>211.60000000000002</v>
      </c>
      <c r="Y146">
        <f t="shared" si="40"/>
        <v>237.99999999999997</v>
      </c>
      <c r="Z146">
        <f t="shared" si="40"/>
        <v>164.66666666666666</v>
      </c>
      <c r="AA146">
        <f t="shared" si="40"/>
        <v>200.20000000000002</v>
      </c>
      <c r="AB146">
        <f t="shared" si="40"/>
        <v>256.5</v>
      </c>
      <c r="AC146">
        <f t="shared" si="40"/>
        <v>97.899999999999991</v>
      </c>
      <c r="AD146">
        <f t="shared" si="40"/>
        <v>122.75</v>
      </c>
      <c r="AE146">
        <f t="shared" si="40"/>
        <v>40.75</v>
      </c>
      <c r="AF146" s="12">
        <f t="shared" si="42"/>
        <v>0.39962547792839764</v>
      </c>
      <c r="AG146">
        <f t="shared" si="45"/>
        <v>4302</v>
      </c>
      <c r="AH146">
        <f t="shared" si="46"/>
        <v>1548.1799999999998</v>
      </c>
      <c r="AI146">
        <f t="shared" si="47"/>
        <v>449.35999999999996</v>
      </c>
      <c r="AJ146">
        <f t="shared" si="48"/>
        <v>198.72</v>
      </c>
      <c r="AK146">
        <f t="shared" si="49"/>
        <v>217.6</v>
      </c>
      <c r="AL146">
        <f t="shared" si="50"/>
        <v>145.60000000000002</v>
      </c>
      <c r="AM146">
        <f t="shared" si="51"/>
        <v>167.44</v>
      </c>
      <c r="AN146">
        <f t="shared" si="52"/>
        <v>193.8</v>
      </c>
      <c r="AO146">
        <f t="shared" si="53"/>
        <v>64.08</v>
      </c>
      <c r="AP146">
        <f t="shared" si="54"/>
        <v>49.1</v>
      </c>
      <c r="AQ146">
        <f t="shared" si="55"/>
        <v>0.38247549530761216</v>
      </c>
    </row>
    <row r="147" spans="1:43" x14ac:dyDescent="0.35">
      <c r="A147" t="s">
        <v>279</v>
      </c>
      <c r="B147" t="s">
        <v>280</v>
      </c>
      <c r="C147">
        <f>VLOOKUP(CONCATENATE("2024",'2024_60'!A147),aktivnepesseg!$C$2:$D$2226,2,FALSE)</f>
        <v>114495</v>
      </c>
      <c r="D147">
        <f t="shared" si="43"/>
        <v>85012</v>
      </c>
      <c r="E147">
        <f t="shared" si="44"/>
        <v>29483</v>
      </c>
      <c r="F147">
        <v>9132</v>
      </c>
      <c r="G147">
        <v>2624</v>
      </c>
      <c r="H147">
        <v>1415</v>
      </c>
      <c r="I147">
        <v>1675</v>
      </c>
      <c r="J147">
        <v>1241</v>
      </c>
      <c r="K147">
        <v>1733</v>
      </c>
      <c r="L147">
        <v>2393</v>
      </c>
      <c r="M147">
        <v>1334</v>
      </c>
      <c r="N147">
        <v>2397</v>
      </c>
      <c r="O147">
        <v>2530</v>
      </c>
      <c r="P147">
        <v>9469</v>
      </c>
      <c r="Q147">
        <v>8716</v>
      </c>
      <c r="R147">
        <v>27822</v>
      </c>
      <c r="S147">
        <v>10056</v>
      </c>
      <c r="T147">
        <v>2475</v>
      </c>
      <c r="U147">
        <f t="shared" si="41"/>
        <v>29483</v>
      </c>
      <c r="V147">
        <f t="shared" si="41"/>
        <v>8675.4</v>
      </c>
      <c r="W147">
        <f t="shared" si="40"/>
        <v>2230.4</v>
      </c>
      <c r="X147">
        <f t="shared" si="40"/>
        <v>1084.8333333333335</v>
      </c>
      <c r="Y147">
        <f t="shared" si="40"/>
        <v>1172.5</v>
      </c>
      <c r="Z147">
        <f t="shared" ref="Z147:AE178" si="56">J147*J$5</f>
        <v>785.96666666666658</v>
      </c>
      <c r="AA147">
        <f t="shared" si="56"/>
        <v>953.15000000000009</v>
      </c>
      <c r="AB147">
        <f t="shared" si="56"/>
        <v>1076.8500000000001</v>
      </c>
      <c r="AC147">
        <f t="shared" si="56"/>
        <v>489.13333333333333</v>
      </c>
      <c r="AD147">
        <f t="shared" si="56"/>
        <v>599.25</v>
      </c>
      <c r="AE147">
        <f t="shared" si="56"/>
        <v>210.83333333333331</v>
      </c>
      <c r="AF147" s="12">
        <f t="shared" si="42"/>
        <v>0.40841361340378768</v>
      </c>
      <c r="AG147">
        <f t="shared" si="45"/>
        <v>29483</v>
      </c>
      <c r="AH147">
        <f t="shared" si="46"/>
        <v>8584.08</v>
      </c>
      <c r="AI147">
        <f t="shared" si="47"/>
        <v>2151.6799999999998</v>
      </c>
      <c r="AJ147">
        <f t="shared" si="48"/>
        <v>1018.8</v>
      </c>
      <c r="AK147">
        <f t="shared" si="49"/>
        <v>1072</v>
      </c>
      <c r="AL147">
        <f t="shared" si="50"/>
        <v>694.96</v>
      </c>
      <c r="AM147">
        <f t="shared" si="51"/>
        <v>797.18000000000006</v>
      </c>
      <c r="AN147">
        <f t="shared" si="52"/>
        <v>813.62</v>
      </c>
      <c r="AO147">
        <f t="shared" si="53"/>
        <v>320.15999999999997</v>
      </c>
      <c r="AP147">
        <f t="shared" si="54"/>
        <v>239.70000000000002</v>
      </c>
      <c r="AQ147">
        <f t="shared" si="55"/>
        <v>0.39456028647539199</v>
      </c>
    </row>
    <row r="148" spans="1:43" x14ac:dyDescent="0.35">
      <c r="A148" t="s">
        <v>281</v>
      </c>
      <c r="B148" t="s">
        <v>282</v>
      </c>
      <c r="C148">
        <f>VLOOKUP(CONCATENATE("2024",'2024_60'!A148),aktivnepesseg!$C$2:$D$2226,2,FALSE)</f>
        <v>7352</v>
      </c>
      <c r="D148">
        <f t="shared" si="43"/>
        <v>5292</v>
      </c>
      <c r="E148">
        <f t="shared" si="44"/>
        <v>2060</v>
      </c>
      <c r="F148">
        <v>708</v>
      </c>
      <c r="G148">
        <v>164</v>
      </c>
      <c r="H148">
        <v>80</v>
      </c>
      <c r="I148">
        <v>77</v>
      </c>
      <c r="J148">
        <v>71</v>
      </c>
      <c r="K148">
        <v>105</v>
      </c>
      <c r="L148">
        <v>181</v>
      </c>
      <c r="M148">
        <v>86</v>
      </c>
      <c r="N148">
        <v>169</v>
      </c>
      <c r="O148">
        <v>186</v>
      </c>
      <c r="P148">
        <v>717</v>
      </c>
      <c r="Q148">
        <v>613</v>
      </c>
      <c r="R148">
        <v>1675</v>
      </c>
      <c r="S148">
        <v>415</v>
      </c>
      <c r="T148">
        <v>45</v>
      </c>
      <c r="U148">
        <f t="shared" si="41"/>
        <v>2060</v>
      </c>
      <c r="V148">
        <f t="shared" si="41"/>
        <v>672.6</v>
      </c>
      <c r="W148">
        <f t="shared" si="41"/>
        <v>139.4</v>
      </c>
      <c r="X148">
        <f t="shared" si="41"/>
        <v>61.333333333333336</v>
      </c>
      <c r="Y148">
        <f t="shared" si="41"/>
        <v>53.9</v>
      </c>
      <c r="Z148">
        <f t="shared" si="56"/>
        <v>44.966666666666661</v>
      </c>
      <c r="AA148">
        <f t="shared" si="56"/>
        <v>57.750000000000007</v>
      </c>
      <c r="AB148">
        <f t="shared" si="56"/>
        <v>81.45</v>
      </c>
      <c r="AC148">
        <f t="shared" si="56"/>
        <v>31.533333333333331</v>
      </c>
      <c r="AD148">
        <f t="shared" si="56"/>
        <v>42.25</v>
      </c>
      <c r="AE148">
        <f t="shared" si="56"/>
        <v>15.5</v>
      </c>
      <c r="AF148" s="12">
        <f t="shared" si="42"/>
        <v>0.44350970257526295</v>
      </c>
      <c r="AG148">
        <f t="shared" si="45"/>
        <v>2060</v>
      </c>
      <c r="AH148">
        <f t="shared" si="46"/>
        <v>665.52</v>
      </c>
      <c r="AI148">
        <f t="shared" si="47"/>
        <v>134.47999999999999</v>
      </c>
      <c r="AJ148">
        <f t="shared" si="48"/>
        <v>57.599999999999994</v>
      </c>
      <c r="AK148">
        <f t="shared" si="49"/>
        <v>49.28</v>
      </c>
      <c r="AL148">
        <f t="shared" si="50"/>
        <v>39.760000000000005</v>
      </c>
      <c r="AM148">
        <f t="shared" si="51"/>
        <v>48.300000000000004</v>
      </c>
      <c r="AN148">
        <f t="shared" si="52"/>
        <v>61.540000000000006</v>
      </c>
      <c r="AO148">
        <f t="shared" si="53"/>
        <v>20.64</v>
      </c>
      <c r="AP148">
        <f t="shared" si="54"/>
        <v>16.900000000000002</v>
      </c>
      <c r="AQ148">
        <f t="shared" si="55"/>
        <v>0.42900163220892279</v>
      </c>
    </row>
    <row r="149" spans="1:43" x14ac:dyDescent="0.35">
      <c r="A149" t="s">
        <v>283</v>
      </c>
      <c r="B149" t="s">
        <v>284</v>
      </c>
      <c r="C149">
        <f>VLOOKUP(CONCATENATE("2024",'2024_60'!A149),aktivnepesseg!$C$2:$D$2226,2,FALSE)</f>
        <v>11998</v>
      </c>
      <c r="D149">
        <f t="shared" si="43"/>
        <v>8978</v>
      </c>
      <c r="E149">
        <f t="shared" si="44"/>
        <v>3020</v>
      </c>
      <c r="F149">
        <v>1144</v>
      </c>
      <c r="G149">
        <v>394</v>
      </c>
      <c r="H149">
        <v>184</v>
      </c>
      <c r="I149">
        <v>230</v>
      </c>
      <c r="J149">
        <v>149</v>
      </c>
      <c r="K149">
        <v>228</v>
      </c>
      <c r="L149">
        <v>391</v>
      </c>
      <c r="M149">
        <v>157</v>
      </c>
      <c r="N149">
        <v>269</v>
      </c>
      <c r="O149">
        <v>275</v>
      </c>
      <c r="P149">
        <v>1201</v>
      </c>
      <c r="Q149">
        <v>1024</v>
      </c>
      <c r="R149">
        <v>2666</v>
      </c>
      <c r="S149">
        <v>606</v>
      </c>
      <c r="T149">
        <v>60</v>
      </c>
      <c r="U149">
        <f t="shared" si="41"/>
        <v>3020</v>
      </c>
      <c r="V149">
        <f t="shared" si="41"/>
        <v>1086.8</v>
      </c>
      <c r="W149">
        <f t="shared" si="41"/>
        <v>334.9</v>
      </c>
      <c r="X149">
        <f t="shared" si="41"/>
        <v>141.06666666666666</v>
      </c>
      <c r="Y149">
        <f t="shared" si="41"/>
        <v>161</v>
      </c>
      <c r="Z149">
        <f t="shared" si="56"/>
        <v>94.36666666666666</v>
      </c>
      <c r="AA149">
        <f t="shared" si="56"/>
        <v>125.4</v>
      </c>
      <c r="AB149">
        <f t="shared" si="56"/>
        <v>175.95000000000002</v>
      </c>
      <c r="AC149">
        <f t="shared" si="56"/>
        <v>57.566666666666663</v>
      </c>
      <c r="AD149">
        <f t="shared" si="56"/>
        <v>67.25</v>
      </c>
      <c r="AE149">
        <f t="shared" si="56"/>
        <v>22.916666666666664</v>
      </c>
      <c r="AF149" s="12">
        <f t="shared" si="42"/>
        <v>0.44067483469467128</v>
      </c>
      <c r="AG149">
        <f t="shared" si="45"/>
        <v>3020</v>
      </c>
      <c r="AH149">
        <f t="shared" si="46"/>
        <v>1075.3599999999999</v>
      </c>
      <c r="AI149">
        <f t="shared" si="47"/>
        <v>323.08</v>
      </c>
      <c r="AJ149">
        <f t="shared" si="48"/>
        <v>132.47999999999999</v>
      </c>
      <c r="AK149">
        <f t="shared" si="49"/>
        <v>147.20000000000002</v>
      </c>
      <c r="AL149">
        <f t="shared" si="50"/>
        <v>83.440000000000012</v>
      </c>
      <c r="AM149">
        <f t="shared" si="51"/>
        <v>104.88000000000001</v>
      </c>
      <c r="AN149">
        <f t="shared" si="52"/>
        <v>132.94</v>
      </c>
      <c r="AO149">
        <f t="shared" si="53"/>
        <v>37.68</v>
      </c>
      <c r="AP149">
        <f t="shared" si="54"/>
        <v>26.900000000000002</v>
      </c>
      <c r="AQ149">
        <f t="shared" si="55"/>
        <v>0.42373395565927641</v>
      </c>
    </row>
    <row r="150" spans="1:43" x14ac:dyDescent="0.35">
      <c r="A150" t="s">
        <v>285</v>
      </c>
      <c r="B150" t="s">
        <v>286</v>
      </c>
      <c r="C150">
        <f>VLOOKUP(CONCATENATE("2024",'2024_60'!A150),aktivnepesseg!$C$2:$D$2226,2,FALSE)</f>
        <v>38568</v>
      </c>
      <c r="D150">
        <f t="shared" si="43"/>
        <v>31399</v>
      </c>
      <c r="E150">
        <f t="shared" si="44"/>
        <v>7169</v>
      </c>
      <c r="F150">
        <v>2944</v>
      </c>
      <c r="G150">
        <v>798</v>
      </c>
      <c r="H150">
        <v>464</v>
      </c>
      <c r="I150">
        <v>648</v>
      </c>
      <c r="J150">
        <v>423</v>
      </c>
      <c r="K150">
        <v>590</v>
      </c>
      <c r="L150">
        <v>763</v>
      </c>
      <c r="M150">
        <v>547</v>
      </c>
      <c r="N150">
        <v>912</v>
      </c>
      <c r="O150">
        <v>943</v>
      </c>
      <c r="P150">
        <v>4173</v>
      </c>
      <c r="Q150">
        <v>2606</v>
      </c>
      <c r="R150">
        <v>8891</v>
      </c>
      <c r="S150">
        <v>4768</v>
      </c>
      <c r="T150">
        <v>1929</v>
      </c>
      <c r="U150">
        <f t="shared" si="41"/>
        <v>7169</v>
      </c>
      <c r="V150">
        <f t="shared" si="41"/>
        <v>2796.7999999999997</v>
      </c>
      <c r="W150">
        <f t="shared" si="41"/>
        <v>678.3</v>
      </c>
      <c r="X150">
        <f t="shared" si="41"/>
        <v>355.73333333333335</v>
      </c>
      <c r="Y150">
        <f t="shared" si="41"/>
        <v>453.59999999999997</v>
      </c>
      <c r="Z150">
        <f t="shared" si="56"/>
        <v>267.89999999999998</v>
      </c>
      <c r="AA150">
        <f t="shared" si="56"/>
        <v>324.5</v>
      </c>
      <c r="AB150">
        <f t="shared" si="56"/>
        <v>343.35</v>
      </c>
      <c r="AC150">
        <f t="shared" si="56"/>
        <v>200.56666666666666</v>
      </c>
      <c r="AD150">
        <f t="shared" si="56"/>
        <v>228</v>
      </c>
      <c r="AE150">
        <f t="shared" si="56"/>
        <v>78.583333333333329</v>
      </c>
      <c r="AF150" s="12">
        <f t="shared" si="42"/>
        <v>0.33437910530318748</v>
      </c>
      <c r="AG150">
        <f t="shared" si="45"/>
        <v>7169</v>
      </c>
      <c r="AH150">
        <f t="shared" si="46"/>
        <v>2767.3599999999997</v>
      </c>
      <c r="AI150">
        <f t="shared" si="47"/>
        <v>654.36</v>
      </c>
      <c r="AJ150">
        <f t="shared" si="48"/>
        <v>334.08</v>
      </c>
      <c r="AK150">
        <f t="shared" si="49"/>
        <v>414.72</v>
      </c>
      <c r="AL150">
        <f t="shared" si="50"/>
        <v>236.88000000000002</v>
      </c>
      <c r="AM150">
        <f t="shared" si="51"/>
        <v>271.40000000000003</v>
      </c>
      <c r="AN150">
        <f t="shared" si="52"/>
        <v>259.42</v>
      </c>
      <c r="AO150">
        <f t="shared" si="53"/>
        <v>131.28</v>
      </c>
      <c r="AP150">
        <f t="shared" si="54"/>
        <v>91.2</v>
      </c>
      <c r="AQ150">
        <f t="shared" si="55"/>
        <v>0.31968730553827007</v>
      </c>
    </row>
    <row r="151" spans="1:43" x14ac:dyDescent="0.35">
      <c r="A151" t="s">
        <v>287</v>
      </c>
      <c r="B151" t="s">
        <v>288</v>
      </c>
      <c r="C151">
        <f>VLOOKUP(CONCATENATE("2024",'2024_60'!A151),aktivnepesseg!$C$2:$D$2226,2,FALSE)</f>
        <v>12036</v>
      </c>
      <c r="D151">
        <f t="shared" si="43"/>
        <v>8388</v>
      </c>
      <c r="E151">
        <f t="shared" si="44"/>
        <v>3648</v>
      </c>
      <c r="F151">
        <v>952</v>
      </c>
      <c r="G151">
        <v>371</v>
      </c>
      <c r="H151">
        <v>233</v>
      </c>
      <c r="I151">
        <v>199</v>
      </c>
      <c r="J151">
        <v>198</v>
      </c>
      <c r="K151">
        <v>327</v>
      </c>
      <c r="L151">
        <v>667</v>
      </c>
      <c r="M151">
        <v>153</v>
      </c>
      <c r="N151">
        <v>275</v>
      </c>
      <c r="O151">
        <v>290</v>
      </c>
      <c r="P151">
        <v>989</v>
      </c>
      <c r="Q151">
        <v>828</v>
      </c>
      <c r="R151">
        <v>2225</v>
      </c>
      <c r="S151">
        <v>661</v>
      </c>
      <c r="T151">
        <v>20</v>
      </c>
      <c r="U151">
        <f t="shared" si="41"/>
        <v>3648</v>
      </c>
      <c r="V151">
        <f t="shared" si="41"/>
        <v>904.4</v>
      </c>
      <c r="W151">
        <f t="shared" si="41"/>
        <v>315.34999999999997</v>
      </c>
      <c r="X151">
        <f t="shared" si="41"/>
        <v>178.63333333333335</v>
      </c>
      <c r="Y151">
        <f t="shared" si="41"/>
        <v>139.29999999999998</v>
      </c>
      <c r="Z151">
        <f t="shared" si="56"/>
        <v>125.39999999999999</v>
      </c>
      <c r="AA151">
        <f t="shared" si="56"/>
        <v>179.85000000000002</v>
      </c>
      <c r="AB151">
        <f t="shared" si="56"/>
        <v>300.15000000000003</v>
      </c>
      <c r="AC151">
        <f t="shared" si="56"/>
        <v>56.099999999999994</v>
      </c>
      <c r="AD151">
        <f t="shared" si="56"/>
        <v>68.75</v>
      </c>
      <c r="AE151">
        <f t="shared" si="56"/>
        <v>24.166666666666664</v>
      </c>
      <c r="AF151" s="12">
        <f t="shared" si="42"/>
        <v>0.49352775008308414</v>
      </c>
      <c r="AG151">
        <f t="shared" si="45"/>
        <v>3648</v>
      </c>
      <c r="AH151">
        <f t="shared" si="46"/>
        <v>894.88</v>
      </c>
      <c r="AI151">
        <f t="shared" si="47"/>
        <v>304.21999999999997</v>
      </c>
      <c r="AJ151">
        <f t="shared" si="48"/>
        <v>167.76</v>
      </c>
      <c r="AK151">
        <f t="shared" si="49"/>
        <v>127.36</v>
      </c>
      <c r="AL151">
        <f t="shared" si="50"/>
        <v>110.88000000000001</v>
      </c>
      <c r="AM151">
        <f t="shared" si="51"/>
        <v>150.42000000000002</v>
      </c>
      <c r="AN151">
        <f t="shared" si="52"/>
        <v>226.78000000000003</v>
      </c>
      <c r="AO151">
        <f t="shared" si="53"/>
        <v>36.72</v>
      </c>
      <c r="AP151">
        <f t="shared" si="54"/>
        <v>27.5</v>
      </c>
      <c r="AQ151">
        <f t="shared" si="55"/>
        <v>0.47312396144898639</v>
      </c>
    </row>
    <row r="152" spans="1:43" x14ac:dyDescent="0.35">
      <c r="A152" t="s">
        <v>289</v>
      </c>
      <c r="B152" t="s">
        <v>290</v>
      </c>
      <c r="C152">
        <f>VLOOKUP(CONCATENATE("2024",'2024_60'!A152),aktivnepesseg!$C$2:$D$2226,2,FALSE)</f>
        <v>24686</v>
      </c>
      <c r="D152">
        <f t="shared" si="43"/>
        <v>19250</v>
      </c>
      <c r="E152">
        <f t="shared" si="44"/>
        <v>5436</v>
      </c>
      <c r="F152">
        <v>2673</v>
      </c>
      <c r="G152">
        <v>662</v>
      </c>
      <c r="H152">
        <v>328</v>
      </c>
      <c r="I152">
        <v>312</v>
      </c>
      <c r="J152">
        <v>262</v>
      </c>
      <c r="K152">
        <v>491</v>
      </c>
      <c r="L152">
        <v>1052</v>
      </c>
      <c r="M152">
        <v>285</v>
      </c>
      <c r="N152">
        <v>598</v>
      </c>
      <c r="O152">
        <v>627</v>
      </c>
      <c r="P152">
        <v>2759</v>
      </c>
      <c r="Q152">
        <v>2194</v>
      </c>
      <c r="R152">
        <v>5647</v>
      </c>
      <c r="S152">
        <v>1255</v>
      </c>
      <c r="T152">
        <v>105</v>
      </c>
      <c r="U152">
        <f t="shared" ref="U152:AE183" si="57">E152*E$5</f>
        <v>5436</v>
      </c>
      <c r="V152">
        <f t="shared" si="57"/>
        <v>2539.35</v>
      </c>
      <c r="W152">
        <f t="shared" si="57"/>
        <v>562.69999999999993</v>
      </c>
      <c r="X152">
        <f t="shared" si="57"/>
        <v>251.4666666666667</v>
      </c>
      <c r="Y152">
        <f t="shared" si="57"/>
        <v>218.39999999999998</v>
      </c>
      <c r="Z152">
        <f t="shared" si="56"/>
        <v>165.93333333333334</v>
      </c>
      <c r="AA152">
        <f t="shared" si="56"/>
        <v>270.05</v>
      </c>
      <c r="AB152">
        <f t="shared" si="56"/>
        <v>473.40000000000003</v>
      </c>
      <c r="AC152">
        <f t="shared" si="56"/>
        <v>104.49999999999999</v>
      </c>
      <c r="AD152">
        <f t="shared" si="56"/>
        <v>149.5</v>
      </c>
      <c r="AE152">
        <f t="shared" si="56"/>
        <v>52.25</v>
      </c>
      <c r="AF152" s="12">
        <f t="shared" si="42"/>
        <v>0.41414364417078503</v>
      </c>
      <c r="AG152">
        <f t="shared" si="45"/>
        <v>5436</v>
      </c>
      <c r="AH152">
        <f t="shared" si="46"/>
        <v>2512.62</v>
      </c>
      <c r="AI152">
        <f t="shared" si="47"/>
        <v>542.83999999999992</v>
      </c>
      <c r="AJ152">
        <f t="shared" si="48"/>
        <v>236.16</v>
      </c>
      <c r="AK152">
        <f t="shared" si="49"/>
        <v>199.68</v>
      </c>
      <c r="AL152">
        <f t="shared" si="50"/>
        <v>146.72000000000003</v>
      </c>
      <c r="AM152">
        <f t="shared" si="51"/>
        <v>225.86</v>
      </c>
      <c r="AN152">
        <f t="shared" si="52"/>
        <v>357.68</v>
      </c>
      <c r="AO152">
        <f t="shared" si="53"/>
        <v>68.399999999999991</v>
      </c>
      <c r="AP152">
        <f t="shared" si="54"/>
        <v>59.800000000000004</v>
      </c>
      <c r="AQ152">
        <f t="shared" si="55"/>
        <v>0.39640930081827752</v>
      </c>
    </row>
    <row r="153" spans="1:43" x14ac:dyDescent="0.35">
      <c r="A153" t="s">
        <v>291</v>
      </c>
      <c r="B153" t="s">
        <v>292</v>
      </c>
      <c r="C153">
        <f>VLOOKUP(CONCATENATE("2024",'2024_60'!A153),aktivnepesseg!$C$2:$D$2226,2,FALSE)</f>
        <v>26223</v>
      </c>
      <c r="D153">
        <f t="shared" si="43"/>
        <v>20831</v>
      </c>
      <c r="E153">
        <f t="shared" si="44"/>
        <v>5392</v>
      </c>
      <c r="F153">
        <v>2097</v>
      </c>
      <c r="G153">
        <v>662</v>
      </c>
      <c r="H153">
        <v>363</v>
      </c>
      <c r="I153">
        <v>456</v>
      </c>
      <c r="J153">
        <v>283</v>
      </c>
      <c r="K153">
        <v>466</v>
      </c>
      <c r="L153">
        <v>611</v>
      </c>
      <c r="M153">
        <v>323</v>
      </c>
      <c r="N153">
        <v>678</v>
      </c>
      <c r="O153">
        <v>683</v>
      </c>
      <c r="P153">
        <v>3029</v>
      </c>
      <c r="Q153">
        <v>2191</v>
      </c>
      <c r="R153">
        <v>6651</v>
      </c>
      <c r="S153">
        <v>2068</v>
      </c>
      <c r="T153">
        <v>270</v>
      </c>
      <c r="U153">
        <f t="shared" si="57"/>
        <v>5392</v>
      </c>
      <c r="V153">
        <f t="shared" si="57"/>
        <v>1992.1499999999999</v>
      </c>
      <c r="W153">
        <f t="shared" si="57"/>
        <v>562.69999999999993</v>
      </c>
      <c r="X153">
        <f t="shared" si="57"/>
        <v>278.3</v>
      </c>
      <c r="Y153">
        <f t="shared" si="57"/>
        <v>319.2</v>
      </c>
      <c r="Z153">
        <f t="shared" si="56"/>
        <v>179.23333333333332</v>
      </c>
      <c r="AA153">
        <f t="shared" si="56"/>
        <v>256.3</v>
      </c>
      <c r="AB153">
        <f t="shared" si="56"/>
        <v>274.95</v>
      </c>
      <c r="AC153">
        <f t="shared" si="56"/>
        <v>118.43333333333332</v>
      </c>
      <c r="AD153">
        <f t="shared" si="56"/>
        <v>169.5</v>
      </c>
      <c r="AE153">
        <f t="shared" si="56"/>
        <v>56.916666666666664</v>
      </c>
      <c r="AF153" s="12">
        <f t="shared" si="42"/>
        <v>0.36607876037575154</v>
      </c>
      <c r="AG153">
        <f t="shared" si="45"/>
        <v>5392</v>
      </c>
      <c r="AH153">
        <f t="shared" si="46"/>
        <v>1971.1799999999998</v>
      </c>
      <c r="AI153">
        <f t="shared" si="47"/>
        <v>542.83999999999992</v>
      </c>
      <c r="AJ153">
        <f t="shared" si="48"/>
        <v>261.36</v>
      </c>
      <c r="AK153">
        <f t="shared" si="49"/>
        <v>291.84000000000003</v>
      </c>
      <c r="AL153">
        <f t="shared" si="50"/>
        <v>158.48000000000002</v>
      </c>
      <c r="AM153">
        <f t="shared" si="51"/>
        <v>214.36</v>
      </c>
      <c r="AN153">
        <f t="shared" si="52"/>
        <v>207.74</v>
      </c>
      <c r="AO153">
        <f t="shared" si="53"/>
        <v>77.52</v>
      </c>
      <c r="AP153">
        <f t="shared" si="54"/>
        <v>67.8</v>
      </c>
      <c r="AQ153">
        <f t="shared" si="55"/>
        <v>0.35026961064714179</v>
      </c>
    </row>
    <row r="154" spans="1:43" x14ac:dyDescent="0.35">
      <c r="A154" t="s">
        <v>293</v>
      </c>
      <c r="B154" t="s">
        <v>294</v>
      </c>
      <c r="C154">
        <f>VLOOKUP(CONCATENATE("2024",'2024_60'!A154),aktivnepesseg!$C$2:$D$2226,2,FALSE)</f>
        <v>16387</v>
      </c>
      <c r="D154">
        <f t="shared" si="43"/>
        <v>13072</v>
      </c>
      <c r="E154">
        <f t="shared" si="44"/>
        <v>3315</v>
      </c>
      <c r="F154">
        <v>1299</v>
      </c>
      <c r="G154">
        <v>395</v>
      </c>
      <c r="H154">
        <v>216</v>
      </c>
      <c r="I154">
        <v>271</v>
      </c>
      <c r="J154">
        <v>155</v>
      </c>
      <c r="K154">
        <v>281</v>
      </c>
      <c r="L154">
        <v>436</v>
      </c>
      <c r="M154">
        <v>186</v>
      </c>
      <c r="N154">
        <v>404</v>
      </c>
      <c r="O154">
        <v>420</v>
      </c>
      <c r="P154">
        <v>1682</v>
      </c>
      <c r="Q154">
        <v>1299</v>
      </c>
      <c r="R154">
        <v>4505</v>
      </c>
      <c r="S154">
        <v>1343</v>
      </c>
      <c r="T154">
        <v>180</v>
      </c>
      <c r="U154">
        <f t="shared" si="57"/>
        <v>3315</v>
      </c>
      <c r="V154">
        <f t="shared" si="57"/>
        <v>1234.05</v>
      </c>
      <c r="W154">
        <f t="shared" si="57"/>
        <v>335.75</v>
      </c>
      <c r="X154">
        <f t="shared" si="57"/>
        <v>165.60000000000002</v>
      </c>
      <c r="Y154">
        <f t="shared" si="57"/>
        <v>189.7</v>
      </c>
      <c r="Z154">
        <f t="shared" si="56"/>
        <v>98.166666666666657</v>
      </c>
      <c r="AA154">
        <f t="shared" si="56"/>
        <v>154.55000000000001</v>
      </c>
      <c r="AB154">
        <f t="shared" si="56"/>
        <v>196.20000000000002</v>
      </c>
      <c r="AC154">
        <f t="shared" si="56"/>
        <v>68.199999999999989</v>
      </c>
      <c r="AD154">
        <f t="shared" si="56"/>
        <v>101</v>
      </c>
      <c r="AE154">
        <f t="shared" si="56"/>
        <v>35</v>
      </c>
      <c r="AF154" s="12">
        <f t="shared" si="42"/>
        <v>0.35962755029393223</v>
      </c>
      <c r="AG154">
        <f t="shared" si="45"/>
        <v>3315</v>
      </c>
      <c r="AH154">
        <f t="shared" si="46"/>
        <v>1221.06</v>
      </c>
      <c r="AI154">
        <f t="shared" si="47"/>
        <v>323.89999999999998</v>
      </c>
      <c r="AJ154">
        <f t="shared" si="48"/>
        <v>155.51999999999998</v>
      </c>
      <c r="AK154">
        <f t="shared" si="49"/>
        <v>173.44</v>
      </c>
      <c r="AL154">
        <f t="shared" si="50"/>
        <v>86.800000000000011</v>
      </c>
      <c r="AM154">
        <f t="shared" si="51"/>
        <v>129.26000000000002</v>
      </c>
      <c r="AN154">
        <f t="shared" si="52"/>
        <v>148.24</v>
      </c>
      <c r="AO154">
        <f t="shared" si="53"/>
        <v>44.64</v>
      </c>
      <c r="AP154">
        <f t="shared" si="54"/>
        <v>40.400000000000006</v>
      </c>
      <c r="AQ154">
        <f t="shared" si="55"/>
        <v>0.34406907914810514</v>
      </c>
    </row>
    <row r="155" spans="1:43" x14ac:dyDescent="0.35">
      <c r="A155" t="s">
        <v>295</v>
      </c>
      <c r="B155" t="s">
        <v>296</v>
      </c>
      <c r="C155">
        <f>VLOOKUP(CONCATENATE("2024",'2024_60'!A155),aktivnepesseg!$C$2:$D$2226,2,FALSE)</f>
        <v>36764</v>
      </c>
      <c r="D155">
        <f t="shared" si="43"/>
        <v>27790</v>
      </c>
      <c r="E155">
        <f t="shared" si="44"/>
        <v>8974</v>
      </c>
      <c r="F155">
        <v>3020</v>
      </c>
      <c r="G155">
        <v>1106</v>
      </c>
      <c r="H155">
        <v>611</v>
      </c>
      <c r="I155">
        <v>645</v>
      </c>
      <c r="J155">
        <v>539</v>
      </c>
      <c r="K155">
        <v>870</v>
      </c>
      <c r="L155">
        <v>1271</v>
      </c>
      <c r="M155">
        <v>520</v>
      </c>
      <c r="N155">
        <v>961</v>
      </c>
      <c r="O155">
        <v>1017</v>
      </c>
      <c r="P155">
        <v>3515</v>
      </c>
      <c r="Q155">
        <v>3041</v>
      </c>
      <c r="R155">
        <v>7925</v>
      </c>
      <c r="S155">
        <v>2440</v>
      </c>
      <c r="T155">
        <v>309</v>
      </c>
      <c r="U155">
        <f t="shared" si="57"/>
        <v>8974</v>
      </c>
      <c r="V155">
        <f t="shared" si="57"/>
        <v>2869</v>
      </c>
      <c r="W155">
        <f t="shared" si="57"/>
        <v>940.1</v>
      </c>
      <c r="X155">
        <f t="shared" si="57"/>
        <v>468.43333333333334</v>
      </c>
      <c r="Y155">
        <f t="shared" si="57"/>
        <v>451.49999999999994</v>
      </c>
      <c r="Z155">
        <f t="shared" si="56"/>
        <v>341.36666666666667</v>
      </c>
      <c r="AA155">
        <f t="shared" si="56"/>
        <v>478.50000000000006</v>
      </c>
      <c r="AB155">
        <f t="shared" si="56"/>
        <v>571.95000000000005</v>
      </c>
      <c r="AC155">
        <f t="shared" si="56"/>
        <v>190.66666666666666</v>
      </c>
      <c r="AD155">
        <f t="shared" si="56"/>
        <v>240.25</v>
      </c>
      <c r="AE155">
        <f t="shared" si="56"/>
        <v>84.75</v>
      </c>
      <c r="AF155" s="12">
        <f t="shared" si="42"/>
        <v>0.42461420592608712</v>
      </c>
      <c r="AG155">
        <f t="shared" si="45"/>
        <v>8974</v>
      </c>
      <c r="AH155">
        <f t="shared" si="46"/>
        <v>2838.7999999999997</v>
      </c>
      <c r="AI155">
        <f t="shared" si="47"/>
        <v>906.92</v>
      </c>
      <c r="AJ155">
        <f t="shared" si="48"/>
        <v>439.91999999999996</v>
      </c>
      <c r="AK155">
        <f t="shared" si="49"/>
        <v>412.8</v>
      </c>
      <c r="AL155">
        <f t="shared" si="50"/>
        <v>301.84000000000003</v>
      </c>
      <c r="AM155">
        <f t="shared" si="51"/>
        <v>400.20000000000005</v>
      </c>
      <c r="AN155">
        <f t="shared" si="52"/>
        <v>432.14000000000004</v>
      </c>
      <c r="AO155">
        <f t="shared" si="53"/>
        <v>124.8</v>
      </c>
      <c r="AP155">
        <f t="shared" si="54"/>
        <v>96.100000000000009</v>
      </c>
      <c r="AQ155">
        <f t="shared" si="55"/>
        <v>0.40603633989772597</v>
      </c>
    </row>
    <row r="156" spans="1:43" x14ac:dyDescent="0.35">
      <c r="A156" t="s">
        <v>297</v>
      </c>
      <c r="B156" t="s">
        <v>298</v>
      </c>
      <c r="C156">
        <f>VLOOKUP(CONCATENATE("2024",'2024_60'!A156),aktivnepesseg!$C$2:$D$2226,2,FALSE)</f>
        <v>17999</v>
      </c>
      <c r="D156">
        <f t="shared" si="43"/>
        <v>14402</v>
      </c>
      <c r="E156">
        <f t="shared" si="44"/>
        <v>3597</v>
      </c>
      <c r="F156">
        <v>1976</v>
      </c>
      <c r="G156">
        <v>426</v>
      </c>
      <c r="H156">
        <v>246</v>
      </c>
      <c r="I156">
        <v>225</v>
      </c>
      <c r="J156">
        <v>177</v>
      </c>
      <c r="K156">
        <v>273</v>
      </c>
      <c r="L156">
        <v>403</v>
      </c>
      <c r="M156">
        <v>185</v>
      </c>
      <c r="N156">
        <v>373</v>
      </c>
      <c r="O156">
        <v>419</v>
      </c>
      <c r="P156">
        <v>1742</v>
      </c>
      <c r="Q156">
        <v>1548</v>
      </c>
      <c r="R156">
        <v>5160</v>
      </c>
      <c r="S156">
        <v>1173</v>
      </c>
      <c r="T156">
        <v>76</v>
      </c>
      <c r="U156">
        <f t="shared" si="57"/>
        <v>3597</v>
      </c>
      <c r="V156">
        <f t="shared" si="57"/>
        <v>1877.1999999999998</v>
      </c>
      <c r="W156">
        <f t="shared" si="57"/>
        <v>362.09999999999997</v>
      </c>
      <c r="X156">
        <f t="shared" si="57"/>
        <v>188.60000000000002</v>
      </c>
      <c r="Y156">
        <f t="shared" si="57"/>
        <v>157.5</v>
      </c>
      <c r="Z156">
        <f t="shared" si="56"/>
        <v>112.1</v>
      </c>
      <c r="AA156">
        <f t="shared" si="56"/>
        <v>150.15</v>
      </c>
      <c r="AB156">
        <f t="shared" si="56"/>
        <v>181.35</v>
      </c>
      <c r="AC156">
        <f t="shared" si="56"/>
        <v>67.833333333333329</v>
      </c>
      <c r="AD156">
        <f t="shared" si="56"/>
        <v>93.25</v>
      </c>
      <c r="AE156">
        <f t="shared" si="56"/>
        <v>34.916666666666664</v>
      </c>
      <c r="AF156" s="12">
        <f t="shared" si="42"/>
        <v>0.37902105672537367</v>
      </c>
      <c r="AG156">
        <f t="shared" si="45"/>
        <v>3597</v>
      </c>
      <c r="AH156">
        <f t="shared" si="46"/>
        <v>1857.4399999999998</v>
      </c>
      <c r="AI156">
        <f t="shared" si="47"/>
        <v>349.32</v>
      </c>
      <c r="AJ156">
        <f t="shared" si="48"/>
        <v>177.12</v>
      </c>
      <c r="AK156">
        <f t="shared" si="49"/>
        <v>144</v>
      </c>
      <c r="AL156">
        <f t="shared" si="50"/>
        <v>99.12</v>
      </c>
      <c r="AM156">
        <f t="shared" si="51"/>
        <v>125.58000000000001</v>
      </c>
      <c r="AN156">
        <f t="shared" si="52"/>
        <v>137.02000000000001</v>
      </c>
      <c r="AO156">
        <f t="shared" si="53"/>
        <v>44.4</v>
      </c>
      <c r="AP156">
        <f t="shared" si="54"/>
        <v>37.300000000000004</v>
      </c>
      <c r="AQ156">
        <f t="shared" si="55"/>
        <v>0.36492582921273398</v>
      </c>
    </row>
    <row r="157" spans="1:43" x14ac:dyDescent="0.35">
      <c r="A157" t="s">
        <v>299</v>
      </c>
      <c r="B157" t="s">
        <v>300</v>
      </c>
      <c r="C157">
        <f>VLOOKUP(CONCATENATE("2024",'2024_60'!A157),aktivnepesseg!$C$2:$D$2226,2,FALSE)</f>
        <v>14093</v>
      </c>
      <c r="D157">
        <f t="shared" si="43"/>
        <v>10182</v>
      </c>
      <c r="E157">
        <f t="shared" si="44"/>
        <v>3911</v>
      </c>
      <c r="F157">
        <v>1533</v>
      </c>
      <c r="G157">
        <v>408</v>
      </c>
      <c r="H157">
        <v>226</v>
      </c>
      <c r="I157">
        <v>247</v>
      </c>
      <c r="J157">
        <v>195</v>
      </c>
      <c r="K157">
        <v>327</v>
      </c>
      <c r="L157">
        <v>743</v>
      </c>
      <c r="M157">
        <v>211</v>
      </c>
      <c r="N157">
        <v>336</v>
      </c>
      <c r="O157">
        <v>351</v>
      </c>
      <c r="P157">
        <v>1297</v>
      </c>
      <c r="Q157">
        <v>1252</v>
      </c>
      <c r="R157">
        <v>2517</v>
      </c>
      <c r="S157">
        <v>509</v>
      </c>
      <c r="T157">
        <v>30</v>
      </c>
      <c r="U157">
        <f t="shared" si="57"/>
        <v>3911</v>
      </c>
      <c r="V157">
        <f t="shared" si="57"/>
        <v>1456.35</v>
      </c>
      <c r="W157">
        <f t="shared" si="57"/>
        <v>346.8</v>
      </c>
      <c r="X157">
        <f t="shared" si="57"/>
        <v>173.26666666666668</v>
      </c>
      <c r="Y157">
        <f t="shared" si="57"/>
        <v>172.89999999999998</v>
      </c>
      <c r="Z157">
        <f t="shared" si="56"/>
        <v>123.5</v>
      </c>
      <c r="AA157">
        <f t="shared" si="56"/>
        <v>179.85000000000002</v>
      </c>
      <c r="AB157">
        <f t="shared" si="56"/>
        <v>334.35</v>
      </c>
      <c r="AC157">
        <f t="shared" si="56"/>
        <v>77.36666666666666</v>
      </c>
      <c r="AD157">
        <f t="shared" si="56"/>
        <v>84</v>
      </c>
      <c r="AE157">
        <f t="shared" si="56"/>
        <v>29.25</v>
      </c>
      <c r="AF157" s="12">
        <f t="shared" si="42"/>
        <v>0.4887982213391992</v>
      </c>
      <c r="AG157">
        <f t="shared" si="45"/>
        <v>3911</v>
      </c>
      <c r="AH157">
        <f t="shared" si="46"/>
        <v>1441.02</v>
      </c>
      <c r="AI157">
        <f t="shared" si="47"/>
        <v>334.56</v>
      </c>
      <c r="AJ157">
        <f t="shared" si="48"/>
        <v>162.72</v>
      </c>
      <c r="AK157">
        <f t="shared" si="49"/>
        <v>158.08000000000001</v>
      </c>
      <c r="AL157">
        <f t="shared" si="50"/>
        <v>109.20000000000002</v>
      </c>
      <c r="AM157">
        <f t="shared" si="51"/>
        <v>150.42000000000002</v>
      </c>
      <c r="AN157">
        <f t="shared" si="52"/>
        <v>252.62</v>
      </c>
      <c r="AO157">
        <f t="shared" si="53"/>
        <v>50.64</v>
      </c>
      <c r="AP157">
        <f t="shared" si="54"/>
        <v>33.6</v>
      </c>
      <c r="AQ157">
        <f t="shared" si="55"/>
        <v>0.4685914993259066</v>
      </c>
    </row>
    <row r="158" spans="1:43" x14ac:dyDescent="0.35">
      <c r="A158" t="s">
        <v>301</v>
      </c>
      <c r="B158" t="s">
        <v>302</v>
      </c>
      <c r="C158">
        <f>VLOOKUP(CONCATENATE("2024",'2024_60'!A158),aktivnepesseg!$C$2:$D$2226,2,FALSE)</f>
        <v>14473</v>
      </c>
      <c r="D158">
        <f t="shared" si="43"/>
        <v>11027</v>
      </c>
      <c r="E158">
        <f t="shared" si="44"/>
        <v>3446</v>
      </c>
      <c r="F158">
        <v>1439</v>
      </c>
      <c r="G158">
        <v>419</v>
      </c>
      <c r="H158">
        <v>198</v>
      </c>
      <c r="I158">
        <v>198</v>
      </c>
      <c r="J158">
        <v>185</v>
      </c>
      <c r="K158">
        <v>262</v>
      </c>
      <c r="L158">
        <v>540</v>
      </c>
      <c r="M158">
        <v>179</v>
      </c>
      <c r="N158">
        <v>367</v>
      </c>
      <c r="O158">
        <v>332</v>
      </c>
      <c r="P158">
        <v>1398</v>
      </c>
      <c r="Q158">
        <v>1251</v>
      </c>
      <c r="R158">
        <v>3264</v>
      </c>
      <c r="S158">
        <v>896</v>
      </c>
      <c r="T158">
        <v>99</v>
      </c>
      <c r="U158">
        <f t="shared" si="57"/>
        <v>3446</v>
      </c>
      <c r="V158">
        <f t="shared" si="57"/>
        <v>1367.05</v>
      </c>
      <c r="W158">
        <f t="shared" si="57"/>
        <v>356.15</v>
      </c>
      <c r="X158">
        <f t="shared" si="57"/>
        <v>151.80000000000001</v>
      </c>
      <c r="Y158">
        <f t="shared" si="57"/>
        <v>138.6</v>
      </c>
      <c r="Z158">
        <f t="shared" si="56"/>
        <v>117.16666666666666</v>
      </c>
      <c r="AA158">
        <f t="shared" si="56"/>
        <v>144.10000000000002</v>
      </c>
      <c r="AB158">
        <f t="shared" si="56"/>
        <v>243</v>
      </c>
      <c r="AC158">
        <f t="shared" si="56"/>
        <v>65.633333333333326</v>
      </c>
      <c r="AD158">
        <f t="shared" si="56"/>
        <v>91.75</v>
      </c>
      <c r="AE158">
        <f t="shared" si="56"/>
        <v>27.666666666666664</v>
      </c>
      <c r="AF158" s="12">
        <f t="shared" si="42"/>
        <v>0.42485432644694726</v>
      </c>
      <c r="AG158">
        <f t="shared" si="45"/>
        <v>3446</v>
      </c>
      <c r="AH158">
        <f t="shared" si="46"/>
        <v>1352.6599999999999</v>
      </c>
      <c r="AI158">
        <f t="shared" si="47"/>
        <v>343.58</v>
      </c>
      <c r="AJ158">
        <f t="shared" si="48"/>
        <v>142.56</v>
      </c>
      <c r="AK158">
        <f t="shared" si="49"/>
        <v>126.72</v>
      </c>
      <c r="AL158">
        <f t="shared" si="50"/>
        <v>103.60000000000001</v>
      </c>
      <c r="AM158">
        <f t="shared" si="51"/>
        <v>120.52000000000001</v>
      </c>
      <c r="AN158">
        <f t="shared" si="52"/>
        <v>183.60000000000002</v>
      </c>
      <c r="AO158">
        <f t="shared" si="53"/>
        <v>42.96</v>
      </c>
      <c r="AP158">
        <f t="shared" si="54"/>
        <v>36.700000000000003</v>
      </c>
      <c r="AQ158">
        <f t="shared" si="55"/>
        <v>0.40757963103710365</v>
      </c>
    </row>
    <row r="159" spans="1:43" x14ac:dyDescent="0.35">
      <c r="A159" t="s">
        <v>303</v>
      </c>
      <c r="B159" t="s">
        <v>304</v>
      </c>
      <c r="C159">
        <f>VLOOKUP(CONCATENATE("2024",'2024_60'!A159),aktivnepesseg!$C$2:$D$2226,2,FALSE)</f>
        <v>24454</v>
      </c>
      <c r="D159">
        <f t="shared" si="43"/>
        <v>20123</v>
      </c>
      <c r="E159">
        <f t="shared" si="44"/>
        <v>4331</v>
      </c>
      <c r="F159">
        <v>2231</v>
      </c>
      <c r="G159">
        <v>602</v>
      </c>
      <c r="H159">
        <v>303</v>
      </c>
      <c r="I159">
        <v>287</v>
      </c>
      <c r="J159">
        <v>160</v>
      </c>
      <c r="K159">
        <v>298</v>
      </c>
      <c r="L159">
        <v>412</v>
      </c>
      <c r="M159">
        <v>205</v>
      </c>
      <c r="N159">
        <v>514</v>
      </c>
      <c r="O159">
        <v>513</v>
      </c>
      <c r="P159">
        <v>2170</v>
      </c>
      <c r="Q159">
        <v>2195</v>
      </c>
      <c r="R159">
        <v>7943</v>
      </c>
      <c r="S159">
        <v>2095</v>
      </c>
      <c r="T159">
        <v>195</v>
      </c>
      <c r="U159">
        <f t="shared" si="57"/>
        <v>4331</v>
      </c>
      <c r="V159">
        <f t="shared" si="57"/>
        <v>2119.4499999999998</v>
      </c>
      <c r="W159">
        <f t="shared" si="57"/>
        <v>511.7</v>
      </c>
      <c r="X159">
        <f t="shared" si="57"/>
        <v>232.3</v>
      </c>
      <c r="Y159">
        <f t="shared" si="57"/>
        <v>200.89999999999998</v>
      </c>
      <c r="Z159">
        <f t="shared" si="56"/>
        <v>101.33333333333333</v>
      </c>
      <c r="AA159">
        <f t="shared" si="56"/>
        <v>163.9</v>
      </c>
      <c r="AB159">
        <f t="shared" si="56"/>
        <v>185.4</v>
      </c>
      <c r="AC159">
        <f t="shared" si="56"/>
        <v>75.166666666666657</v>
      </c>
      <c r="AD159">
        <f t="shared" si="56"/>
        <v>128.5</v>
      </c>
      <c r="AE159">
        <f t="shared" si="56"/>
        <v>42.75</v>
      </c>
      <c r="AF159" s="12">
        <f t="shared" si="42"/>
        <v>0.33092336632043834</v>
      </c>
      <c r="AG159">
        <f t="shared" si="45"/>
        <v>4331</v>
      </c>
      <c r="AH159">
        <f t="shared" si="46"/>
        <v>2097.14</v>
      </c>
      <c r="AI159">
        <f t="shared" si="47"/>
        <v>493.64</v>
      </c>
      <c r="AJ159">
        <f t="shared" si="48"/>
        <v>218.16</v>
      </c>
      <c r="AK159">
        <f t="shared" si="49"/>
        <v>183.68</v>
      </c>
      <c r="AL159">
        <f t="shared" si="50"/>
        <v>89.600000000000009</v>
      </c>
      <c r="AM159">
        <f t="shared" si="51"/>
        <v>137.08000000000001</v>
      </c>
      <c r="AN159">
        <f t="shared" si="52"/>
        <v>140.08000000000001</v>
      </c>
      <c r="AO159">
        <f t="shared" si="53"/>
        <v>49.199999999999996</v>
      </c>
      <c r="AP159">
        <f t="shared" si="54"/>
        <v>51.400000000000006</v>
      </c>
      <c r="AQ159">
        <f t="shared" si="55"/>
        <v>0.31859736648401077</v>
      </c>
    </row>
    <row r="160" spans="1:43" x14ac:dyDescent="0.35">
      <c r="A160" t="s">
        <v>305</v>
      </c>
      <c r="B160" t="s">
        <v>306</v>
      </c>
      <c r="C160">
        <f>VLOOKUP(CONCATENATE("2024",'2024_60'!A160),aktivnepesseg!$C$2:$D$2226,2,FALSE)</f>
        <v>13829</v>
      </c>
      <c r="D160">
        <f t="shared" si="43"/>
        <v>10015</v>
      </c>
      <c r="E160">
        <f t="shared" si="44"/>
        <v>3814</v>
      </c>
      <c r="F160">
        <v>1098</v>
      </c>
      <c r="G160">
        <v>349</v>
      </c>
      <c r="H160">
        <v>180</v>
      </c>
      <c r="I160">
        <v>189</v>
      </c>
      <c r="J160">
        <v>155</v>
      </c>
      <c r="K160">
        <v>288</v>
      </c>
      <c r="L160">
        <v>482</v>
      </c>
      <c r="M160">
        <v>176</v>
      </c>
      <c r="N160">
        <v>312</v>
      </c>
      <c r="O160">
        <v>360</v>
      </c>
      <c r="P160">
        <v>1202</v>
      </c>
      <c r="Q160">
        <v>1215</v>
      </c>
      <c r="R160">
        <v>3079</v>
      </c>
      <c r="S160">
        <v>821</v>
      </c>
      <c r="T160">
        <v>109</v>
      </c>
      <c r="U160">
        <f t="shared" si="57"/>
        <v>3814</v>
      </c>
      <c r="V160">
        <f t="shared" si="57"/>
        <v>1043.0999999999999</v>
      </c>
      <c r="W160">
        <f t="shared" si="57"/>
        <v>296.64999999999998</v>
      </c>
      <c r="X160">
        <f t="shared" si="57"/>
        <v>138</v>
      </c>
      <c r="Y160">
        <f t="shared" si="57"/>
        <v>132.29999999999998</v>
      </c>
      <c r="Z160">
        <f t="shared" si="56"/>
        <v>98.166666666666657</v>
      </c>
      <c r="AA160">
        <f t="shared" si="56"/>
        <v>158.4</v>
      </c>
      <c r="AB160">
        <f t="shared" si="56"/>
        <v>216.9</v>
      </c>
      <c r="AC160">
        <f t="shared" si="56"/>
        <v>64.533333333333331</v>
      </c>
      <c r="AD160">
        <f t="shared" si="56"/>
        <v>78</v>
      </c>
      <c r="AE160">
        <f t="shared" si="56"/>
        <v>30</v>
      </c>
      <c r="AF160" s="12">
        <f t="shared" si="42"/>
        <v>0.43893629329669537</v>
      </c>
      <c r="AG160">
        <f t="shared" si="45"/>
        <v>3814</v>
      </c>
      <c r="AH160">
        <f t="shared" si="46"/>
        <v>1032.1199999999999</v>
      </c>
      <c r="AI160">
        <f t="shared" si="47"/>
        <v>286.18</v>
      </c>
      <c r="AJ160">
        <f t="shared" si="48"/>
        <v>129.6</v>
      </c>
      <c r="AK160">
        <f t="shared" si="49"/>
        <v>120.96000000000001</v>
      </c>
      <c r="AL160">
        <f t="shared" si="50"/>
        <v>86.800000000000011</v>
      </c>
      <c r="AM160">
        <f t="shared" si="51"/>
        <v>132.48000000000002</v>
      </c>
      <c r="AN160">
        <f t="shared" si="52"/>
        <v>163.88000000000002</v>
      </c>
      <c r="AO160">
        <f t="shared" si="53"/>
        <v>42.239999999999995</v>
      </c>
      <c r="AP160">
        <f t="shared" si="54"/>
        <v>31.200000000000003</v>
      </c>
      <c r="AQ160">
        <f t="shared" si="55"/>
        <v>0.42226191337045349</v>
      </c>
    </row>
    <row r="161" spans="1:43" x14ac:dyDescent="0.35">
      <c r="A161" t="s">
        <v>307</v>
      </c>
      <c r="B161" t="s">
        <v>308</v>
      </c>
      <c r="C161">
        <f>VLOOKUP(CONCATENATE("2024",'2024_60'!A161),aktivnepesseg!$C$2:$D$2226,2,FALSE)</f>
        <v>9070</v>
      </c>
      <c r="D161">
        <f t="shared" si="43"/>
        <v>6381</v>
      </c>
      <c r="E161">
        <f t="shared" si="44"/>
        <v>2689</v>
      </c>
      <c r="F161">
        <v>897</v>
      </c>
      <c r="G161">
        <v>273</v>
      </c>
      <c r="H161">
        <v>165</v>
      </c>
      <c r="I161">
        <v>139</v>
      </c>
      <c r="J161">
        <v>112</v>
      </c>
      <c r="K161">
        <v>241</v>
      </c>
      <c r="L161">
        <v>688</v>
      </c>
      <c r="M161">
        <v>93</v>
      </c>
      <c r="N161">
        <v>208</v>
      </c>
      <c r="O161">
        <v>195</v>
      </c>
      <c r="P161">
        <v>808</v>
      </c>
      <c r="Q161">
        <v>714</v>
      </c>
      <c r="R161">
        <v>1588</v>
      </c>
      <c r="S161">
        <v>243</v>
      </c>
      <c r="T161">
        <v>17</v>
      </c>
      <c r="U161">
        <f t="shared" si="57"/>
        <v>2689</v>
      </c>
      <c r="V161">
        <f t="shared" si="57"/>
        <v>852.15</v>
      </c>
      <c r="W161">
        <f t="shared" si="57"/>
        <v>232.04999999999998</v>
      </c>
      <c r="X161">
        <f t="shared" si="57"/>
        <v>126.50000000000001</v>
      </c>
      <c r="Y161">
        <f t="shared" si="57"/>
        <v>97.3</v>
      </c>
      <c r="Z161">
        <f t="shared" si="56"/>
        <v>70.933333333333337</v>
      </c>
      <c r="AA161">
        <f t="shared" si="56"/>
        <v>132.55000000000001</v>
      </c>
      <c r="AB161">
        <f t="shared" si="56"/>
        <v>309.60000000000002</v>
      </c>
      <c r="AC161">
        <f t="shared" si="56"/>
        <v>34.099999999999994</v>
      </c>
      <c r="AD161">
        <f t="shared" si="56"/>
        <v>52</v>
      </c>
      <c r="AE161">
        <f t="shared" si="56"/>
        <v>16.25</v>
      </c>
      <c r="AF161" s="12">
        <f t="shared" si="42"/>
        <v>0.50853730246233009</v>
      </c>
      <c r="AG161">
        <f t="shared" si="45"/>
        <v>2689</v>
      </c>
      <c r="AH161">
        <f t="shared" si="46"/>
        <v>843.18</v>
      </c>
      <c r="AI161">
        <f t="shared" si="47"/>
        <v>223.85999999999999</v>
      </c>
      <c r="AJ161">
        <f t="shared" si="48"/>
        <v>118.8</v>
      </c>
      <c r="AK161">
        <f t="shared" si="49"/>
        <v>88.960000000000008</v>
      </c>
      <c r="AL161">
        <f t="shared" si="50"/>
        <v>62.720000000000006</v>
      </c>
      <c r="AM161">
        <f t="shared" si="51"/>
        <v>110.86</v>
      </c>
      <c r="AN161">
        <f t="shared" si="52"/>
        <v>233.92000000000002</v>
      </c>
      <c r="AO161">
        <f t="shared" si="53"/>
        <v>22.32</v>
      </c>
      <c r="AP161">
        <f t="shared" si="54"/>
        <v>20.8</v>
      </c>
      <c r="AQ161">
        <f t="shared" si="55"/>
        <v>0.48670562293274533</v>
      </c>
    </row>
    <row r="162" spans="1:43" x14ac:dyDescent="0.35">
      <c r="A162" t="s">
        <v>309</v>
      </c>
      <c r="B162" t="s">
        <v>310</v>
      </c>
      <c r="C162">
        <f>VLOOKUP(CONCATENATE("2024",'2024_60'!A162),aktivnepesseg!$C$2:$D$2226,2,FALSE)</f>
        <v>23218</v>
      </c>
      <c r="D162">
        <f t="shared" si="43"/>
        <v>16310</v>
      </c>
      <c r="E162">
        <f t="shared" si="44"/>
        <v>6908</v>
      </c>
      <c r="F162">
        <v>2344</v>
      </c>
      <c r="G162">
        <v>614</v>
      </c>
      <c r="H162">
        <v>323</v>
      </c>
      <c r="I162">
        <v>393</v>
      </c>
      <c r="J162">
        <v>261</v>
      </c>
      <c r="K162">
        <v>421</v>
      </c>
      <c r="L162">
        <v>763</v>
      </c>
      <c r="M162">
        <v>280</v>
      </c>
      <c r="N162">
        <v>556</v>
      </c>
      <c r="O162">
        <v>566</v>
      </c>
      <c r="P162">
        <v>2155</v>
      </c>
      <c r="Q162">
        <v>1944</v>
      </c>
      <c r="R162">
        <v>4698</v>
      </c>
      <c r="S162">
        <v>894</v>
      </c>
      <c r="T162">
        <v>98</v>
      </c>
      <c r="U162">
        <f t="shared" si="57"/>
        <v>6908</v>
      </c>
      <c r="V162">
        <f t="shared" si="57"/>
        <v>2226.7999999999997</v>
      </c>
      <c r="W162">
        <f t="shared" si="57"/>
        <v>521.9</v>
      </c>
      <c r="X162">
        <f t="shared" si="57"/>
        <v>247.63333333333335</v>
      </c>
      <c r="Y162">
        <f t="shared" si="57"/>
        <v>275.09999999999997</v>
      </c>
      <c r="Z162">
        <f t="shared" si="56"/>
        <v>165.29999999999998</v>
      </c>
      <c r="AA162">
        <f t="shared" si="56"/>
        <v>231.55</v>
      </c>
      <c r="AB162">
        <f t="shared" si="56"/>
        <v>343.35</v>
      </c>
      <c r="AC162">
        <f t="shared" si="56"/>
        <v>102.66666666666666</v>
      </c>
      <c r="AD162">
        <f t="shared" si="56"/>
        <v>139</v>
      </c>
      <c r="AE162">
        <f t="shared" si="56"/>
        <v>47.166666666666664</v>
      </c>
      <c r="AF162" s="12">
        <f t="shared" si="42"/>
        <v>0.48274901656760544</v>
      </c>
      <c r="AG162">
        <f t="shared" si="45"/>
        <v>6908</v>
      </c>
      <c r="AH162">
        <f t="shared" si="46"/>
        <v>2203.3599999999997</v>
      </c>
      <c r="AI162">
        <f t="shared" si="47"/>
        <v>503.47999999999996</v>
      </c>
      <c r="AJ162">
        <f t="shared" si="48"/>
        <v>232.56</v>
      </c>
      <c r="AK162">
        <f t="shared" si="49"/>
        <v>251.52</v>
      </c>
      <c r="AL162">
        <f t="shared" si="50"/>
        <v>146.16000000000003</v>
      </c>
      <c r="AM162">
        <f t="shared" si="51"/>
        <v>193.66</v>
      </c>
      <c r="AN162">
        <f t="shared" si="52"/>
        <v>259.42</v>
      </c>
      <c r="AO162">
        <f t="shared" si="53"/>
        <v>67.2</v>
      </c>
      <c r="AP162">
        <f t="shared" si="54"/>
        <v>55.6</v>
      </c>
      <c r="AQ162">
        <f t="shared" si="55"/>
        <v>0.4660590920837282</v>
      </c>
    </row>
    <row r="163" spans="1:43" x14ac:dyDescent="0.35">
      <c r="A163" t="s">
        <v>311</v>
      </c>
      <c r="B163" t="s">
        <v>312</v>
      </c>
      <c r="C163">
        <f>VLOOKUP(CONCATENATE("2024",'2024_60'!A163),aktivnepesseg!$C$2:$D$2226,2,FALSE)</f>
        <v>33243</v>
      </c>
      <c r="D163">
        <f t="shared" si="43"/>
        <v>26539</v>
      </c>
      <c r="E163">
        <f t="shared" si="44"/>
        <v>6704</v>
      </c>
      <c r="F163">
        <v>3867</v>
      </c>
      <c r="G163">
        <v>1051</v>
      </c>
      <c r="H163">
        <v>536</v>
      </c>
      <c r="I163">
        <v>608</v>
      </c>
      <c r="J163">
        <v>436</v>
      </c>
      <c r="K163">
        <v>557</v>
      </c>
      <c r="L163">
        <v>775</v>
      </c>
      <c r="M163">
        <v>466</v>
      </c>
      <c r="N163">
        <v>884</v>
      </c>
      <c r="O163">
        <v>949</v>
      </c>
      <c r="P163">
        <v>3601</v>
      </c>
      <c r="Q163">
        <v>2689</v>
      </c>
      <c r="R163">
        <v>7067</v>
      </c>
      <c r="S163">
        <v>2393</v>
      </c>
      <c r="T163">
        <v>660</v>
      </c>
      <c r="U163">
        <f t="shared" si="57"/>
        <v>6704</v>
      </c>
      <c r="V163">
        <f t="shared" si="57"/>
        <v>3673.6499999999996</v>
      </c>
      <c r="W163">
        <f t="shared" si="57"/>
        <v>893.35</v>
      </c>
      <c r="X163">
        <f t="shared" si="57"/>
        <v>410.93333333333334</v>
      </c>
      <c r="Y163">
        <f t="shared" si="57"/>
        <v>425.59999999999997</v>
      </c>
      <c r="Z163">
        <f t="shared" si="56"/>
        <v>276.13333333333333</v>
      </c>
      <c r="AA163">
        <f t="shared" si="56"/>
        <v>306.35000000000002</v>
      </c>
      <c r="AB163">
        <f t="shared" si="56"/>
        <v>348.75</v>
      </c>
      <c r="AC163">
        <f t="shared" si="56"/>
        <v>170.86666666666665</v>
      </c>
      <c r="AD163">
        <f t="shared" si="56"/>
        <v>221</v>
      </c>
      <c r="AE163">
        <f t="shared" si="56"/>
        <v>79.083333333333329</v>
      </c>
      <c r="AF163" s="12">
        <f t="shared" si="42"/>
        <v>0.40639282455454284</v>
      </c>
      <c r="AG163">
        <f t="shared" si="45"/>
        <v>6704</v>
      </c>
      <c r="AH163">
        <f t="shared" si="46"/>
        <v>3634.98</v>
      </c>
      <c r="AI163">
        <f t="shared" si="47"/>
        <v>861.81999999999994</v>
      </c>
      <c r="AJ163">
        <f t="shared" si="48"/>
        <v>385.91999999999996</v>
      </c>
      <c r="AK163">
        <f t="shared" si="49"/>
        <v>389.12</v>
      </c>
      <c r="AL163">
        <f t="shared" si="50"/>
        <v>244.16000000000003</v>
      </c>
      <c r="AM163">
        <f t="shared" si="51"/>
        <v>256.22000000000003</v>
      </c>
      <c r="AN163">
        <f t="shared" si="52"/>
        <v>263.5</v>
      </c>
      <c r="AO163">
        <f t="shared" si="53"/>
        <v>111.83999999999999</v>
      </c>
      <c r="AP163">
        <f t="shared" si="54"/>
        <v>88.4</v>
      </c>
      <c r="AQ163">
        <f t="shared" si="55"/>
        <v>0.38925367746593265</v>
      </c>
    </row>
    <row r="164" spans="1:43" x14ac:dyDescent="0.35">
      <c r="A164" t="s">
        <v>313</v>
      </c>
      <c r="B164" t="s">
        <v>314</v>
      </c>
      <c r="C164">
        <f>VLOOKUP(CONCATENATE("2024",'2024_60'!A164),aktivnepesseg!$C$2:$D$2226,2,FALSE)</f>
        <v>64025</v>
      </c>
      <c r="D164">
        <f t="shared" si="43"/>
        <v>42797</v>
      </c>
      <c r="E164">
        <f t="shared" si="44"/>
        <v>21228</v>
      </c>
      <c r="F164">
        <v>6523</v>
      </c>
      <c r="G164">
        <v>1649</v>
      </c>
      <c r="H164">
        <v>878</v>
      </c>
      <c r="I164">
        <v>1016</v>
      </c>
      <c r="J164">
        <v>671</v>
      </c>
      <c r="K164">
        <v>858</v>
      </c>
      <c r="L164">
        <v>992</v>
      </c>
      <c r="M164">
        <v>705</v>
      </c>
      <c r="N164">
        <v>1351</v>
      </c>
      <c r="O164">
        <v>1425</v>
      </c>
      <c r="P164">
        <v>5122</v>
      </c>
      <c r="Q164">
        <v>4121</v>
      </c>
      <c r="R164">
        <v>13029</v>
      </c>
      <c r="S164">
        <v>3760</v>
      </c>
      <c r="T164">
        <v>697</v>
      </c>
      <c r="U164">
        <f t="shared" si="57"/>
        <v>21228</v>
      </c>
      <c r="V164">
        <f t="shared" si="57"/>
        <v>6196.8499999999995</v>
      </c>
      <c r="W164">
        <f t="shared" si="57"/>
        <v>1401.6499999999999</v>
      </c>
      <c r="X164">
        <f t="shared" si="57"/>
        <v>673.13333333333333</v>
      </c>
      <c r="Y164">
        <f t="shared" si="57"/>
        <v>711.19999999999993</v>
      </c>
      <c r="Z164">
        <f t="shared" si="56"/>
        <v>424.96666666666664</v>
      </c>
      <c r="AA164">
        <f t="shared" si="56"/>
        <v>471.90000000000003</v>
      </c>
      <c r="AB164">
        <f t="shared" si="56"/>
        <v>446.40000000000003</v>
      </c>
      <c r="AC164">
        <f t="shared" si="56"/>
        <v>258.5</v>
      </c>
      <c r="AD164">
        <f t="shared" si="56"/>
        <v>337.75</v>
      </c>
      <c r="AE164">
        <f t="shared" si="56"/>
        <v>118.75</v>
      </c>
      <c r="AF164" s="12">
        <f t="shared" si="42"/>
        <v>0.50400780944943391</v>
      </c>
      <c r="AG164">
        <f t="shared" si="45"/>
        <v>21228</v>
      </c>
      <c r="AH164">
        <f t="shared" si="46"/>
        <v>6131.62</v>
      </c>
      <c r="AI164">
        <f t="shared" si="47"/>
        <v>1352.1799999999998</v>
      </c>
      <c r="AJ164">
        <f t="shared" si="48"/>
        <v>632.16</v>
      </c>
      <c r="AK164">
        <f t="shared" si="49"/>
        <v>650.24</v>
      </c>
      <c r="AL164">
        <f t="shared" si="50"/>
        <v>375.76000000000005</v>
      </c>
      <c r="AM164">
        <f t="shared" si="51"/>
        <v>394.68</v>
      </c>
      <c r="AN164">
        <f t="shared" si="52"/>
        <v>337.28000000000003</v>
      </c>
      <c r="AO164">
        <f t="shared" si="53"/>
        <v>169.2</v>
      </c>
      <c r="AP164">
        <f t="shared" si="54"/>
        <v>135.1</v>
      </c>
      <c r="AQ164">
        <f t="shared" si="55"/>
        <v>0.49053057399453337</v>
      </c>
    </row>
    <row r="165" spans="1:43" x14ac:dyDescent="0.35">
      <c r="A165" t="s">
        <v>315</v>
      </c>
      <c r="B165" t="s">
        <v>316</v>
      </c>
      <c r="C165">
        <f>VLOOKUP(CONCATENATE("2024",'2024_60'!A165),aktivnepesseg!$C$2:$D$2226,2,FALSE)</f>
        <v>9780</v>
      </c>
      <c r="D165">
        <f t="shared" si="43"/>
        <v>7482</v>
      </c>
      <c r="E165">
        <f t="shared" si="44"/>
        <v>2298</v>
      </c>
      <c r="F165">
        <v>929</v>
      </c>
      <c r="G165">
        <v>229</v>
      </c>
      <c r="H165">
        <v>137</v>
      </c>
      <c r="I165">
        <v>134</v>
      </c>
      <c r="J165">
        <v>92</v>
      </c>
      <c r="K165">
        <v>122</v>
      </c>
      <c r="L165">
        <v>307</v>
      </c>
      <c r="M165">
        <v>96</v>
      </c>
      <c r="N165">
        <v>267</v>
      </c>
      <c r="O165">
        <v>231</v>
      </c>
      <c r="P165">
        <v>1084</v>
      </c>
      <c r="Q165">
        <v>1078</v>
      </c>
      <c r="R165">
        <v>2343</v>
      </c>
      <c r="S165">
        <v>377</v>
      </c>
      <c r="T165">
        <v>56</v>
      </c>
      <c r="U165">
        <f t="shared" si="57"/>
        <v>2298</v>
      </c>
      <c r="V165">
        <f t="shared" si="57"/>
        <v>882.55</v>
      </c>
      <c r="W165">
        <f t="shared" si="57"/>
        <v>194.65</v>
      </c>
      <c r="X165">
        <f t="shared" si="57"/>
        <v>105.03333333333335</v>
      </c>
      <c r="Y165">
        <f t="shared" si="57"/>
        <v>93.8</v>
      </c>
      <c r="Z165">
        <f t="shared" si="56"/>
        <v>58.266666666666666</v>
      </c>
      <c r="AA165">
        <f t="shared" si="56"/>
        <v>67.100000000000009</v>
      </c>
      <c r="AB165">
        <f t="shared" si="56"/>
        <v>138.15</v>
      </c>
      <c r="AC165">
        <f t="shared" si="56"/>
        <v>35.199999999999996</v>
      </c>
      <c r="AD165">
        <f t="shared" si="56"/>
        <v>66.75</v>
      </c>
      <c r="AE165">
        <f t="shared" si="56"/>
        <v>19.25</v>
      </c>
      <c r="AF165" s="12">
        <f t="shared" si="42"/>
        <v>0.40478016359918206</v>
      </c>
      <c r="AG165">
        <f t="shared" si="45"/>
        <v>2298</v>
      </c>
      <c r="AH165">
        <f t="shared" si="46"/>
        <v>873.26</v>
      </c>
      <c r="AI165">
        <f t="shared" si="47"/>
        <v>187.78</v>
      </c>
      <c r="AJ165">
        <f t="shared" si="48"/>
        <v>98.64</v>
      </c>
      <c r="AK165">
        <f t="shared" si="49"/>
        <v>85.76</v>
      </c>
      <c r="AL165">
        <f t="shared" si="50"/>
        <v>51.52</v>
      </c>
      <c r="AM165">
        <f t="shared" si="51"/>
        <v>56.120000000000005</v>
      </c>
      <c r="AN165">
        <f t="shared" si="52"/>
        <v>104.38000000000001</v>
      </c>
      <c r="AO165">
        <f t="shared" si="53"/>
        <v>23.04</v>
      </c>
      <c r="AP165">
        <f t="shared" si="54"/>
        <v>26.700000000000003</v>
      </c>
      <c r="AQ165">
        <f t="shared" si="55"/>
        <v>0.38907975460122701</v>
      </c>
    </row>
    <row r="166" spans="1:43" x14ac:dyDescent="0.35">
      <c r="A166" t="s">
        <v>317</v>
      </c>
      <c r="B166" t="s">
        <v>318</v>
      </c>
      <c r="C166">
        <f>VLOOKUP(CONCATENATE("2024",'2024_60'!A166),aktivnepesseg!$C$2:$D$2226,2,FALSE)</f>
        <v>16196</v>
      </c>
      <c r="D166">
        <f t="shared" si="43"/>
        <v>13774</v>
      </c>
      <c r="E166">
        <f t="shared" si="44"/>
        <v>2422</v>
      </c>
      <c r="F166">
        <v>2084</v>
      </c>
      <c r="G166">
        <v>482</v>
      </c>
      <c r="H166">
        <v>230</v>
      </c>
      <c r="I166">
        <v>271</v>
      </c>
      <c r="J166">
        <v>149</v>
      </c>
      <c r="K166">
        <v>269</v>
      </c>
      <c r="L166">
        <v>435</v>
      </c>
      <c r="M166">
        <v>237</v>
      </c>
      <c r="N166">
        <v>391</v>
      </c>
      <c r="O166">
        <v>436</v>
      </c>
      <c r="P166">
        <v>1781</v>
      </c>
      <c r="Q166">
        <v>1751</v>
      </c>
      <c r="R166">
        <v>4175</v>
      </c>
      <c r="S166">
        <v>939</v>
      </c>
      <c r="T166">
        <v>144</v>
      </c>
      <c r="U166">
        <f t="shared" si="57"/>
        <v>2422</v>
      </c>
      <c r="V166">
        <f t="shared" si="57"/>
        <v>1979.8</v>
      </c>
      <c r="W166">
        <f t="shared" si="57"/>
        <v>409.7</v>
      </c>
      <c r="X166">
        <f t="shared" si="57"/>
        <v>176.33333333333334</v>
      </c>
      <c r="Y166">
        <f t="shared" si="57"/>
        <v>189.7</v>
      </c>
      <c r="Z166">
        <f t="shared" si="56"/>
        <v>94.36666666666666</v>
      </c>
      <c r="AA166">
        <f t="shared" si="56"/>
        <v>147.95000000000002</v>
      </c>
      <c r="AB166">
        <f t="shared" si="56"/>
        <v>195.75</v>
      </c>
      <c r="AC166">
        <f t="shared" si="56"/>
        <v>86.899999999999991</v>
      </c>
      <c r="AD166">
        <f t="shared" si="56"/>
        <v>97.75</v>
      </c>
      <c r="AE166">
        <f t="shared" si="56"/>
        <v>36.333333333333329</v>
      </c>
      <c r="AF166" s="12">
        <f t="shared" si="42"/>
        <v>0.36037190252737294</v>
      </c>
      <c r="AG166">
        <f t="shared" si="45"/>
        <v>2422</v>
      </c>
      <c r="AH166">
        <f t="shared" si="46"/>
        <v>1958.9599999999998</v>
      </c>
      <c r="AI166">
        <f t="shared" si="47"/>
        <v>395.23999999999995</v>
      </c>
      <c r="AJ166">
        <f t="shared" si="48"/>
        <v>165.6</v>
      </c>
      <c r="AK166">
        <f t="shared" si="49"/>
        <v>173.44</v>
      </c>
      <c r="AL166">
        <f t="shared" si="50"/>
        <v>83.440000000000012</v>
      </c>
      <c r="AM166">
        <f t="shared" si="51"/>
        <v>123.74000000000001</v>
      </c>
      <c r="AN166">
        <f t="shared" si="52"/>
        <v>147.9</v>
      </c>
      <c r="AO166">
        <f t="shared" si="53"/>
        <v>56.879999999999995</v>
      </c>
      <c r="AP166">
        <f t="shared" si="54"/>
        <v>39.1</v>
      </c>
      <c r="AQ166">
        <f t="shared" si="55"/>
        <v>0.34368362558656451</v>
      </c>
    </row>
    <row r="167" spans="1:43" x14ac:dyDescent="0.35">
      <c r="A167" t="s">
        <v>319</v>
      </c>
      <c r="B167" t="s">
        <v>320</v>
      </c>
      <c r="C167">
        <f>VLOOKUP(CONCATENATE("2024",'2024_60'!A167),aktivnepesseg!$C$2:$D$2226,2,FALSE)</f>
        <v>11882</v>
      </c>
      <c r="D167">
        <f t="shared" si="43"/>
        <v>8757</v>
      </c>
      <c r="E167">
        <f t="shared" si="44"/>
        <v>3125</v>
      </c>
      <c r="F167">
        <v>1186</v>
      </c>
      <c r="G167">
        <v>398</v>
      </c>
      <c r="H167">
        <v>209</v>
      </c>
      <c r="I167">
        <v>213</v>
      </c>
      <c r="J167">
        <v>191</v>
      </c>
      <c r="K167">
        <v>280</v>
      </c>
      <c r="L167">
        <v>501</v>
      </c>
      <c r="M167">
        <v>152</v>
      </c>
      <c r="N167">
        <v>272</v>
      </c>
      <c r="O167">
        <v>338</v>
      </c>
      <c r="P167">
        <v>1302</v>
      </c>
      <c r="Q167">
        <v>888</v>
      </c>
      <c r="R167">
        <v>2194</v>
      </c>
      <c r="S167">
        <v>598</v>
      </c>
      <c r="T167">
        <v>35</v>
      </c>
      <c r="U167">
        <f t="shared" si="57"/>
        <v>3125</v>
      </c>
      <c r="V167">
        <f t="shared" si="57"/>
        <v>1126.7</v>
      </c>
      <c r="W167">
        <f t="shared" si="57"/>
        <v>338.3</v>
      </c>
      <c r="X167">
        <f t="shared" si="57"/>
        <v>160.23333333333335</v>
      </c>
      <c r="Y167">
        <f t="shared" si="57"/>
        <v>149.1</v>
      </c>
      <c r="Z167">
        <f t="shared" si="56"/>
        <v>120.96666666666665</v>
      </c>
      <c r="AA167">
        <f t="shared" si="56"/>
        <v>154</v>
      </c>
      <c r="AB167">
        <f t="shared" si="56"/>
        <v>225.45000000000002</v>
      </c>
      <c r="AC167">
        <f t="shared" si="56"/>
        <v>55.733333333333327</v>
      </c>
      <c r="AD167">
        <f t="shared" si="56"/>
        <v>68</v>
      </c>
      <c r="AE167">
        <f t="shared" si="56"/>
        <v>28.166666666666664</v>
      </c>
      <c r="AF167" s="12">
        <f t="shared" si="42"/>
        <v>0.46723194748358865</v>
      </c>
      <c r="AG167">
        <f t="shared" si="45"/>
        <v>3125</v>
      </c>
      <c r="AH167">
        <f t="shared" si="46"/>
        <v>1114.8399999999999</v>
      </c>
      <c r="AI167">
        <f t="shared" si="47"/>
        <v>326.35999999999996</v>
      </c>
      <c r="AJ167">
        <f t="shared" si="48"/>
        <v>150.47999999999999</v>
      </c>
      <c r="AK167">
        <f t="shared" si="49"/>
        <v>136.32</v>
      </c>
      <c r="AL167">
        <f t="shared" si="50"/>
        <v>106.96000000000001</v>
      </c>
      <c r="AM167">
        <f t="shared" si="51"/>
        <v>128.80000000000001</v>
      </c>
      <c r="AN167">
        <f t="shared" si="52"/>
        <v>170.34</v>
      </c>
      <c r="AO167">
        <f t="shared" si="53"/>
        <v>36.479999999999997</v>
      </c>
      <c r="AP167">
        <f t="shared" si="54"/>
        <v>27.200000000000003</v>
      </c>
      <c r="AQ167">
        <f t="shared" si="55"/>
        <v>0.44797003871402113</v>
      </c>
    </row>
    <row r="168" spans="1:43" x14ac:dyDescent="0.35">
      <c r="A168" t="s">
        <v>321</v>
      </c>
      <c r="B168" t="s">
        <v>322</v>
      </c>
      <c r="C168">
        <f>VLOOKUP(CONCATENATE("2024",'2024_60'!A168),aktivnepesseg!$C$2:$D$2226,2,FALSE)</f>
        <v>127110</v>
      </c>
      <c r="D168">
        <f t="shared" si="43"/>
        <v>100638</v>
      </c>
      <c r="E168">
        <f t="shared" si="44"/>
        <v>26472</v>
      </c>
      <c r="F168">
        <v>11451</v>
      </c>
      <c r="G168">
        <v>2821</v>
      </c>
      <c r="H168">
        <v>1453</v>
      </c>
      <c r="I168">
        <v>2136</v>
      </c>
      <c r="J168">
        <v>1350</v>
      </c>
      <c r="K168">
        <v>1718</v>
      </c>
      <c r="L168">
        <v>2368</v>
      </c>
      <c r="M168">
        <v>1709</v>
      </c>
      <c r="N168">
        <v>2779</v>
      </c>
      <c r="O168">
        <v>2939</v>
      </c>
      <c r="P168">
        <v>11984</v>
      </c>
      <c r="Q168">
        <v>10237</v>
      </c>
      <c r="R168">
        <v>32681</v>
      </c>
      <c r="S168">
        <v>11782</v>
      </c>
      <c r="T168">
        <v>3230</v>
      </c>
      <c r="U168">
        <f t="shared" si="57"/>
        <v>26472</v>
      </c>
      <c r="V168">
        <f t="shared" si="57"/>
        <v>10878.449999999999</v>
      </c>
      <c r="W168">
        <f t="shared" si="57"/>
        <v>2397.85</v>
      </c>
      <c r="X168">
        <f t="shared" si="57"/>
        <v>1113.9666666666667</v>
      </c>
      <c r="Y168">
        <f t="shared" si="57"/>
        <v>1495.1999999999998</v>
      </c>
      <c r="Z168">
        <f t="shared" si="56"/>
        <v>855</v>
      </c>
      <c r="AA168">
        <f t="shared" si="56"/>
        <v>944.90000000000009</v>
      </c>
      <c r="AB168">
        <f t="shared" si="56"/>
        <v>1065.6000000000001</v>
      </c>
      <c r="AC168">
        <f t="shared" si="56"/>
        <v>626.63333333333333</v>
      </c>
      <c r="AD168">
        <f t="shared" si="56"/>
        <v>694.75</v>
      </c>
      <c r="AE168">
        <f t="shared" si="56"/>
        <v>244.91666666666666</v>
      </c>
      <c r="AF168" s="12">
        <f t="shared" si="42"/>
        <v>0.36810059528492373</v>
      </c>
      <c r="AG168">
        <f t="shared" si="45"/>
        <v>26472</v>
      </c>
      <c r="AH168">
        <f t="shared" si="46"/>
        <v>10763.939999999999</v>
      </c>
      <c r="AI168">
        <f t="shared" si="47"/>
        <v>2313.2199999999998</v>
      </c>
      <c r="AJ168">
        <f t="shared" si="48"/>
        <v>1046.1599999999999</v>
      </c>
      <c r="AK168">
        <f t="shared" si="49"/>
        <v>1367.04</v>
      </c>
      <c r="AL168">
        <f t="shared" si="50"/>
        <v>756.00000000000011</v>
      </c>
      <c r="AM168">
        <f t="shared" si="51"/>
        <v>790.28000000000009</v>
      </c>
      <c r="AN168">
        <f t="shared" si="52"/>
        <v>805.12</v>
      </c>
      <c r="AO168">
        <f t="shared" si="53"/>
        <v>410.15999999999997</v>
      </c>
      <c r="AP168">
        <f t="shared" si="54"/>
        <v>277.90000000000003</v>
      </c>
      <c r="AQ168">
        <f t="shared" si="55"/>
        <v>0.35403839194398562</v>
      </c>
    </row>
    <row r="169" spans="1:43" x14ac:dyDescent="0.35">
      <c r="A169" t="s">
        <v>323</v>
      </c>
      <c r="B169" t="s">
        <v>324</v>
      </c>
      <c r="C169">
        <f>VLOOKUP(CONCATENATE("2024",'2024_60'!A169),aktivnepesseg!$C$2:$D$2226,2,FALSE)</f>
        <v>18000</v>
      </c>
      <c r="D169">
        <f t="shared" si="43"/>
        <v>14368</v>
      </c>
      <c r="E169">
        <f t="shared" si="44"/>
        <v>3632</v>
      </c>
      <c r="F169">
        <v>1669</v>
      </c>
      <c r="G169">
        <v>495</v>
      </c>
      <c r="H169">
        <v>262</v>
      </c>
      <c r="I169">
        <v>290</v>
      </c>
      <c r="J169">
        <v>225</v>
      </c>
      <c r="K169">
        <v>417</v>
      </c>
      <c r="L169">
        <v>883</v>
      </c>
      <c r="M169">
        <v>291</v>
      </c>
      <c r="N169">
        <v>469</v>
      </c>
      <c r="O169">
        <v>523</v>
      </c>
      <c r="P169">
        <v>2109</v>
      </c>
      <c r="Q169">
        <v>1737</v>
      </c>
      <c r="R169">
        <v>4036</v>
      </c>
      <c r="S169">
        <v>855</v>
      </c>
      <c r="T169">
        <v>107</v>
      </c>
      <c r="U169">
        <f t="shared" si="57"/>
        <v>3632</v>
      </c>
      <c r="V169">
        <f t="shared" si="57"/>
        <v>1585.55</v>
      </c>
      <c r="W169">
        <f t="shared" si="57"/>
        <v>420.75</v>
      </c>
      <c r="X169">
        <f t="shared" si="57"/>
        <v>200.86666666666667</v>
      </c>
      <c r="Y169">
        <f t="shared" si="57"/>
        <v>203</v>
      </c>
      <c r="Z169">
        <f t="shared" si="56"/>
        <v>142.5</v>
      </c>
      <c r="AA169">
        <f t="shared" si="56"/>
        <v>229.35000000000002</v>
      </c>
      <c r="AB169">
        <f t="shared" si="56"/>
        <v>397.35</v>
      </c>
      <c r="AC169">
        <f t="shared" si="56"/>
        <v>106.69999999999999</v>
      </c>
      <c r="AD169">
        <f t="shared" si="56"/>
        <v>117.25</v>
      </c>
      <c r="AE169">
        <f t="shared" si="56"/>
        <v>43.583333333333329</v>
      </c>
      <c r="AF169" s="12">
        <f t="shared" si="42"/>
        <v>0.39327222222222225</v>
      </c>
      <c r="AG169">
        <f t="shared" si="45"/>
        <v>3632</v>
      </c>
      <c r="AH169">
        <f t="shared" si="46"/>
        <v>1568.86</v>
      </c>
      <c r="AI169">
        <f t="shared" si="47"/>
        <v>405.9</v>
      </c>
      <c r="AJ169">
        <f t="shared" si="48"/>
        <v>188.64</v>
      </c>
      <c r="AK169">
        <f t="shared" si="49"/>
        <v>185.6</v>
      </c>
      <c r="AL169">
        <f t="shared" si="50"/>
        <v>126.00000000000001</v>
      </c>
      <c r="AM169">
        <f t="shared" si="51"/>
        <v>191.82000000000002</v>
      </c>
      <c r="AN169">
        <f t="shared" si="52"/>
        <v>300.22000000000003</v>
      </c>
      <c r="AO169">
        <f t="shared" si="53"/>
        <v>69.84</v>
      </c>
      <c r="AP169">
        <f t="shared" si="54"/>
        <v>46.900000000000006</v>
      </c>
      <c r="AQ169">
        <f t="shared" si="55"/>
        <v>0.37309888888888887</v>
      </c>
    </row>
    <row r="170" spans="1:43" x14ac:dyDescent="0.35">
      <c r="A170" t="s">
        <v>325</v>
      </c>
      <c r="B170" t="s">
        <v>326</v>
      </c>
      <c r="C170">
        <f>VLOOKUP(CONCATENATE("2024",'2024_60'!A170),aktivnepesseg!$C$2:$D$2226,2,FALSE)</f>
        <v>96211</v>
      </c>
      <c r="D170">
        <f t="shared" si="43"/>
        <v>81913</v>
      </c>
      <c r="E170">
        <f t="shared" si="44"/>
        <v>14298</v>
      </c>
      <c r="F170">
        <v>7649</v>
      </c>
      <c r="G170">
        <v>2197</v>
      </c>
      <c r="H170">
        <v>1206</v>
      </c>
      <c r="I170">
        <v>1321</v>
      </c>
      <c r="J170">
        <v>966</v>
      </c>
      <c r="K170">
        <v>1422</v>
      </c>
      <c r="L170">
        <v>1759</v>
      </c>
      <c r="M170">
        <v>1034</v>
      </c>
      <c r="N170">
        <v>2038</v>
      </c>
      <c r="O170">
        <v>2257</v>
      </c>
      <c r="P170">
        <v>9091</v>
      </c>
      <c r="Q170">
        <v>7735</v>
      </c>
      <c r="R170">
        <v>28980</v>
      </c>
      <c r="S170">
        <v>11722</v>
      </c>
      <c r="T170">
        <v>2536</v>
      </c>
      <c r="U170">
        <f t="shared" si="57"/>
        <v>14298</v>
      </c>
      <c r="V170">
        <f t="shared" si="57"/>
        <v>7266.5499999999993</v>
      </c>
      <c r="W170">
        <f t="shared" si="57"/>
        <v>1867.45</v>
      </c>
      <c r="X170">
        <f t="shared" si="57"/>
        <v>924.6</v>
      </c>
      <c r="Y170">
        <f t="shared" si="57"/>
        <v>924.69999999999993</v>
      </c>
      <c r="Z170">
        <f t="shared" si="56"/>
        <v>611.79999999999995</v>
      </c>
      <c r="AA170">
        <f t="shared" si="56"/>
        <v>782.1</v>
      </c>
      <c r="AB170">
        <f t="shared" si="56"/>
        <v>791.55000000000007</v>
      </c>
      <c r="AC170">
        <f t="shared" si="56"/>
        <v>379.13333333333333</v>
      </c>
      <c r="AD170">
        <f t="shared" si="56"/>
        <v>509.5</v>
      </c>
      <c r="AE170">
        <f t="shared" si="56"/>
        <v>188.08333333333331</v>
      </c>
      <c r="AF170" s="12">
        <f t="shared" si="42"/>
        <v>0.29667570929173032</v>
      </c>
      <c r="AG170">
        <f t="shared" si="45"/>
        <v>14298</v>
      </c>
      <c r="AH170">
        <f t="shared" si="46"/>
        <v>7190.0599999999995</v>
      </c>
      <c r="AI170">
        <f t="shared" si="47"/>
        <v>1801.54</v>
      </c>
      <c r="AJ170">
        <f t="shared" si="48"/>
        <v>868.31999999999994</v>
      </c>
      <c r="AK170">
        <f t="shared" si="49"/>
        <v>845.44</v>
      </c>
      <c r="AL170">
        <f t="shared" si="50"/>
        <v>540.96</v>
      </c>
      <c r="AM170">
        <f t="shared" si="51"/>
        <v>654.12</v>
      </c>
      <c r="AN170">
        <f t="shared" si="52"/>
        <v>598.06000000000006</v>
      </c>
      <c r="AO170">
        <f t="shared" si="53"/>
        <v>248.16</v>
      </c>
      <c r="AP170">
        <f t="shared" si="54"/>
        <v>203.8</v>
      </c>
      <c r="AQ170">
        <f t="shared" si="55"/>
        <v>0.28321564062321353</v>
      </c>
    </row>
    <row r="171" spans="1:43" x14ac:dyDescent="0.35">
      <c r="A171" t="s">
        <v>327</v>
      </c>
      <c r="B171" t="s">
        <v>328</v>
      </c>
      <c r="C171">
        <f>VLOOKUP(CONCATENATE("2024",'2024_60'!A171),aktivnepesseg!$C$2:$D$2226,2,FALSE)</f>
        <v>34876</v>
      </c>
      <c r="D171">
        <f t="shared" si="43"/>
        <v>27065</v>
      </c>
      <c r="E171">
        <f t="shared" si="44"/>
        <v>7811</v>
      </c>
      <c r="F171">
        <v>3462</v>
      </c>
      <c r="G171">
        <v>794</v>
      </c>
      <c r="H171">
        <v>400</v>
      </c>
      <c r="I171">
        <v>502</v>
      </c>
      <c r="J171">
        <v>334</v>
      </c>
      <c r="K171">
        <v>513</v>
      </c>
      <c r="L171">
        <v>684</v>
      </c>
      <c r="M171">
        <v>384</v>
      </c>
      <c r="N171">
        <v>780</v>
      </c>
      <c r="O171">
        <v>907</v>
      </c>
      <c r="P171">
        <v>3373</v>
      </c>
      <c r="Q171">
        <v>3051</v>
      </c>
      <c r="R171">
        <v>8648</v>
      </c>
      <c r="S171">
        <v>2596</v>
      </c>
      <c r="T171">
        <v>637</v>
      </c>
      <c r="U171">
        <f t="shared" si="57"/>
        <v>7811</v>
      </c>
      <c r="V171">
        <f t="shared" si="57"/>
        <v>3288.8999999999996</v>
      </c>
      <c r="W171">
        <f t="shared" si="57"/>
        <v>674.9</v>
      </c>
      <c r="X171">
        <f t="shared" si="57"/>
        <v>306.66666666666669</v>
      </c>
      <c r="Y171">
        <f t="shared" si="57"/>
        <v>351.4</v>
      </c>
      <c r="Z171">
        <f t="shared" si="56"/>
        <v>211.53333333333333</v>
      </c>
      <c r="AA171">
        <f t="shared" si="56"/>
        <v>282.15000000000003</v>
      </c>
      <c r="AB171">
        <f t="shared" si="56"/>
        <v>307.8</v>
      </c>
      <c r="AC171">
        <f t="shared" si="56"/>
        <v>140.79999999999998</v>
      </c>
      <c r="AD171">
        <f t="shared" si="56"/>
        <v>195</v>
      </c>
      <c r="AE171">
        <f t="shared" si="56"/>
        <v>75.583333333333329</v>
      </c>
      <c r="AF171" s="12">
        <f t="shared" si="42"/>
        <v>0.39126428871812508</v>
      </c>
      <c r="AG171">
        <f t="shared" si="45"/>
        <v>7811</v>
      </c>
      <c r="AH171">
        <f t="shared" si="46"/>
        <v>3254.2799999999997</v>
      </c>
      <c r="AI171">
        <f t="shared" si="47"/>
        <v>651.07999999999993</v>
      </c>
      <c r="AJ171">
        <f t="shared" si="48"/>
        <v>288</v>
      </c>
      <c r="AK171">
        <f t="shared" si="49"/>
        <v>321.28000000000003</v>
      </c>
      <c r="AL171">
        <f t="shared" si="50"/>
        <v>187.04000000000002</v>
      </c>
      <c r="AM171">
        <f t="shared" si="51"/>
        <v>235.98000000000002</v>
      </c>
      <c r="AN171">
        <f t="shared" si="52"/>
        <v>232.56000000000003</v>
      </c>
      <c r="AO171">
        <f t="shared" si="53"/>
        <v>92.16</v>
      </c>
      <c r="AP171">
        <f t="shared" si="54"/>
        <v>78</v>
      </c>
      <c r="AQ171">
        <f t="shared" si="55"/>
        <v>0.3770896891845395</v>
      </c>
    </row>
    <row r="172" spans="1:43" x14ac:dyDescent="0.35">
      <c r="A172" t="s">
        <v>329</v>
      </c>
      <c r="B172" t="s">
        <v>330</v>
      </c>
      <c r="C172">
        <f>VLOOKUP(CONCATENATE("2024",'2024_60'!A172),aktivnepesseg!$C$2:$D$2226,2,FALSE)</f>
        <v>58062</v>
      </c>
      <c r="D172">
        <f t="shared" si="43"/>
        <v>47281</v>
      </c>
      <c r="E172">
        <f t="shared" si="44"/>
        <v>10781</v>
      </c>
      <c r="F172">
        <v>4805</v>
      </c>
      <c r="G172">
        <v>1361</v>
      </c>
      <c r="H172">
        <v>773</v>
      </c>
      <c r="I172">
        <v>1057</v>
      </c>
      <c r="J172">
        <v>665</v>
      </c>
      <c r="K172">
        <v>906</v>
      </c>
      <c r="L172">
        <v>1286</v>
      </c>
      <c r="M172">
        <v>895</v>
      </c>
      <c r="N172">
        <v>1420</v>
      </c>
      <c r="O172">
        <v>1445</v>
      </c>
      <c r="P172">
        <v>5841</v>
      </c>
      <c r="Q172">
        <v>4023</v>
      </c>
      <c r="R172">
        <v>13312</v>
      </c>
      <c r="S172">
        <v>6887</v>
      </c>
      <c r="T172">
        <v>2605</v>
      </c>
      <c r="U172">
        <f t="shared" si="57"/>
        <v>10781</v>
      </c>
      <c r="V172">
        <f t="shared" si="57"/>
        <v>4564.75</v>
      </c>
      <c r="W172">
        <f t="shared" si="57"/>
        <v>1156.8499999999999</v>
      </c>
      <c r="X172">
        <f t="shared" si="57"/>
        <v>592.63333333333333</v>
      </c>
      <c r="Y172">
        <f t="shared" si="57"/>
        <v>739.9</v>
      </c>
      <c r="Z172">
        <f t="shared" si="56"/>
        <v>421.16666666666663</v>
      </c>
      <c r="AA172">
        <f t="shared" si="56"/>
        <v>498.30000000000007</v>
      </c>
      <c r="AB172">
        <f t="shared" si="56"/>
        <v>578.70000000000005</v>
      </c>
      <c r="AC172">
        <f t="shared" si="56"/>
        <v>328.16666666666663</v>
      </c>
      <c r="AD172">
        <f t="shared" si="56"/>
        <v>355</v>
      </c>
      <c r="AE172">
        <f t="shared" si="56"/>
        <v>120.41666666666666</v>
      </c>
      <c r="AF172" s="12">
        <f t="shared" si="42"/>
        <v>0.34681690836232543</v>
      </c>
      <c r="AG172">
        <f t="shared" si="45"/>
        <v>10781</v>
      </c>
      <c r="AH172">
        <f t="shared" si="46"/>
        <v>4516.7</v>
      </c>
      <c r="AI172">
        <f t="shared" si="47"/>
        <v>1116.02</v>
      </c>
      <c r="AJ172">
        <f t="shared" si="48"/>
        <v>556.55999999999995</v>
      </c>
      <c r="AK172">
        <f t="shared" si="49"/>
        <v>676.48</v>
      </c>
      <c r="AL172">
        <f t="shared" si="50"/>
        <v>372.40000000000003</v>
      </c>
      <c r="AM172">
        <f t="shared" si="51"/>
        <v>416.76</v>
      </c>
      <c r="AN172">
        <f t="shared" si="52"/>
        <v>437.24</v>
      </c>
      <c r="AO172">
        <f t="shared" si="53"/>
        <v>214.79999999999998</v>
      </c>
      <c r="AP172">
        <f t="shared" si="54"/>
        <v>142</v>
      </c>
      <c r="AQ172">
        <f t="shared" si="55"/>
        <v>0.33119699631428479</v>
      </c>
    </row>
    <row r="173" spans="1:43" x14ac:dyDescent="0.35">
      <c r="A173" t="s">
        <v>331</v>
      </c>
      <c r="B173" t="s">
        <v>332</v>
      </c>
      <c r="C173">
        <f>VLOOKUP(CONCATENATE("2024",'2024_60'!A173),aktivnepesseg!$C$2:$D$2226,2,FALSE)</f>
        <v>23460</v>
      </c>
      <c r="D173">
        <f t="shared" si="43"/>
        <v>19787</v>
      </c>
      <c r="E173">
        <f t="shared" si="44"/>
        <v>3673</v>
      </c>
      <c r="F173">
        <v>2860</v>
      </c>
      <c r="G173">
        <v>543</v>
      </c>
      <c r="H173">
        <v>312</v>
      </c>
      <c r="I173">
        <v>358</v>
      </c>
      <c r="J173">
        <v>218</v>
      </c>
      <c r="K173">
        <v>361</v>
      </c>
      <c r="L173">
        <v>563</v>
      </c>
      <c r="M173">
        <v>309</v>
      </c>
      <c r="N173">
        <v>602</v>
      </c>
      <c r="O173">
        <v>557</v>
      </c>
      <c r="P173">
        <v>2521</v>
      </c>
      <c r="Q173">
        <v>2250</v>
      </c>
      <c r="R173">
        <v>6593</v>
      </c>
      <c r="S173">
        <v>1556</v>
      </c>
      <c r="T173">
        <v>184</v>
      </c>
      <c r="U173">
        <f t="shared" si="57"/>
        <v>3673</v>
      </c>
      <c r="V173">
        <f t="shared" si="57"/>
        <v>2717</v>
      </c>
      <c r="W173">
        <f t="shared" si="57"/>
        <v>461.55</v>
      </c>
      <c r="X173">
        <f t="shared" si="57"/>
        <v>239.20000000000002</v>
      </c>
      <c r="Y173">
        <f t="shared" si="57"/>
        <v>250.6</v>
      </c>
      <c r="Z173">
        <f t="shared" si="56"/>
        <v>138.06666666666666</v>
      </c>
      <c r="AA173">
        <f t="shared" si="56"/>
        <v>198.55</v>
      </c>
      <c r="AB173">
        <f t="shared" si="56"/>
        <v>253.35</v>
      </c>
      <c r="AC173">
        <f t="shared" si="56"/>
        <v>113.3</v>
      </c>
      <c r="AD173">
        <f t="shared" si="56"/>
        <v>150.5</v>
      </c>
      <c r="AE173">
        <f t="shared" si="56"/>
        <v>46.416666666666664</v>
      </c>
      <c r="AF173" s="12">
        <f t="shared" si="42"/>
        <v>0.3513015061096903</v>
      </c>
      <c r="AG173">
        <f t="shared" si="45"/>
        <v>3673</v>
      </c>
      <c r="AH173">
        <f t="shared" si="46"/>
        <v>2688.3999999999996</v>
      </c>
      <c r="AI173">
        <f t="shared" si="47"/>
        <v>445.26</v>
      </c>
      <c r="AJ173">
        <f t="shared" si="48"/>
        <v>224.64</v>
      </c>
      <c r="AK173">
        <f t="shared" si="49"/>
        <v>229.12</v>
      </c>
      <c r="AL173">
        <f t="shared" si="50"/>
        <v>122.08000000000001</v>
      </c>
      <c r="AM173">
        <f t="shared" si="51"/>
        <v>166.06</v>
      </c>
      <c r="AN173">
        <f t="shared" si="52"/>
        <v>191.42000000000002</v>
      </c>
      <c r="AO173">
        <f t="shared" si="53"/>
        <v>74.16</v>
      </c>
      <c r="AP173">
        <f t="shared" si="54"/>
        <v>60.2</v>
      </c>
      <c r="AQ173">
        <f t="shared" si="55"/>
        <v>0.33564961636828644</v>
      </c>
    </row>
    <row r="174" spans="1:43" x14ac:dyDescent="0.35">
      <c r="A174" t="s">
        <v>333</v>
      </c>
      <c r="B174" t="s">
        <v>334</v>
      </c>
      <c r="C174">
        <f>VLOOKUP(CONCATENATE("2024",'2024_60'!A174),aktivnepesseg!$C$2:$D$2226,2,FALSE)</f>
        <v>9343</v>
      </c>
      <c r="D174">
        <f t="shared" si="43"/>
        <v>6216</v>
      </c>
      <c r="E174">
        <f t="shared" si="44"/>
        <v>3127</v>
      </c>
      <c r="F174">
        <v>978</v>
      </c>
      <c r="G174">
        <v>261</v>
      </c>
      <c r="H174">
        <v>108</v>
      </c>
      <c r="I174">
        <v>125</v>
      </c>
      <c r="J174">
        <v>77</v>
      </c>
      <c r="K174">
        <v>103</v>
      </c>
      <c r="L174">
        <v>192</v>
      </c>
      <c r="M174">
        <v>57</v>
      </c>
      <c r="N174">
        <v>150</v>
      </c>
      <c r="O174">
        <v>160</v>
      </c>
      <c r="P174">
        <v>643</v>
      </c>
      <c r="Q174">
        <v>631</v>
      </c>
      <c r="R174">
        <v>2004</v>
      </c>
      <c r="S174">
        <v>655</v>
      </c>
      <c r="T174">
        <v>72</v>
      </c>
      <c r="U174">
        <f t="shared" si="57"/>
        <v>3127</v>
      </c>
      <c r="V174">
        <f t="shared" si="57"/>
        <v>929.09999999999991</v>
      </c>
      <c r="W174">
        <f t="shared" si="57"/>
        <v>221.85</v>
      </c>
      <c r="X174">
        <f t="shared" si="57"/>
        <v>82.800000000000011</v>
      </c>
      <c r="Y174">
        <f t="shared" si="57"/>
        <v>87.5</v>
      </c>
      <c r="Z174">
        <f t="shared" si="56"/>
        <v>48.766666666666666</v>
      </c>
      <c r="AA174">
        <f t="shared" si="56"/>
        <v>56.650000000000006</v>
      </c>
      <c r="AB174">
        <f t="shared" si="56"/>
        <v>86.4</v>
      </c>
      <c r="AC174">
        <f t="shared" si="56"/>
        <v>20.9</v>
      </c>
      <c r="AD174">
        <f t="shared" si="56"/>
        <v>37.5</v>
      </c>
      <c r="AE174">
        <f t="shared" si="56"/>
        <v>13.333333333333332</v>
      </c>
      <c r="AF174" s="12">
        <f t="shared" si="42"/>
        <v>0.50431338970352113</v>
      </c>
      <c r="AG174">
        <f t="shared" si="45"/>
        <v>3127</v>
      </c>
      <c r="AH174">
        <f t="shared" si="46"/>
        <v>919.31999999999994</v>
      </c>
      <c r="AI174">
        <f t="shared" si="47"/>
        <v>214.01999999999998</v>
      </c>
      <c r="AJ174">
        <f t="shared" si="48"/>
        <v>77.759999999999991</v>
      </c>
      <c r="AK174">
        <f t="shared" si="49"/>
        <v>80</v>
      </c>
      <c r="AL174">
        <f t="shared" si="50"/>
        <v>43.120000000000005</v>
      </c>
      <c r="AM174">
        <f t="shared" si="51"/>
        <v>47.38</v>
      </c>
      <c r="AN174">
        <f t="shared" si="52"/>
        <v>65.28</v>
      </c>
      <c r="AO174">
        <f t="shared" si="53"/>
        <v>13.68</v>
      </c>
      <c r="AP174">
        <f t="shared" si="54"/>
        <v>15</v>
      </c>
      <c r="AQ174">
        <f t="shared" si="55"/>
        <v>0.49262121374290918</v>
      </c>
    </row>
    <row r="175" spans="1:43" x14ac:dyDescent="0.35">
      <c r="A175" t="s">
        <v>335</v>
      </c>
      <c r="B175" t="s">
        <v>336</v>
      </c>
      <c r="C175">
        <f>VLOOKUP(CONCATENATE("2024",'2024_60'!A175),aktivnepesseg!$C$2:$D$2226,2,FALSE)</f>
        <v>9619</v>
      </c>
      <c r="D175">
        <f t="shared" si="43"/>
        <v>7017</v>
      </c>
      <c r="E175">
        <f t="shared" si="44"/>
        <v>2602</v>
      </c>
      <c r="F175">
        <v>856</v>
      </c>
      <c r="G175">
        <v>260</v>
      </c>
      <c r="H175">
        <v>122</v>
      </c>
      <c r="I175">
        <v>111</v>
      </c>
      <c r="J175">
        <v>121</v>
      </c>
      <c r="K175">
        <v>179</v>
      </c>
      <c r="L175">
        <v>327</v>
      </c>
      <c r="M175">
        <v>106</v>
      </c>
      <c r="N175">
        <v>251</v>
      </c>
      <c r="O175">
        <v>258</v>
      </c>
      <c r="P175">
        <v>924</v>
      </c>
      <c r="Q175">
        <v>786</v>
      </c>
      <c r="R175">
        <v>2216</v>
      </c>
      <c r="S175">
        <v>456</v>
      </c>
      <c r="T175">
        <v>44</v>
      </c>
      <c r="U175">
        <f t="shared" si="57"/>
        <v>2602</v>
      </c>
      <c r="V175">
        <f t="shared" si="57"/>
        <v>813.19999999999993</v>
      </c>
      <c r="W175">
        <f t="shared" si="57"/>
        <v>221</v>
      </c>
      <c r="X175">
        <f t="shared" si="57"/>
        <v>93.533333333333346</v>
      </c>
      <c r="Y175">
        <f t="shared" si="57"/>
        <v>77.699999999999989</v>
      </c>
      <c r="Z175">
        <f t="shared" si="56"/>
        <v>76.633333333333326</v>
      </c>
      <c r="AA175">
        <f t="shared" si="56"/>
        <v>98.45</v>
      </c>
      <c r="AB175">
        <f t="shared" si="56"/>
        <v>147.15</v>
      </c>
      <c r="AC175">
        <f t="shared" si="56"/>
        <v>38.866666666666667</v>
      </c>
      <c r="AD175">
        <f t="shared" si="56"/>
        <v>62.75</v>
      </c>
      <c r="AE175">
        <f t="shared" si="56"/>
        <v>21.5</v>
      </c>
      <c r="AF175" s="12">
        <f t="shared" si="42"/>
        <v>0.44212322833281348</v>
      </c>
      <c r="AG175">
        <f t="shared" si="45"/>
        <v>2602</v>
      </c>
      <c r="AH175">
        <f t="shared" si="46"/>
        <v>804.64</v>
      </c>
      <c r="AI175">
        <f t="shared" si="47"/>
        <v>213.2</v>
      </c>
      <c r="AJ175">
        <f t="shared" si="48"/>
        <v>87.84</v>
      </c>
      <c r="AK175">
        <f t="shared" si="49"/>
        <v>71.040000000000006</v>
      </c>
      <c r="AL175">
        <f t="shared" si="50"/>
        <v>67.760000000000005</v>
      </c>
      <c r="AM175">
        <f t="shared" si="51"/>
        <v>82.34</v>
      </c>
      <c r="AN175">
        <f t="shared" si="52"/>
        <v>111.18</v>
      </c>
      <c r="AO175">
        <f t="shared" si="53"/>
        <v>25.439999999999998</v>
      </c>
      <c r="AP175">
        <f t="shared" si="54"/>
        <v>25.1</v>
      </c>
      <c r="AQ175">
        <f t="shared" si="55"/>
        <v>0.42525626364486951</v>
      </c>
    </row>
    <row r="176" spans="1:43" x14ac:dyDescent="0.35">
      <c r="A176" t="s">
        <v>337</v>
      </c>
      <c r="B176" t="s">
        <v>338</v>
      </c>
      <c r="C176">
        <f>VLOOKUP(CONCATENATE("2024",'2024_60'!A176),aktivnepesseg!$C$2:$D$2226,2,FALSE)</f>
        <v>24885</v>
      </c>
      <c r="D176">
        <f t="shared" si="43"/>
        <v>18141</v>
      </c>
      <c r="E176">
        <f t="shared" si="44"/>
        <v>6744</v>
      </c>
      <c r="F176">
        <v>2151</v>
      </c>
      <c r="G176">
        <v>745</v>
      </c>
      <c r="H176">
        <v>432</v>
      </c>
      <c r="I176">
        <v>446</v>
      </c>
      <c r="J176">
        <v>378</v>
      </c>
      <c r="K176">
        <v>603</v>
      </c>
      <c r="L176">
        <v>1191</v>
      </c>
      <c r="M176">
        <v>339</v>
      </c>
      <c r="N176">
        <v>688</v>
      </c>
      <c r="O176">
        <v>587</v>
      </c>
      <c r="P176">
        <v>2344</v>
      </c>
      <c r="Q176">
        <v>1859</v>
      </c>
      <c r="R176">
        <v>5034</v>
      </c>
      <c r="S176">
        <v>1228</v>
      </c>
      <c r="T176">
        <v>116</v>
      </c>
      <c r="U176">
        <f t="shared" si="57"/>
        <v>6744</v>
      </c>
      <c r="V176">
        <f t="shared" si="57"/>
        <v>2043.4499999999998</v>
      </c>
      <c r="W176">
        <f t="shared" si="57"/>
        <v>633.25</v>
      </c>
      <c r="X176">
        <f t="shared" si="57"/>
        <v>331.20000000000005</v>
      </c>
      <c r="Y176">
        <f t="shared" si="57"/>
        <v>312.2</v>
      </c>
      <c r="Z176">
        <f t="shared" si="56"/>
        <v>239.39999999999998</v>
      </c>
      <c r="AA176">
        <f t="shared" si="56"/>
        <v>331.65000000000003</v>
      </c>
      <c r="AB176">
        <f t="shared" si="56"/>
        <v>535.95000000000005</v>
      </c>
      <c r="AC176">
        <f t="shared" si="56"/>
        <v>124.3</v>
      </c>
      <c r="AD176">
        <f t="shared" si="56"/>
        <v>172</v>
      </c>
      <c r="AE176">
        <f t="shared" si="56"/>
        <v>48.916666666666664</v>
      </c>
      <c r="AF176" s="12">
        <f t="shared" si="42"/>
        <v>0.46278146138905635</v>
      </c>
      <c r="AG176">
        <f t="shared" si="45"/>
        <v>6744</v>
      </c>
      <c r="AH176">
        <f t="shared" si="46"/>
        <v>2021.9399999999998</v>
      </c>
      <c r="AI176">
        <f t="shared" si="47"/>
        <v>610.9</v>
      </c>
      <c r="AJ176">
        <f t="shared" si="48"/>
        <v>311.03999999999996</v>
      </c>
      <c r="AK176">
        <f t="shared" si="49"/>
        <v>285.44</v>
      </c>
      <c r="AL176">
        <f t="shared" si="50"/>
        <v>211.68</v>
      </c>
      <c r="AM176">
        <f t="shared" si="51"/>
        <v>277.38</v>
      </c>
      <c r="AN176">
        <f t="shared" si="52"/>
        <v>404.94000000000005</v>
      </c>
      <c r="AO176">
        <f t="shared" si="53"/>
        <v>81.36</v>
      </c>
      <c r="AP176">
        <f t="shared" si="54"/>
        <v>68.8</v>
      </c>
      <c r="AQ176">
        <f t="shared" si="55"/>
        <v>0.44273578460920238</v>
      </c>
    </row>
    <row r="177" spans="1:43" x14ac:dyDescent="0.35">
      <c r="A177" t="s">
        <v>339</v>
      </c>
      <c r="B177" t="s">
        <v>340</v>
      </c>
      <c r="C177">
        <f>VLOOKUP(CONCATENATE("2024",'2024_60'!A177),aktivnepesseg!$C$2:$D$2226,2,FALSE)</f>
        <v>87676</v>
      </c>
      <c r="D177">
        <f t="shared" si="43"/>
        <v>71400</v>
      </c>
      <c r="E177">
        <f t="shared" si="44"/>
        <v>16276</v>
      </c>
      <c r="F177">
        <v>5903</v>
      </c>
      <c r="G177">
        <v>1919</v>
      </c>
      <c r="H177">
        <v>1111</v>
      </c>
      <c r="I177">
        <v>1470</v>
      </c>
      <c r="J177">
        <v>901</v>
      </c>
      <c r="K177">
        <v>1259</v>
      </c>
      <c r="L177">
        <v>1830</v>
      </c>
      <c r="M177">
        <v>1148</v>
      </c>
      <c r="N177">
        <v>2062</v>
      </c>
      <c r="O177">
        <v>2135</v>
      </c>
      <c r="P177">
        <v>9062</v>
      </c>
      <c r="Q177">
        <v>6300</v>
      </c>
      <c r="R177">
        <v>23240</v>
      </c>
      <c r="S177">
        <v>10662</v>
      </c>
      <c r="T177">
        <v>2398</v>
      </c>
      <c r="U177">
        <f t="shared" si="57"/>
        <v>16276</v>
      </c>
      <c r="V177">
        <f t="shared" si="57"/>
        <v>5607.8499999999995</v>
      </c>
      <c r="W177">
        <f t="shared" si="57"/>
        <v>1631.1499999999999</v>
      </c>
      <c r="X177">
        <f t="shared" si="57"/>
        <v>851.76666666666677</v>
      </c>
      <c r="Y177">
        <f t="shared" si="57"/>
        <v>1029</v>
      </c>
      <c r="Z177">
        <f t="shared" si="56"/>
        <v>570.63333333333333</v>
      </c>
      <c r="AA177">
        <f t="shared" si="56"/>
        <v>692.45</v>
      </c>
      <c r="AB177">
        <f t="shared" si="56"/>
        <v>823.5</v>
      </c>
      <c r="AC177">
        <f t="shared" si="56"/>
        <v>420.93333333333328</v>
      </c>
      <c r="AD177">
        <f t="shared" si="56"/>
        <v>515.5</v>
      </c>
      <c r="AE177">
        <f t="shared" si="56"/>
        <v>177.91666666666666</v>
      </c>
      <c r="AF177" s="12">
        <f t="shared" si="42"/>
        <v>0.32616337424152569</v>
      </c>
      <c r="AG177">
        <f t="shared" si="45"/>
        <v>16276</v>
      </c>
      <c r="AH177">
        <f t="shared" si="46"/>
        <v>5548.82</v>
      </c>
      <c r="AI177">
        <f t="shared" si="47"/>
        <v>1573.58</v>
      </c>
      <c r="AJ177">
        <f t="shared" si="48"/>
        <v>799.92</v>
      </c>
      <c r="AK177">
        <f t="shared" si="49"/>
        <v>940.80000000000007</v>
      </c>
      <c r="AL177">
        <f t="shared" si="50"/>
        <v>504.56000000000006</v>
      </c>
      <c r="AM177">
        <f t="shared" si="51"/>
        <v>579.14</v>
      </c>
      <c r="AN177">
        <f t="shared" si="52"/>
        <v>622.20000000000005</v>
      </c>
      <c r="AO177">
        <f t="shared" si="53"/>
        <v>275.52</v>
      </c>
      <c r="AP177">
        <f t="shared" si="54"/>
        <v>206.20000000000002</v>
      </c>
      <c r="AQ177">
        <f t="shared" si="55"/>
        <v>0.31167868059674259</v>
      </c>
    </row>
    <row r="178" spans="1:43" x14ac:dyDescent="0.35">
      <c r="A178" t="s">
        <v>341</v>
      </c>
      <c r="B178" t="s">
        <v>342</v>
      </c>
      <c r="C178">
        <f>VLOOKUP(CONCATENATE("2024",'2024_60'!A178),aktivnepesseg!$C$2:$D$2226,2,FALSE)</f>
        <v>15915</v>
      </c>
      <c r="D178">
        <f t="shared" si="43"/>
        <v>11479</v>
      </c>
      <c r="E178">
        <f t="shared" si="44"/>
        <v>4436</v>
      </c>
      <c r="F178">
        <v>1676</v>
      </c>
      <c r="G178">
        <v>461</v>
      </c>
      <c r="H178">
        <v>222</v>
      </c>
      <c r="I178">
        <v>250</v>
      </c>
      <c r="J178">
        <v>199</v>
      </c>
      <c r="K178">
        <v>336</v>
      </c>
      <c r="L178">
        <v>871</v>
      </c>
      <c r="M178">
        <v>219</v>
      </c>
      <c r="N178">
        <v>387</v>
      </c>
      <c r="O178">
        <v>355</v>
      </c>
      <c r="P178">
        <v>1534</v>
      </c>
      <c r="Q178">
        <v>1353</v>
      </c>
      <c r="R178">
        <v>2908</v>
      </c>
      <c r="S178">
        <v>654</v>
      </c>
      <c r="T178">
        <v>54</v>
      </c>
      <c r="U178">
        <f t="shared" si="57"/>
        <v>4436</v>
      </c>
      <c r="V178">
        <f t="shared" si="57"/>
        <v>1592.1999999999998</v>
      </c>
      <c r="W178">
        <f t="shared" si="57"/>
        <v>391.84999999999997</v>
      </c>
      <c r="X178">
        <f t="shared" si="57"/>
        <v>170.20000000000002</v>
      </c>
      <c r="Y178">
        <f t="shared" si="57"/>
        <v>175</v>
      </c>
      <c r="Z178">
        <f t="shared" si="56"/>
        <v>126.03333333333333</v>
      </c>
      <c r="AA178">
        <f t="shared" si="56"/>
        <v>184.8</v>
      </c>
      <c r="AB178">
        <f t="shared" si="56"/>
        <v>391.95</v>
      </c>
      <c r="AC178">
        <f t="shared" si="56"/>
        <v>80.3</v>
      </c>
      <c r="AD178">
        <f t="shared" si="56"/>
        <v>96.75</v>
      </c>
      <c r="AE178">
        <f t="shared" si="56"/>
        <v>29.583333333333332</v>
      </c>
      <c r="AF178" s="12">
        <f t="shared" si="42"/>
        <v>0.48222850560268093</v>
      </c>
      <c r="AG178">
        <f t="shared" si="45"/>
        <v>4436</v>
      </c>
      <c r="AH178">
        <f t="shared" si="46"/>
        <v>1575.4399999999998</v>
      </c>
      <c r="AI178">
        <f t="shared" si="47"/>
        <v>378.02</v>
      </c>
      <c r="AJ178">
        <f t="shared" si="48"/>
        <v>159.84</v>
      </c>
      <c r="AK178">
        <f t="shared" si="49"/>
        <v>160</v>
      </c>
      <c r="AL178">
        <f t="shared" si="50"/>
        <v>111.44000000000001</v>
      </c>
      <c r="AM178">
        <f t="shared" si="51"/>
        <v>154.56</v>
      </c>
      <c r="AN178">
        <f t="shared" si="52"/>
        <v>296.14000000000004</v>
      </c>
      <c r="AO178">
        <f t="shared" si="53"/>
        <v>52.559999999999995</v>
      </c>
      <c r="AP178">
        <f t="shared" si="54"/>
        <v>38.700000000000003</v>
      </c>
      <c r="AQ178">
        <f t="shared" si="55"/>
        <v>0.46262645303173106</v>
      </c>
    </row>
    <row r="179" spans="1:43" x14ac:dyDescent="0.35">
      <c r="A179" t="s">
        <v>343</v>
      </c>
      <c r="B179" t="s">
        <v>344</v>
      </c>
      <c r="C179">
        <f>VLOOKUP(CONCATENATE("2024",'2024_60'!A179),aktivnepesseg!$C$2:$D$2226,2,FALSE)</f>
        <v>11095</v>
      </c>
      <c r="D179">
        <f t="shared" si="43"/>
        <v>7975</v>
      </c>
      <c r="E179">
        <f t="shared" si="44"/>
        <v>3120</v>
      </c>
      <c r="F179">
        <v>925</v>
      </c>
      <c r="G179">
        <v>343</v>
      </c>
      <c r="H179">
        <v>209</v>
      </c>
      <c r="I179">
        <v>218</v>
      </c>
      <c r="J179">
        <v>165</v>
      </c>
      <c r="K179">
        <v>365</v>
      </c>
      <c r="L179">
        <v>695</v>
      </c>
      <c r="M179">
        <v>125</v>
      </c>
      <c r="N179">
        <v>243</v>
      </c>
      <c r="O179">
        <v>257</v>
      </c>
      <c r="P179">
        <v>980</v>
      </c>
      <c r="Q179">
        <v>780</v>
      </c>
      <c r="R179">
        <v>2188</v>
      </c>
      <c r="S179">
        <v>445</v>
      </c>
      <c r="T179">
        <v>37</v>
      </c>
      <c r="U179">
        <f t="shared" si="57"/>
        <v>3120</v>
      </c>
      <c r="V179">
        <f t="shared" si="57"/>
        <v>878.75</v>
      </c>
      <c r="W179">
        <f t="shared" si="57"/>
        <v>291.55</v>
      </c>
      <c r="X179">
        <f t="shared" si="57"/>
        <v>160.23333333333335</v>
      </c>
      <c r="Y179">
        <f t="shared" si="57"/>
        <v>152.6</v>
      </c>
      <c r="Z179">
        <f t="shared" si="57"/>
        <v>104.5</v>
      </c>
      <c r="AA179">
        <f t="shared" si="57"/>
        <v>200.75000000000003</v>
      </c>
      <c r="AB179">
        <f t="shared" si="57"/>
        <v>312.75</v>
      </c>
      <c r="AC179">
        <f t="shared" si="57"/>
        <v>45.833333333333329</v>
      </c>
      <c r="AD179">
        <f t="shared" si="57"/>
        <v>60.75</v>
      </c>
      <c r="AE179">
        <f t="shared" si="57"/>
        <v>21.416666666666664</v>
      </c>
      <c r="AF179" s="12">
        <f t="shared" si="42"/>
        <v>0.48212107555956141</v>
      </c>
      <c r="AG179">
        <f t="shared" si="45"/>
        <v>3120</v>
      </c>
      <c r="AH179">
        <f t="shared" si="46"/>
        <v>869.5</v>
      </c>
      <c r="AI179">
        <f t="shared" si="47"/>
        <v>281.26</v>
      </c>
      <c r="AJ179">
        <f t="shared" si="48"/>
        <v>150.47999999999999</v>
      </c>
      <c r="AK179">
        <f t="shared" si="49"/>
        <v>139.52000000000001</v>
      </c>
      <c r="AL179">
        <f t="shared" si="50"/>
        <v>92.4</v>
      </c>
      <c r="AM179">
        <f t="shared" si="51"/>
        <v>167.9</v>
      </c>
      <c r="AN179">
        <f t="shared" si="52"/>
        <v>236.3</v>
      </c>
      <c r="AO179">
        <f t="shared" si="53"/>
        <v>30</v>
      </c>
      <c r="AP179">
        <f t="shared" si="54"/>
        <v>24.3</v>
      </c>
      <c r="AQ179">
        <f t="shared" si="55"/>
        <v>0.46071744028841821</v>
      </c>
    </row>
    <row r="180" spans="1:43" x14ac:dyDescent="0.35">
      <c r="A180" t="s">
        <v>345</v>
      </c>
      <c r="B180" t="s">
        <v>346</v>
      </c>
      <c r="C180">
        <f>VLOOKUP(CONCATENATE("2024",'2024_60'!A180),aktivnepesseg!$C$2:$D$2226,2,FALSE)</f>
        <v>16393</v>
      </c>
      <c r="D180">
        <f t="shared" si="43"/>
        <v>12821</v>
      </c>
      <c r="E180">
        <f t="shared" si="44"/>
        <v>3572</v>
      </c>
      <c r="F180">
        <v>1298</v>
      </c>
      <c r="G180">
        <v>357</v>
      </c>
      <c r="H180">
        <v>199</v>
      </c>
      <c r="I180">
        <v>239</v>
      </c>
      <c r="J180">
        <v>169</v>
      </c>
      <c r="K180">
        <v>267</v>
      </c>
      <c r="L180">
        <v>388</v>
      </c>
      <c r="M180">
        <v>210</v>
      </c>
      <c r="N180">
        <v>409</v>
      </c>
      <c r="O180">
        <v>388</v>
      </c>
      <c r="P180">
        <v>1580</v>
      </c>
      <c r="Q180">
        <v>1145</v>
      </c>
      <c r="R180">
        <v>4329</v>
      </c>
      <c r="S180">
        <v>1552</v>
      </c>
      <c r="T180">
        <v>291</v>
      </c>
      <c r="U180">
        <f t="shared" si="57"/>
        <v>3572</v>
      </c>
      <c r="V180">
        <f t="shared" si="57"/>
        <v>1233.0999999999999</v>
      </c>
      <c r="W180">
        <f t="shared" si="57"/>
        <v>303.45</v>
      </c>
      <c r="X180">
        <f t="shared" si="57"/>
        <v>152.56666666666666</v>
      </c>
      <c r="Y180">
        <f t="shared" si="57"/>
        <v>167.29999999999998</v>
      </c>
      <c r="Z180">
        <f t="shared" si="57"/>
        <v>107.03333333333333</v>
      </c>
      <c r="AA180">
        <f t="shared" si="57"/>
        <v>146.85000000000002</v>
      </c>
      <c r="AB180">
        <f t="shared" si="57"/>
        <v>174.6</v>
      </c>
      <c r="AC180">
        <f t="shared" si="57"/>
        <v>77</v>
      </c>
      <c r="AD180">
        <f t="shared" si="57"/>
        <v>102.25</v>
      </c>
      <c r="AE180">
        <f t="shared" si="57"/>
        <v>32.333333333333329</v>
      </c>
      <c r="AF180" s="12">
        <f t="shared" si="42"/>
        <v>0.37018747839525007</v>
      </c>
      <c r="AG180">
        <f t="shared" si="45"/>
        <v>3572</v>
      </c>
      <c r="AH180">
        <f t="shared" si="46"/>
        <v>1220.1199999999999</v>
      </c>
      <c r="AI180">
        <f t="shared" si="47"/>
        <v>292.74</v>
      </c>
      <c r="AJ180">
        <f t="shared" si="48"/>
        <v>143.28</v>
      </c>
      <c r="AK180">
        <f t="shared" si="49"/>
        <v>152.96</v>
      </c>
      <c r="AL180">
        <f t="shared" si="50"/>
        <v>94.640000000000015</v>
      </c>
      <c r="AM180">
        <f t="shared" si="51"/>
        <v>122.82000000000001</v>
      </c>
      <c r="AN180">
        <f t="shared" si="52"/>
        <v>131.92000000000002</v>
      </c>
      <c r="AO180">
        <f t="shared" si="53"/>
        <v>50.4</v>
      </c>
      <c r="AP180">
        <f t="shared" si="54"/>
        <v>40.900000000000006</v>
      </c>
      <c r="AQ180">
        <f t="shared" si="55"/>
        <v>0.35513816873055565</v>
      </c>
    </row>
    <row r="181" spans="1:43" x14ac:dyDescent="0.35">
      <c r="A181" t="s">
        <v>347</v>
      </c>
      <c r="B181" t="s">
        <v>348</v>
      </c>
      <c r="C181">
        <f>VLOOKUP(CONCATENATE("2024",'2024_60'!A181),aktivnepesseg!$C$2:$D$2226,2,FALSE)</f>
        <v>71003</v>
      </c>
      <c r="D181">
        <f t="shared" si="43"/>
        <v>58320</v>
      </c>
      <c r="E181">
        <f t="shared" si="44"/>
        <v>12683</v>
      </c>
      <c r="F181">
        <v>6072</v>
      </c>
      <c r="G181">
        <v>1771</v>
      </c>
      <c r="H181">
        <v>998</v>
      </c>
      <c r="I181">
        <v>1160</v>
      </c>
      <c r="J181">
        <v>811</v>
      </c>
      <c r="K181">
        <v>1175</v>
      </c>
      <c r="L181">
        <v>1719</v>
      </c>
      <c r="M181">
        <v>884</v>
      </c>
      <c r="N181">
        <v>1605</v>
      </c>
      <c r="O181">
        <v>1623</v>
      </c>
      <c r="P181">
        <v>6520</v>
      </c>
      <c r="Q181">
        <v>6261</v>
      </c>
      <c r="R181">
        <v>19816</v>
      </c>
      <c r="S181">
        <v>6708</v>
      </c>
      <c r="T181">
        <v>1197</v>
      </c>
      <c r="U181">
        <f t="shared" si="57"/>
        <v>12683</v>
      </c>
      <c r="V181">
        <f t="shared" si="57"/>
        <v>5768.4</v>
      </c>
      <c r="W181">
        <f t="shared" si="57"/>
        <v>1505.35</v>
      </c>
      <c r="X181">
        <f t="shared" si="57"/>
        <v>765.13333333333344</v>
      </c>
      <c r="Y181">
        <f t="shared" si="57"/>
        <v>812</v>
      </c>
      <c r="Z181">
        <f t="shared" si="57"/>
        <v>513.63333333333333</v>
      </c>
      <c r="AA181">
        <f t="shared" si="57"/>
        <v>646.25</v>
      </c>
      <c r="AB181">
        <f t="shared" si="57"/>
        <v>773.55000000000007</v>
      </c>
      <c r="AC181">
        <f t="shared" si="57"/>
        <v>324.13333333333333</v>
      </c>
      <c r="AD181">
        <f t="shared" si="57"/>
        <v>401.25</v>
      </c>
      <c r="AE181">
        <f t="shared" si="57"/>
        <v>135.25</v>
      </c>
      <c r="AF181" s="12">
        <f t="shared" si="42"/>
        <v>0.34263270566032428</v>
      </c>
      <c r="AG181">
        <f t="shared" si="45"/>
        <v>12683</v>
      </c>
      <c r="AH181">
        <f t="shared" si="46"/>
        <v>5707.6799999999994</v>
      </c>
      <c r="AI181">
        <f t="shared" si="47"/>
        <v>1452.2199999999998</v>
      </c>
      <c r="AJ181">
        <f t="shared" si="48"/>
        <v>718.56</v>
      </c>
      <c r="AK181">
        <f t="shared" si="49"/>
        <v>742.4</v>
      </c>
      <c r="AL181">
        <f t="shared" si="50"/>
        <v>454.16</v>
      </c>
      <c r="AM181">
        <f t="shared" si="51"/>
        <v>540.5</v>
      </c>
      <c r="AN181">
        <f t="shared" si="52"/>
        <v>584.46</v>
      </c>
      <c r="AO181">
        <f t="shared" si="53"/>
        <v>212.16</v>
      </c>
      <c r="AP181">
        <f t="shared" si="54"/>
        <v>160.5</v>
      </c>
      <c r="AQ181">
        <f t="shared" si="55"/>
        <v>0.32753038604002654</v>
      </c>
    </row>
    <row r="182" spans="1:43" x14ac:dyDescent="0.35">
      <c r="A182" t="s">
        <v>349</v>
      </c>
      <c r="B182" t="s">
        <v>350</v>
      </c>
      <c r="C182">
        <f>VLOOKUP(CONCATENATE("2024",'2024_60'!A182),aktivnepesseg!$C$2:$D$2226,2,FALSE)</f>
        <v>69730</v>
      </c>
      <c r="D182">
        <f t="shared" si="43"/>
        <v>57151</v>
      </c>
      <c r="E182">
        <f t="shared" si="44"/>
        <v>12579</v>
      </c>
      <c r="F182">
        <v>6450</v>
      </c>
      <c r="G182">
        <v>1795</v>
      </c>
      <c r="H182">
        <v>1006</v>
      </c>
      <c r="I182">
        <v>1042</v>
      </c>
      <c r="J182">
        <v>676</v>
      </c>
      <c r="K182">
        <v>963</v>
      </c>
      <c r="L182">
        <v>1293</v>
      </c>
      <c r="M182">
        <v>719</v>
      </c>
      <c r="N182">
        <v>1447</v>
      </c>
      <c r="O182">
        <v>1455</v>
      </c>
      <c r="P182">
        <v>6085</v>
      </c>
      <c r="Q182">
        <v>5732</v>
      </c>
      <c r="R182">
        <v>20386</v>
      </c>
      <c r="S182">
        <v>6850</v>
      </c>
      <c r="T182">
        <v>1252</v>
      </c>
      <c r="U182">
        <f t="shared" si="57"/>
        <v>12579</v>
      </c>
      <c r="V182">
        <f t="shared" si="57"/>
        <v>6127.5</v>
      </c>
      <c r="W182">
        <f t="shared" si="57"/>
        <v>1525.75</v>
      </c>
      <c r="X182">
        <f t="shared" si="57"/>
        <v>771.26666666666677</v>
      </c>
      <c r="Y182">
        <f t="shared" si="57"/>
        <v>729.4</v>
      </c>
      <c r="Z182">
        <f t="shared" si="57"/>
        <v>428.13333333333333</v>
      </c>
      <c r="AA182">
        <f t="shared" si="57"/>
        <v>529.65000000000009</v>
      </c>
      <c r="AB182">
        <f t="shared" si="57"/>
        <v>581.85</v>
      </c>
      <c r="AC182">
        <f t="shared" si="57"/>
        <v>263.63333333333333</v>
      </c>
      <c r="AD182">
        <f t="shared" si="57"/>
        <v>361.75</v>
      </c>
      <c r="AE182">
        <f t="shared" si="57"/>
        <v>121.25</v>
      </c>
      <c r="AF182" s="12">
        <f t="shared" si="42"/>
        <v>0.34445982121516333</v>
      </c>
      <c r="AG182">
        <f t="shared" si="45"/>
        <v>12579</v>
      </c>
      <c r="AH182">
        <f t="shared" si="46"/>
        <v>6063</v>
      </c>
      <c r="AI182">
        <f t="shared" si="47"/>
        <v>1471.8999999999999</v>
      </c>
      <c r="AJ182">
        <f t="shared" si="48"/>
        <v>724.31999999999994</v>
      </c>
      <c r="AK182">
        <f t="shared" si="49"/>
        <v>666.88</v>
      </c>
      <c r="AL182">
        <f t="shared" si="50"/>
        <v>378.56000000000006</v>
      </c>
      <c r="AM182">
        <f t="shared" si="51"/>
        <v>442.98</v>
      </c>
      <c r="AN182">
        <f t="shared" si="52"/>
        <v>439.62</v>
      </c>
      <c r="AO182">
        <f t="shared" si="53"/>
        <v>172.56</v>
      </c>
      <c r="AP182">
        <f t="shared" si="54"/>
        <v>144.70000000000002</v>
      </c>
      <c r="AQ182">
        <f t="shared" si="55"/>
        <v>0.3310414455757924</v>
      </c>
    </row>
    <row r="183" spans="1:43" x14ac:dyDescent="0.35">
      <c r="A183" t="s">
        <v>351</v>
      </c>
      <c r="B183" t="s">
        <v>352</v>
      </c>
      <c r="C183">
        <f>VLOOKUP(CONCATENATE("2024",'2024_60'!A183),aktivnepesseg!$C$2:$D$2226,2,FALSE)</f>
        <v>7792</v>
      </c>
      <c r="D183">
        <f t="shared" si="43"/>
        <v>5690</v>
      </c>
      <c r="E183">
        <f t="shared" si="44"/>
        <v>2102</v>
      </c>
      <c r="F183">
        <v>669</v>
      </c>
      <c r="G183">
        <v>220</v>
      </c>
      <c r="H183">
        <v>122</v>
      </c>
      <c r="I183">
        <v>91</v>
      </c>
      <c r="J183">
        <v>79</v>
      </c>
      <c r="K183">
        <v>158</v>
      </c>
      <c r="L183">
        <v>237</v>
      </c>
      <c r="M183">
        <v>94</v>
      </c>
      <c r="N183">
        <v>185</v>
      </c>
      <c r="O183">
        <v>204</v>
      </c>
      <c r="P183">
        <v>860</v>
      </c>
      <c r="Q183">
        <v>783</v>
      </c>
      <c r="R183">
        <v>1688</v>
      </c>
      <c r="S183">
        <v>279</v>
      </c>
      <c r="T183">
        <v>21</v>
      </c>
      <c r="U183">
        <f t="shared" si="57"/>
        <v>2102</v>
      </c>
      <c r="V183">
        <f t="shared" si="57"/>
        <v>635.54999999999995</v>
      </c>
      <c r="W183">
        <f t="shared" si="57"/>
        <v>187</v>
      </c>
      <c r="X183">
        <f t="shared" si="57"/>
        <v>93.533333333333346</v>
      </c>
      <c r="Y183">
        <f t="shared" si="57"/>
        <v>63.699999999999996</v>
      </c>
      <c r="Z183">
        <f t="shared" si="57"/>
        <v>50.033333333333331</v>
      </c>
      <c r="AA183">
        <f t="shared" si="57"/>
        <v>86.9</v>
      </c>
      <c r="AB183">
        <f t="shared" si="57"/>
        <v>106.65</v>
      </c>
      <c r="AC183">
        <f t="shared" si="57"/>
        <v>34.466666666666661</v>
      </c>
      <c r="AD183">
        <f t="shared" si="57"/>
        <v>46.25</v>
      </c>
      <c r="AE183">
        <f t="shared" si="57"/>
        <v>17</v>
      </c>
      <c r="AF183" s="12">
        <f t="shared" si="42"/>
        <v>0.43930740930869272</v>
      </c>
      <c r="AG183">
        <f t="shared" si="45"/>
        <v>2102</v>
      </c>
      <c r="AH183">
        <f t="shared" si="46"/>
        <v>628.86</v>
      </c>
      <c r="AI183">
        <f t="shared" si="47"/>
        <v>180.39999999999998</v>
      </c>
      <c r="AJ183">
        <f t="shared" si="48"/>
        <v>87.84</v>
      </c>
      <c r="AK183">
        <f t="shared" si="49"/>
        <v>58.24</v>
      </c>
      <c r="AL183">
        <f t="shared" si="50"/>
        <v>44.24</v>
      </c>
      <c r="AM183">
        <f t="shared" si="51"/>
        <v>72.680000000000007</v>
      </c>
      <c r="AN183">
        <f t="shared" si="52"/>
        <v>80.580000000000013</v>
      </c>
      <c r="AO183">
        <f t="shared" si="53"/>
        <v>22.56</v>
      </c>
      <c r="AP183">
        <f t="shared" si="54"/>
        <v>18.5</v>
      </c>
      <c r="AQ183">
        <f t="shared" si="55"/>
        <v>0.42298511293634494</v>
      </c>
    </row>
    <row r="184" spans="1:43" x14ac:dyDescent="0.35">
      <c r="A184" t="s">
        <v>353</v>
      </c>
      <c r="B184" t="s">
        <v>354</v>
      </c>
      <c r="C184">
        <f>VLOOKUP(CONCATENATE("2024",'2024_60'!A184),aktivnepesseg!$C$2:$D$2226,2,FALSE)</f>
        <v>23102</v>
      </c>
      <c r="D184">
        <f t="shared" si="43"/>
        <v>16917</v>
      </c>
      <c r="E184">
        <f t="shared" si="44"/>
        <v>6185</v>
      </c>
      <c r="F184">
        <v>2607</v>
      </c>
      <c r="G184">
        <v>662</v>
      </c>
      <c r="H184">
        <v>321</v>
      </c>
      <c r="I184">
        <v>366</v>
      </c>
      <c r="J184">
        <v>291</v>
      </c>
      <c r="K184">
        <v>498</v>
      </c>
      <c r="L184">
        <v>852</v>
      </c>
      <c r="M184">
        <v>293</v>
      </c>
      <c r="N184">
        <v>537</v>
      </c>
      <c r="O184">
        <v>568</v>
      </c>
      <c r="P184">
        <v>2353</v>
      </c>
      <c r="Q184">
        <v>1897</v>
      </c>
      <c r="R184">
        <v>4618</v>
      </c>
      <c r="S184">
        <v>965</v>
      </c>
      <c r="T184">
        <v>89</v>
      </c>
      <c r="U184">
        <f t="shared" ref="U184:AE205" si="58">E184*E$5</f>
        <v>6185</v>
      </c>
      <c r="V184">
        <f t="shared" si="58"/>
        <v>2476.65</v>
      </c>
      <c r="W184">
        <f t="shared" si="58"/>
        <v>562.69999999999993</v>
      </c>
      <c r="X184">
        <f t="shared" si="58"/>
        <v>246.10000000000002</v>
      </c>
      <c r="Y184">
        <f t="shared" si="58"/>
        <v>256.2</v>
      </c>
      <c r="Z184">
        <f t="shared" si="58"/>
        <v>184.29999999999998</v>
      </c>
      <c r="AA184">
        <f t="shared" si="58"/>
        <v>273.90000000000003</v>
      </c>
      <c r="AB184">
        <f t="shared" si="58"/>
        <v>383.40000000000003</v>
      </c>
      <c r="AC184">
        <f t="shared" si="58"/>
        <v>107.43333333333332</v>
      </c>
      <c r="AD184">
        <f t="shared" si="58"/>
        <v>134.25</v>
      </c>
      <c r="AE184">
        <f t="shared" si="58"/>
        <v>47.333333333333329</v>
      </c>
      <c r="AF184" s="12">
        <f t="shared" si="42"/>
        <v>0.46997085389432369</v>
      </c>
      <c r="AG184">
        <f t="shared" si="45"/>
        <v>6185</v>
      </c>
      <c r="AH184">
        <f t="shared" si="46"/>
        <v>2450.58</v>
      </c>
      <c r="AI184">
        <f t="shared" si="47"/>
        <v>542.83999999999992</v>
      </c>
      <c r="AJ184">
        <f t="shared" si="48"/>
        <v>231.12</v>
      </c>
      <c r="AK184">
        <f t="shared" si="49"/>
        <v>234.24</v>
      </c>
      <c r="AL184">
        <f t="shared" si="50"/>
        <v>162.96</v>
      </c>
      <c r="AM184">
        <f t="shared" si="51"/>
        <v>229.08</v>
      </c>
      <c r="AN184">
        <f t="shared" si="52"/>
        <v>289.68</v>
      </c>
      <c r="AO184">
        <f t="shared" si="53"/>
        <v>70.319999999999993</v>
      </c>
      <c r="AP184">
        <f t="shared" si="54"/>
        <v>53.7</v>
      </c>
      <c r="AQ184">
        <f t="shared" si="55"/>
        <v>0.45232101116786427</v>
      </c>
    </row>
    <row r="185" spans="1:43" x14ac:dyDescent="0.35">
      <c r="A185" t="s">
        <v>355</v>
      </c>
      <c r="B185" t="s">
        <v>356</v>
      </c>
      <c r="C185">
        <f>VLOOKUP(CONCATENATE("2024",'2024_60'!A185),aktivnepesseg!$C$2:$D$2226,2,FALSE)</f>
        <v>21523</v>
      </c>
      <c r="D185">
        <f t="shared" si="43"/>
        <v>16923</v>
      </c>
      <c r="E185">
        <f t="shared" si="44"/>
        <v>4600</v>
      </c>
      <c r="F185">
        <v>2287</v>
      </c>
      <c r="G185">
        <v>611</v>
      </c>
      <c r="H185">
        <v>313</v>
      </c>
      <c r="I185">
        <v>371</v>
      </c>
      <c r="J185">
        <v>236</v>
      </c>
      <c r="K185">
        <v>317</v>
      </c>
      <c r="L185">
        <v>467</v>
      </c>
      <c r="M185">
        <v>255</v>
      </c>
      <c r="N185">
        <v>555</v>
      </c>
      <c r="O185">
        <v>508</v>
      </c>
      <c r="P185">
        <v>2348</v>
      </c>
      <c r="Q185">
        <v>1907</v>
      </c>
      <c r="R185">
        <v>5256</v>
      </c>
      <c r="S185">
        <v>1267</v>
      </c>
      <c r="T185">
        <v>225</v>
      </c>
      <c r="U185">
        <f t="shared" si="58"/>
        <v>4600</v>
      </c>
      <c r="V185">
        <f t="shared" si="58"/>
        <v>2172.65</v>
      </c>
      <c r="W185">
        <f t="shared" si="58"/>
        <v>519.35</v>
      </c>
      <c r="X185">
        <f t="shared" si="58"/>
        <v>239.9666666666667</v>
      </c>
      <c r="Y185">
        <f t="shared" si="58"/>
        <v>259.7</v>
      </c>
      <c r="Z185">
        <f t="shared" si="58"/>
        <v>149.46666666666667</v>
      </c>
      <c r="AA185">
        <f t="shared" si="58"/>
        <v>174.35000000000002</v>
      </c>
      <c r="AB185">
        <f t="shared" si="58"/>
        <v>210.15</v>
      </c>
      <c r="AC185">
        <f t="shared" si="58"/>
        <v>93.5</v>
      </c>
      <c r="AD185">
        <f t="shared" si="58"/>
        <v>138.75</v>
      </c>
      <c r="AE185">
        <f t="shared" si="58"/>
        <v>42.333333333333329</v>
      </c>
      <c r="AF185" s="12">
        <f t="shared" si="42"/>
        <v>0.39958261704533138</v>
      </c>
      <c r="AG185">
        <f t="shared" si="45"/>
        <v>4600</v>
      </c>
      <c r="AH185">
        <f t="shared" si="46"/>
        <v>2149.7799999999997</v>
      </c>
      <c r="AI185">
        <f t="shared" si="47"/>
        <v>501.02</v>
      </c>
      <c r="AJ185">
        <f t="shared" si="48"/>
        <v>225.35999999999999</v>
      </c>
      <c r="AK185">
        <f t="shared" si="49"/>
        <v>237.44</v>
      </c>
      <c r="AL185">
        <f t="shared" si="50"/>
        <v>132.16000000000003</v>
      </c>
      <c r="AM185">
        <f t="shared" si="51"/>
        <v>145.82</v>
      </c>
      <c r="AN185">
        <f t="shared" si="52"/>
        <v>158.78</v>
      </c>
      <c r="AO185">
        <f t="shared" si="53"/>
        <v>61.199999999999996</v>
      </c>
      <c r="AP185">
        <f t="shared" si="54"/>
        <v>55.5</v>
      </c>
      <c r="AQ185">
        <f t="shared" si="55"/>
        <v>0.38410351716768099</v>
      </c>
    </row>
    <row r="186" spans="1:43" x14ac:dyDescent="0.35">
      <c r="A186" t="s">
        <v>357</v>
      </c>
      <c r="B186" t="s">
        <v>358</v>
      </c>
      <c r="C186">
        <f>VLOOKUP(CONCATENATE("2024",'2024_60'!A186),aktivnepesseg!$C$2:$D$2226,2,FALSE)</f>
        <v>55979</v>
      </c>
      <c r="D186">
        <f t="shared" si="43"/>
        <v>46556</v>
      </c>
      <c r="E186">
        <f t="shared" si="44"/>
        <v>9423</v>
      </c>
      <c r="F186">
        <v>3782</v>
      </c>
      <c r="G186">
        <v>1322</v>
      </c>
      <c r="H186">
        <v>689</v>
      </c>
      <c r="I186">
        <v>775</v>
      </c>
      <c r="J186">
        <v>608</v>
      </c>
      <c r="K186">
        <v>884</v>
      </c>
      <c r="L186">
        <v>1046</v>
      </c>
      <c r="M186">
        <v>641</v>
      </c>
      <c r="N186">
        <v>1179</v>
      </c>
      <c r="O186">
        <v>1293</v>
      </c>
      <c r="P186">
        <v>5005</v>
      </c>
      <c r="Q186">
        <v>4175</v>
      </c>
      <c r="R186">
        <v>17844</v>
      </c>
      <c r="S186">
        <v>6362</v>
      </c>
      <c r="T186">
        <v>951</v>
      </c>
      <c r="U186">
        <f t="shared" si="58"/>
        <v>9423</v>
      </c>
      <c r="V186">
        <f t="shared" si="58"/>
        <v>3592.8999999999996</v>
      </c>
      <c r="W186">
        <f t="shared" si="58"/>
        <v>1123.7</v>
      </c>
      <c r="X186">
        <f t="shared" si="58"/>
        <v>528.23333333333335</v>
      </c>
      <c r="Y186">
        <f t="shared" si="58"/>
        <v>542.5</v>
      </c>
      <c r="Z186">
        <f t="shared" si="58"/>
        <v>385.06666666666666</v>
      </c>
      <c r="AA186">
        <f t="shared" si="58"/>
        <v>486.20000000000005</v>
      </c>
      <c r="AB186">
        <f t="shared" si="58"/>
        <v>470.7</v>
      </c>
      <c r="AC186">
        <f t="shared" si="58"/>
        <v>235.0333333333333</v>
      </c>
      <c r="AD186">
        <f t="shared" si="58"/>
        <v>294.75</v>
      </c>
      <c r="AE186">
        <f t="shared" si="58"/>
        <v>107.75</v>
      </c>
      <c r="AF186" s="12">
        <f t="shared" si="42"/>
        <v>0.30707646319750864</v>
      </c>
      <c r="AG186">
        <f t="shared" si="45"/>
        <v>9423</v>
      </c>
      <c r="AH186">
        <f t="shared" si="46"/>
        <v>3555.08</v>
      </c>
      <c r="AI186">
        <f t="shared" si="47"/>
        <v>1084.04</v>
      </c>
      <c r="AJ186">
        <f t="shared" si="48"/>
        <v>496.08</v>
      </c>
      <c r="AK186">
        <f t="shared" si="49"/>
        <v>496</v>
      </c>
      <c r="AL186">
        <f t="shared" si="50"/>
        <v>340.48</v>
      </c>
      <c r="AM186">
        <f t="shared" si="51"/>
        <v>406.64000000000004</v>
      </c>
      <c r="AN186">
        <f t="shared" si="52"/>
        <v>355.64000000000004</v>
      </c>
      <c r="AO186">
        <f t="shared" si="53"/>
        <v>153.84</v>
      </c>
      <c r="AP186">
        <f t="shared" si="54"/>
        <v>117.9</v>
      </c>
      <c r="AQ186">
        <f t="shared" si="55"/>
        <v>0.29347969774379673</v>
      </c>
    </row>
    <row r="187" spans="1:43" x14ac:dyDescent="0.35">
      <c r="A187" t="s">
        <v>359</v>
      </c>
      <c r="B187" t="s">
        <v>360</v>
      </c>
      <c r="C187">
        <f>VLOOKUP(CONCATENATE("2024",'2024_60'!A187),aktivnepesseg!$C$2:$D$2226,2,FALSE)</f>
        <v>25381</v>
      </c>
      <c r="D187">
        <f t="shared" si="43"/>
        <v>21608</v>
      </c>
      <c r="E187">
        <f t="shared" si="44"/>
        <v>3773</v>
      </c>
      <c r="F187">
        <v>2132</v>
      </c>
      <c r="G187">
        <v>632</v>
      </c>
      <c r="H187">
        <v>289</v>
      </c>
      <c r="I187">
        <v>334</v>
      </c>
      <c r="J187">
        <v>230</v>
      </c>
      <c r="K187">
        <v>337</v>
      </c>
      <c r="L187">
        <v>497</v>
      </c>
      <c r="M187">
        <v>319</v>
      </c>
      <c r="N187">
        <v>581</v>
      </c>
      <c r="O187">
        <v>614</v>
      </c>
      <c r="P187">
        <v>2555</v>
      </c>
      <c r="Q187">
        <v>1994</v>
      </c>
      <c r="R187">
        <v>7331</v>
      </c>
      <c r="S187">
        <v>3063</v>
      </c>
      <c r="T187">
        <v>700</v>
      </c>
      <c r="U187">
        <f t="shared" si="58"/>
        <v>3773</v>
      </c>
      <c r="V187">
        <f t="shared" si="58"/>
        <v>2025.3999999999999</v>
      </c>
      <c r="W187">
        <f t="shared" si="58"/>
        <v>537.19999999999993</v>
      </c>
      <c r="X187">
        <f t="shared" si="58"/>
        <v>221.56666666666669</v>
      </c>
      <c r="Y187">
        <f t="shared" si="58"/>
        <v>233.79999999999998</v>
      </c>
      <c r="Z187">
        <f t="shared" si="58"/>
        <v>145.66666666666666</v>
      </c>
      <c r="AA187">
        <f t="shared" si="58"/>
        <v>185.35000000000002</v>
      </c>
      <c r="AB187">
        <f t="shared" si="58"/>
        <v>223.65</v>
      </c>
      <c r="AC187">
        <f t="shared" si="58"/>
        <v>116.96666666666665</v>
      </c>
      <c r="AD187">
        <f t="shared" si="58"/>
        <v>145.25</v>
      </c>
      <c r="AE187">
        <f t="shared" si="58"/>
        <v>51.166666666666664</v>
      </c>
      <c r="AF187" s="12">
        <f t="shared" si="42"/>
        <v>0.30176181658195761</v>
      </c>
      <c r="AG187">
        <f t="shared" si="45"/>
        <v>3773</v>
      </c>
      <c r="AH187">
        <f t="shared" si="46"/>
        <v>2004.08</v>
      </c>
      <c r="AI187">
        <f t="shared" si="47"/>
        <v>518.24</v>
      </c>
      <c r="AJ187">
        <f t="shared" si="48"/>
        <v>208.07999999999998</v>
      </c>
      <c r="AK187">
        <f t="shared" si="49"/>
        <v>213.76</v>
      </c>
      <c r="AL187">
        <f t="shared" si="50"/>
        <v>128.80000000000001</v>
      </c>
      <c r="AM187">
        <f t="shared" si="51"/>
        <v>155.02000000000001</v>
      </c>
      <c r="AN187">
        <f t="shared" si="52"/>
        <v>168.98000000000002</v>
      </c>
      <c r="AO187">
        <f t="shared" si="53"/>
        <v>76.56</v>
      </c>
      <c r="AP187">
        <f t="shared" si="54"/>
        <v>58.1</v>
      </c>
      <c r="AQ187">
        <f t="shared" si="55"/>
        <v>0.28779874709428321</v>
      </c>
    </row>
    <row r="188" spans="1:43" x14ac:dyDescent="0.35">
      <c r="A188" t="s">
        <v>361</v>
      </c>
      <c r="B188" t="s">
        <v>362</v>
      </c>
      <c r="C188">
        <f>VLOOKUP(CONCATENATE("2024",'2024_60'!A188),aktivnepesseg!$C$2:$D$2226,2,FALSE)</f>
        <v>10429</v>
      </c>
      <c r="D188">
        <f t="shared" si="43"/>
        <v>8399</v>
      </c>
      <c r="E188">
        <f t="shared" si="44"/>
        <v>2030</v>
      </c>
      <c r="F188">
        <v>901</v>
      </c>
      <c r="G188">
        <v>205</v>
      </c>
      <c r="H188">
        <v>126</v>
      </c>
      <c r="I188">
        <v>98</v>
      </c>
      <c r="J188">
        <v>84</v>
      </c>
      <c r="K188">
        <v>121</v>
      </c>
      <c r="L188">
        <v>199</v>
      </c>
      <c r="M188">
        <v>101</v>
      </c>
      <c r="N188">
        <v>219</v>
      </c>
      <c r="O188">
        <v>232</v>
      </c>
      <c r="P188">
        <v>959</v>
      </c>
      <c r="Q188">
        <v>858</v>
      </c>
      <c r="R188">
        <v>2891</v>
      </c>
      <c r="S188">
        <v>1237</v>
      </c>
      <c r="T188">
        <v>168</v>
      </c>
      <c r="U188">
        <f t="shared" si="58"/>
        <v>2030</v>
      </c>
      <c r="V188">
        <f t="shared" si="58"/>
        <v>855.94999999999993</v>
      </c>
      <c r="W188">
        <f t="shared" si="58"/>
        <v>174.25</v>
      </c>
      <c r="X188">
        <f t="shared" si="58"/>
        <v>96.600000000000009</v>
      </c>
      <c r="Y188">
        <f t="shared" si="58"/>
        <v>68.599999999999994</v>
      </c>
      <c r="Z188">
        <f t="shared" si="58"/>
        <v>53.199999999999996</v>
      </c>
      <c r="AA188">
        <f t="shared" si="58"/>
        <v>66.550000000000011</v>
      </c>
      <c r="AB188">
        <f t="shared" si="58"/>
        <v>89.55</v>
      </c>
      <c r="AC188">
        <f t="shared" si="58"/>
        <v>37.033333333333331</v>
      </c>
      <c r="AD188">
        <f t="shared" si="58"/>
        <v>54.75</v>
      </c>
      <c r="AE188">
        <f t="shared" si="58"/>
        <v>19.333333333333332</v>
      </c>
      <c r="AF188" s="12">
        <f t="shared" si="42"/>
        <v>0.33999584491961515</v>
      </c>
      <c r="AG188">
        <f t="shared" si="45"/>
        <v>2030</v>
      </c>
      <c r="AH188">
        <f t="shared" si="46"/>
        <v>846.93999999999994</v>
      </c>
      <c r="AI188">
        <f t="shared" si="47"/>
        <v>168.1</v>
      </c>
      <c r="AJ188">
        <f t="shared" si="48"/>
        <v>90.72</v>
      </c>
      <c r="AK188">
        <f t="shared" si="49"/>
        <v>62.72</v>
      </c>
      <c r="AL188">
        <f t="shared" si="50"/>
        <v>47.040000000000006</v>
      </c>
      <c r="AM188">
        <f t="shared" si="51"/>
        <v>55.660000000000004</v>
      </c>
      <c r="AN188">
        <f t="shared" si="52"/>
        <v>67.660000000000011</v>
      </c>
      <c r="AO188">
        <f t="shared" si="53"/>
        <v>24.24</v>
      </c>
      <c r="AP188">
        <f t="shared" si="54"/>
        <v>21.900000000000002</v>
      </c>
      <c r="AQ188">
        <f t="shared" si="55"/>
        <v>0.32745037875155808</v>
      </c>
    </row>
    <row r="189" spans="1:43" x14ac:dyDescent="0.35">
      <c r="A189" t="s">
        <v>363</v>
      </c>
      <c r="B189" t="s">
        <v>364</v>
      </c>
      <c r="C189">
        <f>VLOOKUP(CONCATENATE("2024",'2024_60'!A189),aktivnepesseg!$C$2:$D$2226,2,FALSE)</f>
        <v>11771</v>
      </c>
      <c r="D189">
        <f t="shared" si="43"/>
        <v>9099</v>
      </c>
      <c r="E189">
        <f t="shared" si="44"/>
        <v>2672</v>
      </c>
      <c r="F189">
        <v>1292</v>
      </c>
      <c r="G189">
        <v>335</v>
      </c>
      <c r="H189">
        <v>154</v>
      </c>
      <c r="I189">
        <v>230</v>
      </c>
      <c r="J189">
        <v>175</v>
      </c>
      <c r="K189">
        <v>269</v>
      </c>
      <c r="L189">
        <v>478</v>
      </c>
      <c r="M189">
        <v>169</v>
      </c>
      <c r="N189">
        <v>298</v>
      </c>
      <c r="O189">
        <v>286</v>
      </c>
      <c r="P189">
        <v>1341</v>
      </c>
      <c r="Q189">
        <v>1020</v>
      </c>
      <c r="R189">
        <v>2399</v>
      </c>
      <c r="S189">
        <v>587</v>
      </c>
      <c r="T189">
        <v>66</v>
      </c>
      <c r="U189">
        <f t="shared" si="58"/>
        <v>2672</v>
      </c>
      <c r="V189">
        <f t="shared" si="58"/>
        <v>1227.3999999999999</v>
      </c>
      <c r="W189">
        <f t="shared" si="58"/>
        <v>284.75</v>
      </c>
      <c r="X189">
        <f t="shared" si="58"/>
        <v>118.06666666666668</v>
      </c>
      <c r="Y189">
        <f t="shared" si="58"/>
        <v>161</v>
      </c>
      <c r="Z189">
        <f t="shared" si="58"/>
        <v>110.83333333333333</v>
      </c>
      <c r="AA189">
        <f t="shared" si="58"/>
        <v>147.95000000000002</v>
      </c>
      <c r="AB189">
        <f t="shared" si="58"/>
        <v>215.1</v>
      </c>
      <c r="AC189">
        <f t="shared" si="58"/>
        <v>61.966666666666661</v>
      </c>
      <c r="AD189">
        <f t="shared" si="58"/>
        <v>74.5</v>
      </c>
      <c r="AE189">
        <f t="shared" si="58"/>
        <v>23.833333333333332</v>
      </c>
      <c r="AF189" s="12">
        <f t="shared" si="42"/>
        <v>0.43304731968396898</v>
      </c>
      <c r="AG189">
        <f t="shared" si="45"/>
        <v>2672</v>
      </c>
      <c r="AH189">
        <f t="shared" si="46"/>
        <v>1214.48</v>
      </c>
      <c r="AI189">
        <f t="shared" si="47"/>
        <v>274.7</v>
      </c>
      <c r="AJ189">
        <f t="shared" si="48"/>
        <v>110.88</v>
      </c>
      <c r="AK189">
        <f t="shared" si="49"/>
        <v>147.20000000000002</v>
      </c>
      <c r="AL189">
        <f t="shared" si="50"/>
        <v>98.000000000000014</v>
      </c>
      <c r="AM189">
        <f t="shared" si="51"/>
        <v>123.74000000000001</v>
      </c>
      <c r="AN189">
        <f t="shared" si="52"/>
        <v>162.52000000000001</v>
      </c>
      <c r="AO189">
        <f t="shared" si="53"/>
        <v>40.559999999999995</v>
      </c>
      <c r="AP189">
        <f t="shared" si="54"/>
        <v>29.8</v>
      </c>
      <c r="AQ189">
        <f t="shared" si="55"/>
        <v>0.41405827882083096</v>
      </c>
    </row>
    <row r="190" spans="1:43" x14ac:dyDescent="0.35">
      <c r="A190" t="s">
        <v>365</v>
      </c>
      <c r="B190" t="s">
        <v>366</v>
      </c>
      <c r="C190">
        <f>VLOOKUP(CONCATENATE("2024",'2024_60'!A190),aktivnepesseg!$C$2:$D$2226,2,FALSE)</f>
        <v>15774</v>
      </c>
      <c r="D190">
        <f t="shared" si="43"/>
        <v>12573</v>
      </c>
      <c r="E190">
        <f t="shared" si="44"/>
        <v>3201</v>
      </c>
      <c r="F190">
        <v>1500</v>
      </c>
      <c r="G190">
        <v>371</v>
      </c>
      <c r="H190">
        <v>196</v>
      </c>
      <c r="I190">
        <v>255</v>
      </c>
      <c r="J190">
        <v>172</v>
      </c>
      <c r="K190">
        <v>263</v>
      </c>
      <c r="L190">
        <v>336</v>
      </c>
      <c r="M190">
        <v>223</v>
      </c>
      <c r="N190">
        <v>374</v>
      </c>
      <c r="O190">
        <v>421</v>
      </c>
      <c r="P190">
        <v>1854</v>
      </c>
      <c r="Q190">
        <v>1429</v>
      </c>
      <c r="R190">
        <v>3821</v>
      </c>
      <c r="S190">
        <v>1243</v>
      </c>
      <c r="T190">
        <v>115</v>
      </c>
      <c r="U190">
        <f t="shared" si="58"/>
        <v>3201</v>
      </c>
      <c r="V190">
        <f t="shared" si="58"/>
        <v>1425</v>
      </c>
      <c r="W190">
        <f t="shared" si="58"/>
        <v>315.34999999999997</v>
      </c>
      <c r="X190">
        <f t="shared" si="58"/>
        <v>150.26666666666668</v>
      </c>
      <c r="Y190">
        <f t="shared" si="58"/>
        <v>178.5</v>
      </c>
      <c r="Z190">
        <f t="shared" si="58"/>
        <v>108.93333333333332</v>
      </c>
      <c r="AA190">
        <f t="shared" si="58"/>
        <v>144.65</v>
      </c>
      <c r="AB190">
        <f t="shared" si="58"/>
        <v>151.20000000000002</v>
      </c>
      <c r="AC190">
        <f t="shared" si="58"/>
        <v>81.766666666666666</v>
      </c>
      <c r="AD190">
        <f t="shared" si="58"/>
        <v>93.5</v>
      </c>
      <c r="AE190">
        <f t="shared" si="58"/>
        <v>35.083333333333329</v>
      </c>
      <c r="AF190" s="12">
        <f t="shared" si="42"/>
        <v>0.37309813617344995</v>
      </c>
      <c r="AG190">
        <f t="shared" si="45"/>
        <v>3201</v>
      </c>
      <c r="AH190">
        <f t="shared" si="46"/>
        <v>1410</v>
      </c>
      <c r="AI190">
        <f t="shared" si="47"/>
        <v>304.21999999999997</v>
      </c>
      <c r="AJ190">
        <f t="shared" si="48"/>
        <v>141.12</v>
      </c>
      <c r="AK190">
        <f t="shared" si="49"/>
        <v>163.20000000000002</v>
      </c>
      <c r="AL190">
        <f t="shared" si="50"/>
        <v>96.320000000000007</v>
      </c>
      <c r="AM190">
        <f t="shared" si="51"/>
        <v>120.98</v>
      </c>
      <c r="AN190">
        <f t="shared" si="52"/>
        <v>114.24000000000001</v>
      </c>
      <c r="AO190">
        <f t="shared" si="53"/>
        <v>53.519999999999996</v>
      </c>
      <c r="AP190">
        <f t="shared" si="54"/>
        <v>37.4</v>
      </c>
      <c r="AQ190">
        <f t="shared" si="55"/>
        <v>0.35767719031317352</v>
      </c>
    </row>
    <row r="191" spans="1:43" x14ac:dyDescent="0.35">
      <c r="A191" t="s">
        <v>367</v>
      </c>
      <c r="B191" t="s">
        <v>368</v>
      </c>
      <c r="C191">
        <f>VLOOKUP(CONCATENATE("2024",'2024_60'!A191),aktivnepesseg!$C$2:$D$2226,2,FALSE)</f>
        <v>19452</v>
      </c>
      <c r="D191">
        <f t="shared" si="43"/>
        <v>15366</v>
      </c>
      <c r="E191">
        <f t="shared" si="44"/>
        <v>4086</v>
      </c>
      <c r="F191">
        <v>1704</v>
      </c>
      <c r="G191">
        <v>545</v>
      </c>
      <c r="H191">
        <v>309</v>
      </c>
      <c r="I191">
        <v>287</v>
      </c>
      <c r="J191">
        <v>253</v>
      </c>
      <c r="K191">
        <v>332</v>
      </c>
      <c r="L191">
        <v>513</v>
      </c>
      <c r="M191">
        <v>208</v>
      </c>
      <c r="N191">
        <v>413</v>
      </c>
      <c r="O191">
        <v>411</v>
      </c>
      <c r="P191">
        <v>1660</v>
      </c>
      <c r="Q191">
        <v>1536</v>
      </c>
      <c r="R191">
        <v>4731</v>
      </c>
      <c r="S191">
        <v>2131</v>
      </c>
      <c r="T191">
        <v>333</v>
      </c>
      <c r="U191">
        <f t="shared" si="58"/>
        <v>4086</v>
      </c>
      <c r="V191">
        <f t="shared" si="58"/>
        <v>1618.8</v>
      </c>
      <c r="W191">
        <f t="shared" si="58"/>
        <v>463.25</v>
      </c>
      <c r="X191">
        <f t="shared" si="58"/>
        <v>236.9</v>
      </c>
      <c r="Y191">
        <f t="shared" si="58"/>
        <v>200.89999999999998</v>
      </c>
      <c r="Z191">
        <f t="shared" si="58"/>
        <v>160.23333333333332</v>
      </c>
      <c r="AA191">
        <f t="shared" si="58"/>
        <v>182.60000000000002</v>
      </c>
      <c r="AB191">
        <f t="shared" si="58"/>
        <v>230.85</v>
      </c>
      <c r="AC191">
        <f t="shared" si="58"/>
        <v>76.266666666666666</v>
      </c>
      <c r="AD191">
        <f t="shared" si="58"/>
        <v>103.25</v>
      </c>
      <c r="AE191">
        <f t="shared" si="58"/>
        <v>34.25</v>
      </c>
      <c r="AF191" s="12">
        <f t="shared" si="42"/>
        <v>0.38007916923709645</v>
      </c>
      <c r="AG191">
        <f t="shared" si="45"/>
        <v>4086</v>
      </c>
      <c r="AH191">
        <f t="shared" si="46"/>
        <v>1601.76</v>
      </c>
      <c r="AI191">
        <f t="shared" si="47"/>
        <v>446.9</v>
      </c>
      <c r="AJ191">
        <f t="shared" si="48"/>
        <v>222.48</v>
      </c>
      <c r="AK191">
        <f t="shared" si="49"/>
        <v>183.68</v>
      </c>
      <c r="AL191">
        <f t="shared" si="50"/>
        <v>141.68</v>
      </c>
      <c r="AM191">
        <f t="shared" si="51"/>
        <v>152.72</v>
      </c>
      <c r="AN191">
        <f t="shared" si="52"/>
        <v>174.42000000000002</v>
      </c>
      <c r="AO191">
        <f t="shared" si="53"/>
        <v>49.92</v>
      </c>
      <c r="AP191">
        <f t="shared" si="54"/>
        <v>41.300000000000004</v>
      </c>
      <c r="AQ191">
        <f t="shared" si="55"/>
        <v>0.36504523956405516</v>
      </c>
    </row>
    <row r="192" spans="1:43" x14ac:dyDescent="0.35">
      <c r="A192" t="s">
        <v>369</v>
      </c>
      <c r="B192" t="s">
        <v>370</v>
      </c>
      <c r="C192">
        <f>VLOOKUP(CONCATENATE("2024",'2024_60'!A192),aktivnepesseg!$C$2:$D$2226,2,FALSE)</f>
        <v>16907</v>
      </c>
      <c r="D192">
        <f t="shared" si="43"/>
        <v>12169</v>
      </c>
      <c r="E192">
        <f t="shared" si="44"/>
        <v>4738</v>
      </c>
      <c r="F192">
        <v>1644</v>
      </c>
      <c r="G192">
        <v>555</v>
      </c>
      <c r="H192">
        <v>263</v>
      </c>
      <c r="I192">
        <v>293</v>
      </c>
      <c r="J192">
        <v>213</v>
      </c>
      <c r="K192">
        <v>399</v>
      </c>
      <c r="L192">
        <v>653</v>
      </c>
      <c r="M192">
        <v>210</v>
      </c>
      <c r="N192">
        <v>407</v>
      </c>
      <c r="O192">
        <v>427</v>
      </c>
      <c r="P192">
        <v>1638</v>
      </c>
      <c r="Q192">
        <v>1269</v>
      </c>
      <c r="R192">
        <v>3322</v>
      </c>
      <c r="S192">
        <v>797</v>
      </c>
      <c r="T192">
        <v>79</v>
      </c>
      <c r="U192">
        <f t="shared" si="58"/>
        <v>4738</v>
      </c>
      <c r="V192">
        <f t="shared" si="58"/>
        <v>1561.8</v>
      </c>
      <c r="W192">
        <f t="shared" si="58"/>
        <v>471.75</v>
      </c>
      <c r="X192">
        <f t="shared" si="58"/>
        <v>201.63333333333335</v>
      </c>
      <c r="Y192">
        <f t="shared" si="58"/>
        <v>205.1</v>
      </c>
      <c r="Z192">
        <f t="shared" si="58"/>
        <v>134.9</v>
      </c>
      <c r="AA192">
        <f t="shared" si="58"/>
        <v>219.45000000000002</v>
      </c>
      <c r="AB192">
        <f t="shared" si="58"/>
        <v>293.85000000000002</v>
      </c>
      <c r="AC192">
        <f t="shared" si="58"/>
        <v>77</v>
      </c>
      <c r="AD192">
        <f t="shared" si="58"/>
        <v>101.75</v>
      </c>
      <c r="AE192">
        <f t="shared" si="58"/>
        <v>35.583333333333329</v>
      </c>
      <c r="AF192" s="12">
        <f t="shared" si="42"/>
        <v>0.47559097809585771</v>
      </c>
      <c r="AG192">
        <f t="shared" si="45"/>
        <v>4738</v>
      </c>
      <c r="AH192">
        <f t="shared" si="46"/>
        <v>1545.36</v>
      </c>
      <c r="AI192">
        <f t="shared" si="47"/>
        <v>455.09999999999997</v>
      </c>
      <c r="AJ192">
        <f t="shared" si="48"/>
        <v>189.35999999999999</v>
      </c>
      <c r="AK192">
        <f t="shared" si="49"/>
        <v>187.52</v>
      </c>
      <c r="AL192">
        <f t="shared" si="50"/>
        <v>119.28000000000002</v>
      </c>
      <c r="AM192">
        <f t="shared" si="51"/>
        <v>183.54000000000002</v>
      </c>
      <c r="AN192">
        <f t="shared" si="52"/>
        <v>222.02</v>
      </c>
      <c r="AO192">
        <f t="shared" si="53"/>
        <v>50.4</v>
      </c>
      <c r="AP192">
        <f t="shared" si="54"/>
        <v>40.700000000000003</v>
      </c>
      <c r="AQ192">
        <f t="shared" si="55"/>
        <v>0.45728278227952918</v>
      </c>
    </row>
    <row r="193" spans="1:43" x14ac:dyDescent="0.35">
      <c r="A193" t="s">
        <v>371</v>
      </c>
      <c r="B193" t="s">
        <v>372</v>
      </c>
      <c r="C193">
        <f>VLOOKUP(CONCATENATE("2024",'2024_60'!A193),aktivnepesseg!$C$2:$D$2226,2,FALSE)</f>
        <v>7640</v>
      </c>
      <c r="D193">
        <f t="shared" si="43"/>
        <v>5656</v>
      </c>
      <c r="E193">
        <f t="shared" si="44"/>
        <v>1984</v>
      </c>
      <c r="F193">
        <v>770</v>
      </c>
      <c r="G193">
        <v>230</v>
      </c>
      <c r="H193">
        <v>107</v>
      </c>
      <c r="I193">
        <v>114</v>
      </c>
      <c r="J193">
        <v>88</v>
      </c>
      <c r="K193">
        <v>158</v>
      </c>
      <c r="L193">
        <v>298</v>
      </c>
      <c r="M193">
        <v>78</v>
      </c>
      <c r="N193">
        <v>193</v>
      </c>
      <c r="O193">
        <v>164</v>
      </c>
      <c r="P193">
        <v>811</v>
      </c>
      <c r="Q193">
        <v>602</v>
      </c>
      <c r="R193">
        <v>1626</v>
      </c>
      <c r="S193">
        <v>388</v>
      </c>
      <c r="T193">
        <v>29</v>
      </c>
      <c r="U193">
        <f t="shared" si="58"/>
        <v>1984</v>
      </c>
      <c r="V193">
        <f t="shared" si="58"/>
        <v>731.5</v>
      </c>
      <c r="W193">
        <f t="shared" si="58"/>
        <v>195.5</v>
      </c>
      <c r="X193">
        <f t="shared" si="58"/>
        <v>82.033333333333346</v>
      </c>
      <c r="Y193">
        <f t="shared" si="58"/>
        <v>79.8</v>
      </c>
      <c r="Z193">
        <f t="shared" si="58"/>
        <v>55.733333333333334</v>
      </c>
      <c r="AA193">
        <f t="shared" si="58"/>
        <v>86.9</v>
      </c>
      <c r="AB193">
        <f t="shared" si="58"/>
        <v>134.1</v>
      </c>
      <c r="AC193">
        <f t="shared" si="58"/>
        <v>28.599999999999998</v>
      </c>
      <c r="AD193">
        <f t="shared" si="58"/>
        <v>48.25</v>
      </c>
      <c r="AE193">
        <f t="shared" si="58"/>
        <v>13.666666666666666</v>
      </c>
      <c r="AF193" s="12">
        <f t="shared" si="42"/>
        <v>0.45027268760907502</v>
      </c>
      <c r="AG193">
        <f t="shared" si="45"/>
        <v>1984</v>
      </c>
      <c r="AH193">
        <f t="shared" si="46"/>
        <v>723.8</v>
      </c>
      <c r="AI193">
        <f t="shared" si="47"/>
        <v>188.6</v>
      </c>
      <c r="AJ193">
        <f t="shared" si="48"/>
        <v>77.039999999999992</v>
      </c>
      <c r="AK193">
        <f t="shared" si="49"/>
        <v>72.960000000000008</v>
      </c>
      <c r="AL193">
        <f t="shared" si="50"/>
        <v>49.28</v>
      </c>
      <c r="AM193">
        <f t="shared" si="51"/>
        <v>72.680000000000007</v>
      </c>
      <c r="AN193">
        <f t="shared" si="52"/>
        <v>101.32000000000001</v>
      </c>
      <c r="AO193">
        <f t="shared" si="53"/>
        <v>18.72</v>
      </c>
      <c r="AP193">
        <f t="shared" si="54"/>
        <v>19.3</v>
      </c>
      <c r="AQ193">
        <f t="shared" si="55"/>
        <v>0.43294502617801051</v>
      </c>
    </row>
    <row r="194" spans="1:43" x14ac:dyDescent="0.35">
      <c r="A194" t="s">
        <v>373</v>
      </c>
      <c r="B194" t="s">
        <v>374</v>
      </c>
      <c r="C194">
        <f>VLOOKUP(CONCATENATE("2024",'2024_60'!A194),aktivnepesseg!$C$2:$D$2226,2,FALSE)</f>
        <v>11401</v>
      </c>
      <c r="D194">
        <f t="shared" si="43"/>
        <v>8668</v>
      </c>
      <c r="E194">
        <f t="shared" si="44"/>
        <v>2733</v>
      </c>
      <c r="F194">
        <v>1045</v>
      </c>
      <c r="G194">
        <v>271</v>
      </c>
      <c r="H194">
        <v>144</v>
      </c>
      <c r="I194">
        <v>143</v>
      </c>
      <c r="J194">
        <v>119</v>
      </c>
      <c r="K194">
        <v>164</v>
      </c>
      <c r="L194">
        <v>236</v>
      </c>
      <c r="M194">
        <v>128</v>
      </c>
      <c r="N194">
        <v>278</v>
      </c>
      <c r="O194">
        <v>289</v>
      </c>
      <c r="P194">
        <v>1097</v>
      </c>
      <c r="Q194">
        <v>1084</v>
      </c>
      <c r="R194">
        <v>2678</v>
      </c>
      <c r="S194">
        <v>818</v>
      </c>
      <c r="T194">
        <v>174</v>
      </c>
      <c r="U194">
        <f t="shared" si="58"/>
        <v>2733</v>
      </c>
      <c r="V194">
        <f t="shared" si="58"/>
        <v>992.75</v>
      </c>
      <c r="W194">
        <f t="shared" si="58"/>
        <v>230.35</v>
      </c>
      <c r="X194">
        <f t="shared" si="58"/>
        <v>110.4</v>
      </c>
      <c r="Y194">
        <f t="shared" si="58"/>
        <v>100.1</v>
      </c>
      <c r="Z194">
        <f t="shared" si="58"/>
        <v>75.36666666666666</v>
      </c>
      <c r="AA194">
        <f t="shared" si="58"/>
        <v>90.2</v>
      </c>
      <c r="AB194">
        <f t="shared" si="58"/>
        <v>106.2</v>
      </c>
      <c r="AC194">
        <f t="shared" si="58"/>
        <v>46.93333333333333</v>
      </c>
      <c r="AD194">
        <f t="shared" si="58"/>
        <v>69.5</v>
      </c>
      <c r="AE194">
        <f t="shared" si="58"/>
        <v>24.083333333333332</v>
      </c>
      <c r="AF194" s="12">
        <f t="shared" si="42"/>
        <v>0.40162120281846619</v>
      </c>
      <c r="AG194">
        <f t="shared" si="45"/>
        <v>2733</v>
      </c>
      <c r="AH194">
        <f t="shared" si="46"/>
        <v>982.3</v>
      </c>
      <c r="AI194">
        <f t="shared" si="47"/>
        <v>222.22</v>
      </c>
      <c r="AJ194">
        <f t="shared" si="48"/>
        <v>103.67999999999999</v>
      </c>
      <c r="AK194">
        <f t="shared" si="49"/>
        <v>91.52</v>
      </c>
      <c r="AL194">
        <f t="shared" si="50"/>
        <v>66.64</v>
      </c>
      <c r="AM194">
        <f t="shared" si="51"/>
        <v>75.44</v>
      </c>
      <c r="AN194">
        <f t="shared" si="52"/>
        <v>80.240000000000009</v>
      </c>
      <c r="AO194">
        <f t="shared" si="53"/>
        <v>30.72</v>
      </c>
      <c r="AP194">
        <f t="shared" si="54"/>
        <v>27.8</v>
      </c>
      <c r="AQ194">
        <f t="shared" si="55"/>
        <v>0.38712042803262875</v>
      </c>
    </row>
    <row r="195" spans="1:43" x14ac:dyDescent="0.35">
      <c r="A195" t="s">
        <v>375</v>
      </c>
      <c r="B195" t="s">
        <v>376</v>
      </c>
      <c r="C195">
        <f>VLOOKUP(CONCATENATE("2024",'2024_60'!A195),aktivnepesseg!$C$2:$D$2226,2,FALSE)</f>
        <v>22910</v>
      </c>
      <c r="D195">
        <f t="shared" si="43"/>
        <v>17711</v>
      </c>
      <c r="E195">
        <f t="shared" si="44"/>
        <v>5199</v>
      </c>
      <c r="F195">
        <v>2035</v>
      </c>
      <c r="G195">
        <v>650</v>
      </c>
      <c r="H195">
        <v>325</v>
      </c>
      <c r="I195">
        <v>410</v>
      </c>
      <c r="J195">
        <v>299</v>
      </c>
      <c r="K195">
        <v>445</v>
      </c>
      <c r="L195">
        <v>651</v>
      </c>
      <c r="M195">
        <v>289</v>
      </c>
      <c r="N195">
        <v>590</v>
      </c>
      <c r="O195">
        <v>568</v>
      </c>
      <c r="P195">
        <v>2608</v>
      </c>
      <c r="Q195">
        <v>2211</v>
      </c>
      <c r="R195">
        <v>5394</v>
      </c>
      <c r="S195">
        <v>1125</v>
      </c>
      <c r="T195">
        <v>111</v>
      </c>
      <c r="U195">
        <f t="shared" si="58"/>
        <v>5199</v>
      </c>
      <c r="V195">
        <f t="shared" si="58"/>
        <v>1933.25</v>
      </c>
      <c r="W195">
        <f t="shared" si="58"/>
        <v>552.5</v>
      </c>
      <c r="X195">
        <f t="shared" si="58"/>
        <v>249.16666666666669</v>
      </c>
      <c r="Y195">
        <f t="shared" si="58"/>
        <v>287</v>
      </c>
      <c r="Z195">
        <f t="shared" si="58"/>
        <v>189.36666666666665</v>
      </c>
      <c r="AA195">
        <f t="shared" si="58"/>
        <v>244.75000000000003</v>
      </c>
      <c r="AB195">
        <f t="shared" si="58"/>
        <v>292.95</v>
      </c>
      <c r="AC195">
        <f t="shared" si="58"/>
        <v>105.96666666666665</v>
      </c>
      <c r="AD195">
        <f t="shared" si="58"/>
        <v>147.5</v>
      </c>
      <c r="AE195">
        <f t="shared" si="58"/>
        <v>47.333333333333329</v>
      </c>
      <c r="AF195" s="12">
        <f t="shared" si="42"/>
        <v>0.40370071293467202</v>
      </c>
      <c r="AG195">
        <f t="shared" si="45"/>
        <v>5199</v>
      </c>
      <c r="AH195">
        <f t="shared" si="46"/>
        <v>1912.8999999999999</v>
      </c>
      <c r="AI195">
        <f t="shared" si="47"/>
        <v>533</v>
      </c>
      <c r="AJ195">
        <f t="shared" si="48"/>
        <v>234</v>
      </c>
      <c r="AK195">
        <f t="shared" si="49"/>
        <v>262.39999999999998</v>
      </c>
      <c r="AL195">
        <f t="shared" si="50"/>
        <v>167.44000000000003</v>
      </c>
      <c r="AM195">
        <f t="shared" si="51"/>
        <v>204.70000000000002</v>
      </c>
      <c r="AN195">
        <f t="shared" si="52"/>
        <v>221.34</v>
      </c>
      <c r="AO195">
        <f t="shared" si="53"/>
        <v>69.36</v>
      </c>
      <c r="AP195">
        <f t="shared" si="54"/>
        <v>59</v>
      </c>
      <c r="AQ195">
        <f t="shared" si="55"/>
        <v>0.38686774334351814</v>
      </c>
    </row>
    <row r="196" spans="1:43" x14ac:dyDescent="0.35">
      <c r="A196" t="s">
        <v>377</v>
      </c>
      <c r="B196" t="s">
        <v>378</v>
      </c>
      <c r="C196">
        <f>VLOOKUP(CONCATENATE("2024",'2024_60'!A196),aktivnepesseg!$C$2:$D$2226,2,FALSE)</f>
        <v>46920</v>
      </c>
      <c r="D196">
        <f t="shared" si="43"/>
        <v>37903</v>
      </c>
      <c r="E196">
        <f t="shared" si="44"/>
        <v>9017</v>
      </c>
      <c r="F196">
        <v>3201</v>
      </c>
      <c r="G196">
        <v>1042</v>
      </c>
      <c r="H196">
        <v>603</v>
      </c>
      <c r="I196">
        <v>709</v>
      </c>
      <c r="J196">
        <v>460</v>
      </c>
      <c r="K196">
        <v>695</v>
      </c>
      <c r="L196">
        <v>1027</v>
      </c>
      <c r="M196">
        <v>584</v>
      </c>
      <c r="N196">
        <v>1041</v>
      </c>
      <c r="O196">
        <v>1121</v>
      </c>
      <c r="P196">
        <v>4658</v>
      </c>
      <c r="Q196">
        <v>3337</v>
      </c>
      <c r="R196">
        <v>12619</v>
      </c>
      <c r="S196">
        <v>5633</v>
      </c>
      <c r="T196">
        <v>1173</v>
      </c>
      <c r="U196">
        <f t="shared" si="58"/>
        <v>9017</v>
      </c>
      <c r="V196">
        <f t="shared" si="58"/>
        <v>3040.95</v>
      </c>
      <c r="W196">
        <f t="shared" si="58"/>
        <v>885.69999999999993</v>
      </c>
      <c r="X196">
        <f t="shared" si="58"/>
        <v>462.3</v>
      </c>
      <c r="Y196">
        <f t="shared" si="58"/>
        <v>496.29999999999995</v>
      </c>
      <c r="Z196">
        <f t="shared" si="58"/>
        <v>291.33333333333331</v>
      </c>
      <c r="AA196">
        <f t="shared" si="58"/>
        <v>382.25000000000006</v>
      </c>
      <c r="AB196">
        <f t="shared" si="58"/>
        <v>462.15000000000003</v>
      </c>
      <c r="AC196">
        <f t="shared" si="58"/>
        <v>214.13333333333333</v>
      </c>
      <c r="AD196">
        <f t="shared" si="58"/>
        <v>260.25</v>
      </c>
      <c r="AE196">
        <f t="shared" si="58"/>
        <v>93.416666666666657</v>
      </c>
      <c r="AF196" s="12">
        <f t="shared" si="42"/>
        <v>0.33260407786302926</v>
      </c>
      <c r="AG196">
        <f t="shared" si="45"/>
        <v>9017</v>
      </c>
      <c r="AH196">
        <f t="shared" si="46"/>
        <v>3008.94</v>
      </c>
      <c r="AI196">
        <f t="shared" si="47"/>
        <v>854.43999999999994</v>
      </c>
      <c r="AJ196">
        <f t="shared" si="48"/>
        <v>434.15999999999997</v>
      </c>
      <c r="AK196">
        <f t="shared" si="49"/>
        <v>453.76</v>
      </c>
      <c r="AL196">
        <f t="shared" si="50"/>
        <v>257.60000000000002</v>
      </c>
      <c r="AM196">
        <f t="shared" si="51"/>
        <v>319.7</v>
      </c>
      <c r="AN196">
        <f t="shared" si="52"/>
        <v>349.18</v>
      </c>
      <c r="AO196">
        <f t="shared" si="53"/>
        <v>140.16</v>
      </c>
      <c r="AP196">
        <f t="shared" si="54"/>
        <v>104.10000000000001</v>
      </c>
      <c r="AQ196">
        <f t="shared" si="55"/>
        <v>0.31839386189258317</v>
      </c>
    </row>
    <row r="197" spans="1:43" x14ac:dyDescent="0.35">
      <c r="A197" t="s">
        <v>379</v>
      </c>
      <c r="B197" t="s">
        <v>380</v>
      </c>
      <c r="C197">
        <f>VLOOKUP(CONCATENATE("2024",'2024_60'!A197),aktivnepesseg!$C$2:$D$2226,2,FALSE)</f>
        <v>23827</v>
      </c>
      <c r="D197">
        <f t="shared" si="43"/>
        <v>19405</v>
      </c>
      <c r="E197">
        <f t="shared" si="44"/>
        <v>4422</v>
      </c>
      <c r="F197">
        <v>1665</v>
      </c>
      <c r="G197">
        <v>580</v>
      </c>
      <c r="H197">
        <v>275</v>
      </c>
      <c r="I197">
        <v>336</v>
      </c>
      <c r="J197">
        <v>223</v>
      </c>
      <c r="K197">
        <v>326</v>
      </c>
      <c r="L197">
        <v>417</v>
      </c>
      <c r="M197">
        <v>243</v>
      </c>
      <c r="N197">
        <v>491</v>
      </c>
      <c r="O197">
        <v>584</v>
      </c>
      <c r="P197">
        <v>2285</v>
      </c>
      <c r="Q197">
        <v>2046</v>
      </c>
      <c r="R197">
        <v>7572</v>
      </c>
      <c r="S197">
        <v>2176</v>
      </c>
      <c r="T197">
        <v>186</v>
      </c>
      <c r="U197">
        <f t="shared" si="58"/>
        <v>4422</v>
      </c>
      <c r="V197">
        <f t="shared" si="58"/>
        <v>1581.75</v>
      </c>
      <c r="W197">
        <f t="shared" si="58"/>
        <v>493</v>
      </c>
      <c r="X197">
        <f t="shared" si="58"/>
        <v>210.83333333333334</v>
      </c>
      <c r="Y197">
        <f t="shared" si="58"/>
        <v>235.2</v>
      </c>
      <c r="Z197">
        <f t="shared" si="58"/>
        <v>141.23333333333332</v>
      </c>
      <c r="AA197">
        <f t="shared" si="58"/>
        <v>179.3</v>
      </c>
      <c r="AB197">
        <f t="shared" si="58"/>
        <v>187.65</v>
      </c>
      <c r="AC197">
        <f t="shared" si="58"/>
        <v>89.1</v>
      </c>
      <c r="AD197">
        <f t="shared" si="58"/>
        <v>122.75</v>
      </c>
      <c r="AE197">
        <f t="shared" si="58"/>
        <v>48.666666666666664</v>
      </c>
      <c r="AF197" s="12">
        <f t="shared" si="42"/>
        <v>0.32364474475734811</v>
      </c>
      <c r="AG197">
        <f t="shared" si="45"/>
        <v>4422</v>
      </c>
      <c r="AH197">
        <f t="shared" si="46"/>
        <v>1565.1</v>
      </c>
      <c r="AI197">
        <f t="shared" si="47"/>
        <v>475.59999999999997</v>
      </c>
      <c r="AJ197">
        <f t="shared" si="48"/>
        <v>198</v>
      </c>
      <c r="AK197">
        <f t="shared" si="49"/>
        <v>215.04</v>
      </c>
      <c r="AL197">
        <f t="shared" si="50"/>
        <v>124.88000000000001</v>
      </c>
      <c r="AM197">
        <f t="shared" si="51"/>
        <v>149.96</v>
      </c>
      <c r="AN197">
        <f t="shared" si="52"/>
        <v>141.78</v>
      </c>
      <c r="AO197">
        <f t="shared" si="53"/>
        <v>58.32</v>
      </c>
      <c r="AP197">
        <f t="shared" si="54"/>
        <v>49.1</v>
      </c>
      <c r="AQ197">
        <f t="shared" si="55"/>
        <v>0.31056280689973564</v>
      </c>
    </row>
    <row r="198" spans="1:43" x14ac:dyDescent="0.35">
      <c r="A198" t="s">
        <v>381</v>
      </c>
      <c r="B198" t="s">
        <v>382</v>
      </c>
      <c r="C198">
        <f>VLOOKUP(CONCATENATE("2024",'2024_60'!A198),aktivnepesseg!$C$2:$D$2226,2,FALSE)</f>
        <v>25069</v>
      </c>
      <c r="D198">
        <f t="shared" si="43"/>
        <v>17279</v>
      </c>
      <c r="E198">
        <f t="shared" si="44"/>
        <v>7790</v>
      </c>
      <c r="F198">
        <v>2522</v>
      </c>
      <c r="G198">
        <v>749</v>
      </c>
      <c r="H198">
        <v>401</v>
      </c>
      <c r="I198">
        <v>420</v>
      </c>
      <c r="J198">
        <v>381</v>
      </c>
      <c r="K198">
        <v>781</v>
      </c>
      <c r="L198">
        <v>1255</v>
      </c>
      <c r="M198">
        <v>337</v>
      </c>
      <c r="N198">
        <v>676</v>
      </c>
      <c r="O198">
        <v>556</v>
      </c>
      <c r="P198">
        <v>2443</v>
      </c>
      <c r="Q198">
        <v>1745</v>
      </c>
      <c r="R198">
        <v>3955</v>
      </c>
      <c r="S198">
        <v>958</v>
      </c>
      <c r="T198">
        <v>100</v>
      </c>
      <c r="U198">
        <f t="shared" si="58"/>
        <v>7790</v>
      </c>
      <c r="V198">
        <f t="shared" si="58"/>
        <v>2395.9</v>
      </c>
      <c r="W198">
        <f t="shared" si="58"/>
        <v>636.65</v>
      </c>
      <c r="X198">
        <f t="shared" si="58"/>
        <v>307.43333333333334</v>
      </c>
      <c r="Y198">
        <f t="shared" si="58"/>
        <v>294</v>
      </c>
      <c r="Z198">
        <f t="shared" si="58"/>
        <v>241.29999999999998</v>
      </c>
      <c r="AA198">
        <f t="shared" si="58"/>
        <v>429.55</v>
      </c>
      <c r="AB198">
        <f t="shared" si="58"/>
        <v>564.75</v>
      </c>
      <c r="AC198">
        <f t="shared" si="58"/>
        <v>123.56666666666666</v>
      </c>
      <c r="AD198">
        <f t="shared" si="58"/>
        <v>169</v>
      </c>
      <c r="AE198">
        <f t="shared" si="58"/>
        <v>46.333333333333329</v>
      </c>
      <c r="AF198" s="12">
        <f t="shared" si="42"/>
        <v>0.51850825056178274</v>
      </c>
      <c r="AG198">
        <f t="shared" si="45"/>
        <v>7790</v>
      </c>
      <c r="AH198">
        <f t="shared" si="46"/>
        <v>2370.6799999999998</v>
      </c>
      <c r="AI198">
        <f t="shared" si="47"/>
        <v>614.17999999999995</v>
      </c>
      <c r="AJ198">
        <f t="shared" si="48"/>
        <v>288.71999999999997</v>
      </c>
      <c r="AK198">
        <f t="shared" si="49"/>
        <v>268.8</v>
      </c>
      <c r="AL198">
        <f t="shared" si="50"/>
        <v>213.36</v>
      </c>
      <c r="AM198">
        <f t="shared" si="51"/>
        <v>359.26</v>
      </c>
      <c r="AN198">
        <f t="shared" si="52"/>
        <v>426.70000000000005</v>
      </c>
      <c r="AO198">
        <f t="shared" si="53"/>
        <v>80.88</v>
      </c>
      <c r="AP198">
        <f t="shared" si="54"/>
        <v>67.600000000000009</v>
      </c>
      <c r="AQ198">
        <f t="shared" si="55"/>
        <v>0.49783318042203517</v>
      </c>
    </row>
    <row r="199" spans="1:43" x14ac:dyDescent="0.35">
      <c r="A199" t="s">
        <v>383</v>
      </c>
      <c r="B199" t="s">
        <v>384</v>
      </c>
      <c r="C199">
        <f>VLOOKUP(CONCATENATE("2024",'2024_60'!A199),aktivnepesseg!$C$2:$D$2226,2,FALSE)</f>
        <v>8774</v>
      </c>
      <c r="D199">
        <f t="shared" si="43"/>
        <v>6877</v>
      </c>
      <c r="E199">
        <f t="shared" si="44"/>
        <v>1897</v>
      </c>
      <c r="F199">
        <v>795</v>
      </c>
      <c r="G199">
        <v>218</v>
      </c>
      <c r="H199">
        <v>113</v>
      </c>
      <c r="I199">
        <v>111</v>
      </c>
      <c r="J199">
        <v>75</v>
      </c>
      <c r="K199">
        <v>133</v>
      </c>
      <c r="L199">
        <v>200</v>
      </c>
      <c r="M199">
        <v>77</v>
      </c>
      <c r="N199">
        <v>182</v>
      </c>
      <c r="O199">
        <v>211</v>
      </c>
      <c r="P199">
        <v>981</v>
      </c>
      <c r="Q199">
        <v>800</v>
      </c>
      <c r="R199">
        <v>2475</v>
      </c>
      <c r="S199">
        <v>483</v>
      </c>
      <c r="T199">
        <v>23</v>
      </c>
      <c r="U199">
        <f t="shared" si="58"/>
        <v>1897</v>
      </c>
      <c r="V199">
        <f t="shared" si="58"/>
        <v>755.25</v>
      </c>
      <c r="W199">
        <f t="shared" si="58"/>
        <v>185.29999999999998</v>
      </c>
      <c r="X199">
        <f t="shared" si="58"/>
        <v>86.63333333333334</v>
      </c>
      <c r="Y199">
        <f t="shared" si="58"/>
        <v>77.699999999999989</v>
      </c>
      <c r="Z199">
        <f t="shared" si="58"/>
        <v>47.5</v>
      </c>
      <c r="AA199">
        <f t="shared" si="58"/>
        <v>73.150000000000006</v>
      </c>
      <c r="AB199">
        <f t="shared" si="58"/>
        <v>90</v>
      </c>
      <c r="AC199">
        <f t="shared" si="58"/>
        <v>28.233333333333331</v>
      </c>
      <c r="AD199">
        <f t="shared" si="58"/>
        <v>45.5</v>
      </c>
      <c r="AE199">
        <f t="shared" si="58"/>
        <v>17.583333333333332</v>
      </c>
      <c r="AF199" s="12">
        <f t="shared" si="42"/>
        <v>0.37655003419193067</v>
      </c>
      <c r="AG199">
        <f t="shared" si="45"/>
        <v>1897</v>
      </c>
      <c r="AH199">
        <f t="shared" si="46"/>
        <v>747.3</v>
      </c>
      <c r="AI199">
        <f t="shared" si="47"/>
        <v>178.76</v>
      </c>
      <c r="AJ199">
        <f t="shared" si="48"/>
        <v>81.36</v>
      </c>
      <c r="AK199">
        <f t="shared" si="49"/>
        <v>71.040000000000006</v>
      </c>
      <c r="AL199">
        <f t="shared" si="50"/>
        <v>42.000000000000007</v>
      </c>
      <c r="AM199">
        <f t="shared" si="51"/>
        <v>61.18</v>
      </c>
      <c r="AN199">
        <f t="shared" si="52"/>
        <v>68</v>
      </c>
      <c r="AO199">
        <f t="shared" si="53"/>
        <v>18.48</v>
      </c>
      <c r="AP199">
        <f t="shared" si="54"/>
        <v>18.2</v>
      </c>
      <c r="AQ199">
        <f t="shared" si="55"/>
        <v>0.36281285616594483</v>
      </c>
    </row>
    <row r="200" spans="1:43" x14ac:dyDescent="0.35">
      <c r="A200" t="s">
        <v>385</v>
      </c>
      <c r="B200" t="s">
        <v>386</v>
      </c>
      <c r="C200">
        <f>VLOOKUP(CONCATENATE("2024",'2024_60'!A200),aktivnepesseg!$C$2:$D$2226,2,FALSE)</f>
        <v>34434</v>
      </c>
      <c r="D200">
        <f t="shared" si="43"/>
        <v>28457</v>
      </c>
      <c r="E200">
        <f t="shared" si="44"/>
        <v>5977</v>
      </c>
      <c r="F200">
        <v>2298</v>
      </c>
      <c r="G200">
        <v>805</v>
      </c>
      <c r="H200">
        <v>432</v>
      </c>
      <c r="I200">
        <v>610</v>
      </c>
      <c r="J200">
        <v>359</v>
      </c>
      <c r="K200">
        <v>538</v>
      </c>
      <c r="L200">
        <v>766</v>
      </c>
      <c r="M200">
        <v>500</v>
      </c>
      <c r="N200">
        <v>830</v>
      </c>
      <c r="O200">
        <v>811</v>
      </c>
      <c r="P200">
        <v>3593</v>
      </c>
      <c r="Q200">
        <v>2450</v>
      </c>
      <c r="R200">
        <v>9263</v>
      </c>
      <c r="S200">
        <v>4331</v>
      </c>
      <c r="T200">
        <v>871</v>
      </c>
      <c r="U200">
        <f t="shared" si="58"/>
        <v>5977</v>
      </c>
      <c r="V200">
        <f t="shared" si="58"/>
        <v>2183.1</v>
      </c>
      <c r="W200">
        <f t="shared" si="58"/>
        <v>684.25</v>
      </c>
      <c r="X200">
        <f t="shared" si="58"/>
        <v>331.20000000000005</v>
      </c>
      <c r="Y200">
        <f t="shared" si="58"/>
        <v>427</v>
      </c>
      <c r="Z200">
        <f t="shared" si="58"/>
        <v>227.36666666666665</v>
      </c>
      <c r="AA200">
        <f t="shared" si="58"/>
        <v>295.90000000000003</v>
      </c>
      <c r="AB200">
        <f t="shared" si="58"/>
        <v>344.7</v>
      </c>
      <c r="AC200">
        <f t="shared" si="58"/>
        <v>183.33333333333331</v>
      </c>
      <c r="AD200">
        <f t="shared" si="58"/>
        <v>207.5</v>
      </c>
      <c r="AE200">
        <f t="shared" si="58"/>
        <v>67.583333333333329</v>
      </c>
      <c r="AF200" s="12">
        <f t="shared" ref="AF200:AF207" si="59">SUM(U200:AE200)/$C200</f>
        <v>0.31738785309093731</v>
      </c>
      <c r="AG200">
        <f t="shared" si="45"/>
        <v>5977</v>
      </c>
      <c r="AH200">
        <f t="shared" si="46"/>
        <v>2160.12</v>
      </c>
      <c r="AI200">
        <f t="shared" si="47"/>
        <v>660.09999999999991</v>
      </c>
      <c r="AJ200">
        <f t="shared" si="48"/>
        <v>311.03999999999996</v>
      </c>
      <c r="AK200">
        <f t="shared" si="49"/>
        <v>390.40000000000003</v>
      </c>
      <c r="AL200">
        <f t="shared" si="50"/>
        <v>201.04000000000002</v>
      </c>
      <c r="AM200">
        <f t="shared" si="51"/>
        <v>247.48000000000002</v>
      </c>
      <c r="AN200">
        <f t="shared" si="52"/>
        <v>260.44</v>
      </c>
      <c r="AO200">
        <f t="shared" si="53"/>
        <v>120</v>
      </c>
      <c r="AP200">
        <f t="shared" si="54"/>
        <v>83</v>
      </c>
      <c r="AQ200">
        <f t="shared" si="55"/>
        <v>0.30233548237207408</v>
      </c>
    </row>
    <row r="201" spans="1:43" x14ac:dyDescent="0.35">
      <c r="A201" t="s">
        <v>387</v>
      </c>
      <c r="B201" t="s">
        <v>388</v>
      </c>
      <c r="C201">
        <f>VLOOKUP(CONCATENATE("2024",'2024_60'!A201),aktivnepesseg!$C$2:$D$2226,2,FALSE)</f>
        <v>49127</v>
      </c>
      <c r="D201">
        <f>SUM(F201:T201)</f>
        <v>42401</v>
      </c>
      <c r="E201">
        <f t="shared" ref="E201:E205" si="60">C201-D201</f>
        <v>6726</v>
      </c>
      <c r="F201">
        <v>4805</v>
      </c>
      <c r="G201">
        <v>1235</v>
      </c>
      <c r="H201">
        <v>681</v>
      </c>
      <c r="I201">
        <v>686</v>
      </c>
      <c r="J201">
        <v>533</v>
      </c>
      <c r="K201">
        <v>715</v>
      </c>
      <c r="L201">
        <v>927</v>
      </c>
      <c r="M201">
        <v>619</v>
      </c>
      <c r="N201">
        <v>1089</v>
      </c>
      <c r="O201">
        <v>1191</v>
      </c>
      <c r="P201">
        <v>4689</v>
      </c>
      <c r="Q201">
        <v>4067</v>
      </c>
      <c r="R201">
        <v>14514</v>
      </c>
      <c r="S201">
        <v>5432</v>
      </c>
      <c r="T201">
        <v>1218</v>
      </c>
      <c r="U201">
        <f t="shared" si="58"/>
        <v>6726</v>
      </c>
      <c r="V201">
        <f t="shared" si="58"/>
        <v>4564.75</v>
      </c>
      <c r="W201">
        <f t="shared" si="58"/>
        <v>1049.75</v>
      </c>
      <c r="X201">
        <f t="shared" si="58"/>
        <v>522.1</v>
      </c>
      <c r="Y201">
        <f t="shared" si="58"/>
        <v>480.2</v>
      </c>
      <c r="Z201">
        <f t="shared" si="58"/>
        <v>337.56666666666666</v>
      </c>
      <c r="AA201">
        <f t="shared" si="58"/>
        <v>393.25000000000006</v>
      </c>
      <c r="AB201">
        <f t="shared" si="58"/>
        <v>417.15000000000003</v>
      </c>
      <c r="AC201">
        <f t="shared" si="58"/>
        <v>226.96666666666664</v>
      </c>
      <c r="AD201">
        <f t="shared" si="58"/>
        <v>272.25</v>
      </c>
      <c r="AE201">
        <f t="shared" si="58"/>
        <v>99.25</v>
      </c>
      <c r="AF201" s="12">
        <f t="shared" si="59"/>
        <v>0.30714746134169268</v>
      </c>
      <c r="AG201">
        <f t="shared" ref="AG201:AG205" si="61">E201*E$6</f>
        <v>6726</v>
      </c>
      <c r="AH201">
        <f t="shared" ref="AH201:AH205" si="62">F201*F$6</f>
        <v>4516.7</v>
      </c>
      <c r="AI201">
        <f t="shared" ref="AI201:AI205" si="63">G201*G$6</f>
        <v>1012.6999999999999</v>
      </c>
      <c r="AJ201">
        <f t="shared" ref="AJ201:AJ205" si="64">H201*H$6</f>
        <v>490.32</v>
      </c>
      <c r="AK201">
        <f t="shared" ref="AK201:AK205" si="65">I201*I$6</f>
        <v>439.04</v>
      </c>
      <c r="AL201">
        <f t="shared" ref="AL201:AL205" si="66">J201*J$6</f>
        <v>298.48</v>
      </c>
      <c r="AM201">
        <f t="shared" ref="AM201:AM205" si="67">K201*K$6</f>
        <v>328.90000000000003</v>
      </c>
      <c r="AN201">
        <f t="shared" ref="AN201:AN205" si="68">L201*L$6</f>
        <v>315.18</v>
      </c>
      <c r="AO201">
        <f t="shared" ref="AO201:AO205" si="69">M201*M$6</f>
        <v>148.56</v>
      </c>
      <c r="AP201">
        <f t="shared" ref="AP201:AP205" si="70">N201*N$6</f>
        <v>108.9</v>
      </c>
      <c r="AQ201">
        <f t="shared" ref="AQ201:AQ205" si="71">SUM(AG201:AP201)/$C201</f>
        <v>0.29280802817188106</v>
      </c>
    </row>
    <row r="202" spans="1:43" x14ac:dyDescent="0.35">
      <c r="A202" t="s">
        <v>389</v>
      </c>
      <c r="B202" t="s">
        <v>390</v>
      </c>
      <c r="C202">
        <f>VLOOKUP(CONCATENATE("2024",'2024_60'!A202),aktivnepesseg!$C$2:$D$2226,2,FALSE)</f>
        <v>12590</v>
      </c>
      <c r="D202">
        <f>SUM(F202:T202)</f>
        <v>8931</v>
      </c>
      <c r="E202">
        <f t="shared" si="60"/>
        <v>3659</v>
      </c>
      <c r="F202">
        <v>1154</v>
      </c>
      <c r="G202">
        <v>322</v>
      </c>
      <c r="H202">
        <v>179</v>
      </c>
      <c r="I202">
        <v>190</v>
      </c>
      <c r="J202">
        <v>161</v>
      </c>
      <c r="K202">
        <v>350</v>
      </c>
      <c r="L202">
        <v>702</v>
      </c>
      <c r="M202">
        <v>140</v>
      </c>
      <c r="N202">
        <v>265</v>
      </c>
      <c r="O202">
        <v>240</v>
      </c>
      <c r="P202">
        <v>1070</v>
      </c>
      <c r="Q202">
        <v>862</v>
      </c>
      <c r="R202">
        <v>2692</v>
      </c>
      <c r="S202">
        <v>557</v>
      </c>
      <c r="T202">
        <v>47</v>
      </c>
      <c r="U202">
        <f t="shared" si="58"/>
        <v>3659</v>
      </c>
      <c r="V202">
        <f t="shared" si="58"/>
        <v>1096.3</v>
      </c>
      <c r="W202">
        <f t="shared" si="58"/>
        <v>273.7</v>
      </c>
      <c r="X202">
        <f t="shared" si="58"/>
        <v>137.23333333333335</v>
      </c>
      <c r="Y202">
        <f t="shared" si="58"/>
        <v>133</v>
      </c>
      <c r="Z202">
        <f t="shared" si="58"/>
        <v>101.96666666666667</v>
      </c>
      <c r="AA202">
        <f t="shared" si="58"/>
        <v>192.50000000000003</v>
      </c>
      <c r="AB202">
        <f t="shared" si="58"/>
        <v>315.90000000000003</v>
      </c>
      <c r="AC202">
        <f t="shared" si="58"/>
        <v>51.333333333333329</v>
      </c>
      <c r="AD202">
        <f t="shared" si="58"/>
        <v>66.25</v>
      </c>
      <c r="AE202">
        <f t="shared" si="58"/>
        <v>20</v>
      </c>
      <c r="AF202" s="12">
        <f t="shared" si="59"/>
        <v>0.48031638866825516</v>
      </c>
      <c r="AG202">
        <f t="shared" si="61"/>
        <v>3659</v>
      </c>
      <c r="AH202">
        <f t="shared" si="62"/>
        <v>1084.76</v>
      </c>
      <c r="AI202">
        <f t="shared" si="63"/>
        <v>264.03999999999996</v>
      </c>
      <c r="AJ202">
        <f t="shared" si="64"/>
        <v>128.88</v>
      </c>
      <c r="AK202">
        <f t="shared" si="65"/>
        <v>121.60000000000001</v>
      </c>
      <c r="AL202">
        <f t="shared" si="66"/>
        <v>90.160000000000011</v>
      </c>
      <c r="AM202">
        <f t="shared" si="67"/>
        <v>161</v>
      </c>
      <c r="AN202">
        <f t="shared" si="68"/>
        <v>238.68</v>
      </c>
      <c r="AO202">
        <f t="shared" si="69"/>
        <v>33.6</v>
      </c>
      <c r="AP202">
        <f t="shared" si="70"/>
        <v>26.5</v>
      </c>
      <c r="AQ202">
        <f t="shared" si="71"/>
        <v>0.46133598093725187</v>
      </c>
    </row>
    <row r="203" spans="1:43" x14ac:dyDescent="0.35">
      <c r="A203" t="s">
        <v>391</v>
      </c>
      <c r="B203" t="s">
        <v>392</v>
      </c>
      <c r="C203">
        <f>VLOOKUP(CONCATENATE("2024",'2024_60'!A203),aktivnepesseg!$C$2:$D$2226,2,FALSE)</f>
        <v>62168</v>
      </c>
      <c r="D203">
        <f>SUM(F203:T203)</f>
        <v>50214</v>
      </c>
      <c r="E203">
        <f t="shared" si="60"/>
        <v>11954</v>
      </c>
      <c r="F203">
        <v>5642</v>
      </c>
      <c r="G203">
        <v>1575</v>
      </c>
      <c r="H203">
        <v>826</v>
      </c>
      <c r="I203">
        <v>920</v>
      </c>
      <c r="J203">
        <v>627</v>
      </c>
      <c r="K203">
        <v>869</v>
      </c>
      <c r="L203">
        <v>1170</v>
      </c>
      <c r="M203">
        <v>667</v>
      </c>
      <c r="N203">
        <v>1274</v>
      </c>
      <c r="O203">
        <v>1408</v>
      </c>
      <c r="P203">
        <v>6404</v>
      </c>
      <c r="Q203">
        <v>6131</v>
      </c>
      <c r="R203">
        <v>17152</v>
      </c>
      <c r="S203">
        <v>4713</v>
      </c>
      <c r="T203">
        <v>836</v>
      </c>
      <c r="U203">
        <f t="shared" si="58"/>
        <v>11954</v>
      </c>
      <c r="V203">
        <f t="shared" si="58"/>
        <v>5359.9</v>
      </c>
      <c r="W203">
        <f t="shared" si="58"/>
        <v>1338.75</v>
      </c>
      <c r="X203">
        <f t="shared" si="58"/>
        <v>633.26666666666677</v>
      </c>
      <c r="Y203">
        <f t="shared" si="58"/>
        <v>644</v>
      </c>
      <c r="Z203">
        <f t="shared" si="58"/>
        <v>397.09999999999997</v>
      </c>
      <c r="AA203">
        <f t="shared" si="58"/>
        <v>477.95000000000005</v>
      </c>
      <c r="AB203">
        <f t="shared" si="58"/>
        <v>526.5</v>
      </c>
      <c r="AC203">
        <f t="shared" si="58"/>
        <v>244.56666666666666</v>
      </c>
      <c r="AD203">
        <f t="shared" si="58"/>
        <v>318.5</v>
      </c>
      <c r="AE203">
        <f t="shared" si="58"/>
        <v>117.33333333333333</v>
      </c>
      <c r="AF203" s="12">
        <f t="shared" si="59"/>
        <v>0.35407069017286491</v>
      </c>
      <c r="AG203">
        <f t="shared" si="61"/>
        <v>11954</v>
      </c>
      <c r="AH203">
        <f t="shared" si="62"/>
        <v>5303.48</v>
      </c>
      <c r="AI203">
        <f t="shared" si="63"/>
        <v>1291.5</v>
      </c>
      <c r="AJ203">
        <f t="shared" si="64"/>
        <v>594.72</v>
      </c>
      <c r="AK203">
        <f t="shared" si="65"/>
        <v>588.80000000000007</v>
      </c>
      <c r="AL203">
        <f t="shared" si="66"/>
        <v>351.12000000000006</v>
      </c>
      <c r="AM203">
        <f t="shared" si="67"/>
        <v>399.74</v>
      </c>
      <c r="AN203">
        <f t="shared" si="68"/>
        <v>397.8</v>
      </c>
      <c r="AO203">
        <f t="shared" si="69"/>
        <v>160.07999999999998</v>
      </c>
      <c r="AP203">
        <f t="shared" si="70"/>
        <v>127.4</v>
      </c>
      <c r="AQ203">
        <f t="shared" si="71"/>
        <v>0.34050701325440746</v>
      </c>
    </row>
    <row r="204" spans="1:43" x14ac:dyDescent="0.35">
      <c r="A204" t="s">
        <v>393</v>
      </c>
      <c r="B204" t="s">
        <v>394</v>
      </c>
      <c r="C204">
        <f>VLOOKUP(CONCATENATE("2024",'2024_60'!A204),aktivnepesseg!$C$2:$D$2226,2,FALSE)</f>
        <v>9632</v>
      </c>
      <c r="D204">
        <f>SUM(F204:T204)</f>
        <v>7061</v>
      </c>
      <c r="E204">
        <f t="shared" si="60"/>
        <v>2571</v>
      </c>
      <c r="F204">
        <v>972</v>
      </c>
      <c r="G204">
        <v>235</v>
      </c>
      <c r="H204">
        <v>125</v>
      </c>
      <c r="I204">
        <v>126</v>
      </c>
      <c r="J204">
        <v>86</v>
      </c>
      <c r="K204">
        <v>108</v>
      </c>
      <c r="L204">
        <v>196</v>
      </c>
      <c r="M204">
        <v>99</v>
      </c>
      <c r="N204">
        <v>204</v>
      </c>
      <c r="O204">
        <v>243</v>
      </c>
      <c r="P204">
        <v>1132</v>
      </c>
      <c r="Q204">
        <v>982</v>
      </c>
      <c r="R204">
        <v>2158</v>
      </c>
      <c r="S204">
        <v>360</v>
      </c>
      <c r="T204">
        <v>35</v>
      </c>
      <c r="U204">
        <f t="shared" si="58"/>
        <v>2571</v>
      </c>
      <c r="V204">
        <f t="shared" si="58"/>
        <v>923.4</v>
      </c>
      <c r="W204">
        <f t="shared" si="58"/>
        <v>199.75</v>
      </c>
      <c r="X204">
        <f t="shared" si="58"/>
        <v>95.833333333333343</v>
      </c>
      <c r="Y204">
        <f t="shared" si="58"/>
        <v>88.199999999999989</v>
      </c>
      <c r="Z204">
        <f t="shared" si="58"/>
        <v>54.466666666666661</v>
      </c>
      <c r="AA204">
        <f t="shared" si="58"/>
        <v>59.400000000000006</v>
      </c>
      <c r="AB204">
        <f t="shared" si="58"/>
        <v>88.2</v>
      </c>
      <c r="AC204">
        <f t="shared" si="58"/>
        <v>36.299999999999997</v>
      </c>
      <c r="AD204">
        <f t="shared" si="58"/>
        <v>51</v>
      </c>
      <c r="AE204">
        <f t="shared" si="58"/>
        <v>20.25</v>
      </c>
      <c r="AF204" s="12">
        <f t="shared" si="59"/>
        <v>0.43477990033222591</v>
      </c>
      <c r="AG204">
        <f t="shared" si="61"/>
        <v>2571</v>
      </c>
      <c r="AH204">
        <f t="shared" si="62"/>
        <v>913.68</v>
      </c>
      <c r="AI204">
        <f t="shared" si="63"/>
        <v>192.7</v>
      </c>
      <c r="AJ204">
        <f t="shared" si="64"/>
        <v>90</v>
      </c>
      <c r="AK204">
        <f t="shared" si="65"/>
        <v>80.64</v>
      </c>
      <c r="AL204">
        <f t="shared" si="66"/>
        <v>48.160000000000004</v>
      </c>
      <c r="AM204">
        <f t="shared" si="67"/>
        <v>49.68</v>
      </c>
      <c r="AN204">
        <f t="shared" si="68"/>
        <v>66.64</v>
      </c>
      <c r="AO204">
        <f t="shared" si="69"/>
        <v>23.759999999999998</v>
      </c>
      <c r="AP204">
        <f t="shared" si="70"/>
        <v>20.400000000000002</v>
      </c>
      <c r="AQ204">
        <f t="shared" si="71"/>
        <v>0.42116486710963447</v>
      </c>
    </row>
    <row r="205" spans="1:43" x14ac:dyDescent="0.35">
      <c r="A205" t="s">
        <v>395</v>
      </c>
      <c r="B205" t="s">
        <v>396</v>
      </c>
      <c r="C205">
        <f>VLOOKUP(CONCATENATE("2024",'2024_60'!A205),aktivnepesseg!$C$2:$D$2226,2,FALSE)</f>
        <v>12186</v>
      </c>
      <c r="D205">
        <f>SUM(F205:T205)</f>
        <v>10165</v>
      </c>
      <c r="E205">
        <f t="shared" si="60"/>
        <v>2021</v>
      </c>
      <c r="F205">
        <v>1021</v>
      </c>
      <c r="G205">
        <v>296</v>
      </c>
      <c r="H205">
        <v>148</v>
      </c>
      <c r="I205">
        <v>143</v>
      </c>
      <c r="J205">
        <v>114</v>
      </c>
      <c r="K205">
        <v>180</v>
      </c>
      <c r="L205">
        <v>211</v>
      </c>
      <c r="M205">
        <v>132</v>
      </c>
      <c r="N205">
        <v>271</v>
      </c>
      <c r="O205">
        <v>330</v>
      </c>
      <c r="P205">
        <v>1408</v>
      </c>
      <c r="Q205">
        <v>1278</v>
      </c>
      <c r="R205">
        <v>3645</v>
      </c>
      <c r="S205">
        <v>901</v>
      </c>
      <c r="T205">
        <v>87</v>
      </c>
      <c r="U205">
        <f t="shared" si="58"/>
        <v>2021</v>
      </c>
      <c r="V205">
        <f t="shared" si="58"/>
        <v>969.94999999999993</v>
      </c>
      <c r="W205">
        <f t="shared" si="58"/>
        <v>251.6</v>
      </c>
      <c r="X205">
        <f t="shared" si="58"/>
        <v>113.46666666666667</v>
      </c>
      <c r="Y205">
        <f t="shared" si="58"/>
        <v>100.1</v>
      </c>
      <c r="Z205">
        <f t="shared" si="58"/>
        <v>72.2</v>
      </c>
      <c r="AA205">
        <f t="shared" si="58"/>
        <v>99.000000000000014</v>
      </c>
      <c r="AB205">
        <f t="shared" si="58"/>
        <v>94.95</v>
      </c>
      <c r="AC205">
        <f t="shared" si="58"/>
        <v>48.4</v>
      </c>
      <c r="AD205">
        <f t="shared" si="58"/>
        <v>67.75</v>
      </c>
      <c r="AE205">
        <f t="shared" si="58"/>
        <v>27.5</v>
      </c>
      <c r="AF205" s="12">
        <f t="shared" si="59"/>
        <v>0.31724246402976086</v>
      </c>
      <c r="AG205">
        <f t="shared" si="61"/>
        <v>2021</v>
      </c>
      <c r="AH205">
        <f t="shared" si="62"/>
        <v>959.7399999999999</v>
      </c>
      <c r="AI205">
        <f t="shared" si="63"/>
        <v>242.72</v>
      </c>
      <c r="AJ205">
        <f t="shared" si="64"/>
        <v>106.56</v>
      </c>
      <c r="AK205">
        <f t="shared" si="65"/>
        <v>91.52</v>
      </c>
      <c r="AL205">
        <f t="shared" si="66"/>
        <v>63.84</v>
      </c>
      <c r="AM205">
        <f t="shared" si="67"/>
        <v>82.8</v>
      </c>
      <c r="AN205">
        <f t="shared" si="68"/>
        <v>71.740000000000009</v>
      </c>
      <c r="AO205">
        <f t="shared" si="69"/>
        <v>31.68</v>
      </c>
      <c r="AP205">
        <f t="shared" si="70"/>
        <v>27.1</v>
      </c>
      <c r="AQ205">
        <f t="shared" si="71"/>
        <v>0.3035204332840965</v>
      </c>
    </row>
    <row r="207" spans="1:43" x14ac:dyDescent="0.35">
      <c r="A207" t="s">
        <v>433</v>
      </c>
      <c r="C207">
        <f>SUM(C8:C205)-C27</f>
        <v>6326662</v>
      </c>
      <c r="D207">
        <f>SUM(D8:D205)-D27</f>
        <v>4994205</v>
      </c>
      <c r="E207">
        <f>SUM(E8:E205)-E27</f>
        <v>1332457</v>
      </c>
      <c r="F207">
        <f t="shared" ref="F207:T207" si="72">SUM(F8:F205)-F27</f>
        <v>563465</v>
      </c>
      <c r="G207">
        <f t="shared" si="72"/>
        <v>157757</v>
      </c>
      <c r="H207">
        <f t="shared" si="72"/>
        <v>85379</v>
      </c>
      <c r="I207">
        <f t="shared" si="72"/>
        <v>101638</v>
      </c>
      <c r="J207">
        <f t="shared" si="72"/>
        <v>70387</v>
      </c>
      <c r="K207">
        <f t="shared" si="72"/>
        <v>104591</v>
      </c>
      <c r="L207">
        <f t="shared" si="72"/>
        <v>160002</v>
      </c>
      <c r="M207">
        <f t="shared" si="72"/>
        <v>78303</v>
      </c>
      <c r="N207">
        <f t="shared" si="72"/>
        <v>145978</v>
      </c>
      <c r="O207">
        <f t="shared" si="72"/>
        <v>150805</v>
      </c>
      <c r="P207">
        <f t="shared" si="72"/>
        <v>612564</v>
      </c>
      <c r="Q207">
        <f t="shared" si="72"/>
        <v>486111</v>
      </c>
      <c r="R207">
        <f t="shared" si="72"/>
        <v>1556833</v>
      </c>
      <c r="S207">
        <f t="shared" si="72"/>
        <v>582967</v>
      </c>
      <c r="T207">
        <f t="shared" si="72"/>
        <v>137425</v>
      </c>
      <c r="U207">
        <f t="shared" ref="U207:AE207" si="73">E207*E$5</f>
        <v>1332457</v>
      </c>
      <c r="V207">
        <f t="shared" si="73"/>
        <v>535291.75</v>
      </c>
      <c r="W207">
        <f t="shared" si="73"/>
        <v>134093.44999999998</v>
      </c>
      <c r="X207">
        <f t="shared" si="73"/>
        <v>65457.233333333337</v>
      </c>
      <c r="Y207">
        <f t="shared" si="73"/>
        <v>71146.599999999991</v>
      </c>
      <c r="Z207">
        <f t="shared" si="73"/>
        <v>44578.433333333334</v>
      </c>
      <c r="AA207">
        <f t="shared" si="73"/>
        <v>57525.05</v>
      </c>
      <c r="AB207">
        <f t="shared" si="73"/>
        <v>72000.900000000009</v>
      </c>
      <c r="AC207">
        <f t="shared" si="73"/>
        <v>28711.1</v>
      </c>
      <c r="AD207">
        <f t="shared" si="73"/>
        <v>36494.5</v>
      </c>
      <c r="AE207">
        <f t="shared" si="73"/>
        <v>12567.083333333332</v>
      </c>
      <c r="AF207" s="12">
        <f t="shared" si="59"/>
        <v>0.37781741777891714</v>
      </c>
      <c r="AG207">
        <f t="shared" ref="AG207" si="74">E207*E$6</f>
        <v>1332457</v>
      </c>
      <c r="AH207">
        <f t="shared" ref="AH207" si="75">F207*F$6</f>
        <v>529657.1</v>
      </c>
      <c r="AI207">
        <f t="shared" ref="AI207" si="76">G207*G$6</f>
        <v>129360.73999999999</v>
      </c>
      <c r="AJ207">
        <f t="shared" ref="AJ207" si="77">H207*H$6</f>
        <v>61472.88</v>
      </c>
      <c r="AK207">
        <f t="shared" ref="AK207" si="78">I207*I$6</f>
        <v>65048.32</v>
      </c>
      <c r="AL207">
        <f t="shared" ref="AL207" si="79">J207*J$6</f>
        <v>39416.720000000001</v>
      </c>
      <c r="AM207">
        <f t="shared" ref="AM207" si="80">K207*K$6</f>
        <v>48111.86</v>
      </c>
      <c r="AN207">
        <f t="shared" ref="AN207" si="81">L207*L$6</f>
        <v>54400.68</v>
      </c>
      <c r="AO207">
        <f t="shared" ref="AO207" si="82">M207*M$6</f>
        <v>18792.719999999998</v>
      </c>
      <c r="AP207">
        <f t="shared" ref="AP207" si="83">N207*N$6</f>
        <v>14597.800000000001</v>
      </c>
      <c r="AQ207">
        <f t="shared" ref="AQ207" si="84">SUM(AG207:AP207)/$C207</f>
        <v>0.36248432743838699</v>
      </c>
    </row>
    <row r="208" spans="1:43" x14ac:dyDescent="0.35">
      <c r="A208" t="s">
        <v>493</v>
      </c>
      <c r="F208">
        <f>F207/$D$207</f>
        <v>0.11282376274101684</v>
      </c>
      <c r="G208">
        <f t="shared" ref="G208:T208" si="85">G207/$D$207</f>
        <v>3.1588010504174341E-2</v>
      </c>
      <c r="H208">
        <f t="shared" si="85"/>
        <v>1.7095613816413224E-2</v>
      </c>
      <c r="I208">
        <f t="shared" si="85"/>
        <v>2.035118702576286E-2</v>
      </c>
      <c r="J208">
        <f t="shared" si="85"/>
        <v>1.4093734638445959E-2</v>
      </c>
      <c r="K208">
        <f t="shared" si="85"/>
        <v>2.0942472325425166E-2</v>
      </c>
      <c r="L208">
        <f t="shared" si="85"/>
        <v>3.203753149900735E-2</v>
      </c>
      <c r="M208">
        <f t="shared" si="85"/>
        <v>1.5678771696396122E-2</v>
      </c>
      <c r="N208">
        <f t="shared" si="85"/>
        <v>2.9229476963801047E-2</v>
      </c>
      <c r="O208">
        <f t="shared" si="85"/>
        <v>3.0195997160709261E-2</v>
      </c>
      <c r="P208">
        <f t="shared" si="85"/>
        <v>0.12265495709527342</v>
      </c>
      <c r="Q208">
        <f t="shared" si="85"/>
        <v>9.7335011278071287E-2</v>
      </c>
      <c r="R208">
        <f t="shared" si="85"/>
        <v>0.31172789262755535</v>
      </c>
      <c r="S208">
        <f t="shared" si="85"/>
        <v>0.11672868855002948</v>
      </c>
      <c r="T208">
        <f t="shared" si="85"/>
        <v>2.7516892077918308E-2</v>
      </c>
    </row>
    <row r="209" spans="1:20" x14ac:dyDescent="0.35">
      <c r="A209" t="s">
        <v>494</v>
      </c>
      <c r="F209">
        <f>F208</f>
        <v>0.11282376274101684</v>
      </c>
      <c r="G209">
        <f>G208+F209</f>
        <v>0.14441177324519117</v>
      </c>
      <c r="H209">
        <f t="shared" ref="H209:T209" si="86">H208+G209</f>
        <v>0.16150738706160439</v>
      </c>
      <c r="I209">
        <f t="shared" si="86"/>
        <v>0.18185857408736725</v>
      </c>
      <c r="J209">
        <f t="shared" si="86"/>
        <v>0.19595230872581321</v>
      </c>
      <c r="K209">
        <f t="shared" si="86"/>
        <v>0.21689478105123838</v>
      </c>
      <c r="L209">
        <f t="shared" si="86"/>
        <v>0.24893231255024573</v>
      </c>
      <c r="M209">
        <f t="shared" si="86"/>
        <v>0.26461108424664187</v>
      </c>
      <c r="N209">
        <f t="shared" si="86"/>
        <v>0.29384056121044294</v>
      </c>
      <c r="O209">
        <f t="shared" si="86"/>
        <v>0.32403655837115219</v>
      </c>
      <c r="P209">
        <f t="shared" si="86"/>
        <v>0.4466915154664256</v>
      </c>
      <c r="Q209">
        <f t="shared" si="86"/>
        <v>0.54402652674449692</v>
      </c>
      <c r="R209">
        <f t="shared" si="86"/>
        <v>0.85575441937205232</v>
      </c>
      <c r="S209">
        <f t="shared" si="86"/>
        <v>0.97248310792208181</v>
      </c>
      <c r="T209">
        <f t="shared" si="86"/>
        <v>1.0000000000000002</v>
      </c>
    </row>
    <row r="210" spans="1:20" x14ac:dyDescent="0.35">
      <c r="A210" t="s">
        <v>495</v>
      </c>
      <c r="D210" s="2">
        <f>D207/C207</f>
        <v>0.78939020292217288</v>
      </c>
      <c r="E210">
        <f>E207/$C$207</f>
        <v>0.21060979707782715</v>
      </c>
      <c r="F210">
        <f t="shared" ref="F210:T210" si="87">F207/$C$207</f>
        <v>8.9061972964574368E-2</v>
      </c>
      <c r="G210">
        <f t="shared" si="87"/>
        <v>2.4935266021797908E-2</v>
      </c>
      <c r="H210">
        <f t="shared" si="87"/>
        <v>1.3495110059617536E-2</v>
      </c>
      <c r="I210">
        <f t="shared" si="87"/>
        <v>1.6065027655974035E-2</v>
      </c>
      <c r="J210">
        <f t="shared" si="87"/>
        <v>1.1125456046174112E-2</v>
      </c>
      <c r="K210">
        <f t="shared" si="87"/>
        <v>1.6531782478659364E-2</v>
      </c>
      <c r="L210">
        <f t="shared" si="87"/>
        <v>2.5290113491126916E-2</v>
      </c>
      <c r="M210">
        <f t="shared" si="87"/>
        <v>1.2376668770988556E-2</v>
      </c>
      <c r="N210">
        <f t="shared" si="87"/>
        <v>2.3073462751763883E-2</v>
      </c>
      <c r="O210">
        <f t="shared" si="87"/>
        <v>2.3836424326129639E-2</v>
      </c>
      <c r="P210">
        <f t="shared" si="87"/>
        <v>9.6822621470848289E-2</v>
      </c>
      <c r="Q210">
        <f t="shared" si="87"/>
        <v>7.6835304304228677E-2</v>
      </c>
      <c r="R210">
        <f t="shared" si="87"/>
        <v>0.24607494441776723</v>
      </c>
      <c r="S210">
        <f t="shared" si="87"/>
        <v>9.2144483141346892E-2</v>
      </c>
      <c r="T210">
        <f t="shared" si="87"/>
        <v>2.1721565021175462E-2</v>
      </c>
    </row>
    <row r="211" spans="1:20" x14ac:dyDescent="0.35">
      <c r="A211" t="s">
        <v>496</v>
      </c>
      <c r="E211">
        <f>E210</f>
        <v>0.21060979707782715</v>
      </c>
      <c r="F211">
        <f>F210+E211</f>
        <v>0.29967177004240153</v>
      </c>
      <c r="G211">
        <f t="shared" ref="G211:T211" si="88">G210+F211</f>
        <v>0.32460703606419944</v>
      </c>
      <c r="H211">
        <f t="shared" si="88"/>
        <v>0.33810214612381695</v>
      </c>
      <c r="I211">
        <f t="shared" si="88"/>
        <v>0.35416717377979101</v>
      </c>
      <c r="J211">
        <f t="shared" si="88"/>
        <v>0.36529262982596511</v>
      </c>
      <c r="K211">
        <f t="shared" si="88"/>
        <v>0.38182441230462449</v>
      </c>
      <c r="L211">
        <f t="shared" si="88"/>
        <v>0.40711452579575141</v>
      </c>
      <c r="M211">
        <f t="shared" si="88"/>
        <v>0.41949119456673994</v>
      </c>
      <c r="N211">
        <f t="shared" si="88"/>
        <v>0.44256465731850381</v>
      </c>
      <c r="O211">
        <f t="shared" si="88"/>
        <v>0.46640108164463345</v>
      </c>
      <c r="P211">
        <f t="shared" si="88"/>
        <v>0.56322370311548176</v>
      </c>
      <c r="Q211">
        <f t="shared" si="88"/>
        <v>0.64005900741971045</v>
      </c>
      <c r="R211">
        <f t="shared" si="88"/>
        <v>0.88613395183747767</v>
      </c>
      <c r="S211">
        <f t="shared" si="88"/>
        <v>0.97827843497882461</v>
      </c>
      <c r="T211">
        <f t="shared" si="8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aktivnepesseg</vt:lpstr>
      <vt:lpstr>medianjov_szamitas</vt:lpstr>
      <vt:lpstr>kuszobATTEKINTESesOrszagosRata</vt:lpstr>
      <vt:lpstr>P1long_allversionS</vt:lpstr>
      <vt:lpstr>2001_60</vt:lpstr>
      <vt:lpstr>2011_60</vt:lpstr>
      <vt:lpstr>2022_60</vt:lpstr>
      <vt:lpstr>2024_60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Tátrai Annamária</dc:creator>
  <cp:keywords/>
  <dc:description/>
  <cp:lastModifiedBy>Tátrai Annamária</cp:lastModifiedBy>
  <cp:revision/>
  <dcterms:created xsi:type="dcterms:W3CDTF">2026-05-07T09:57:29Z</dcterms:created>
  <dcterms:modified xsi:type="dcterms:W3CDTF">2026-07-10T08:59:29Z</dcterms:modified>
  <cp:category/>
  <cp:contentStatus/>
</cp:coreProperties>
</file>